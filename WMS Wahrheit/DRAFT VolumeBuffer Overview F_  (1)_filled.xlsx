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20" sheetId="1" state="visible" r:id="rId1"/>
    <sheet xmlns:r="http://schemas.openxmlformats.org/officeDocument/2006/relationships" name="Input " sheetId="2" state="visible" r:id="rId2"/>
    <sheet xmlns:r="http://schemas.openxmlformats.org/officeDocument/2006/relationships" name="MSKU INPUT (KW20)" sheetId="3" state="visible" r:id="rId3"/>
    <sheet xmlns:r="http://schemas.openxmlformats.org/officeDocument/2006/relationships" name="Planting KW 20" sheetId="4" state="visible" r:id="rId4"/>
    <sheet xmlns:r="http://schemas.openxmlformats.org/officeDocument/2006/relationships" name="Verden-2026-W20" sheetId="5" state="visible" r:id="rId5"/>
    <sheet xmlns:r="http://schemas.openxmlformats.org/officeDocument/2006/relationships" name="Abteilungsgewich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"/>
    <numFmt numFmtId="165" formatCode="0.0"/>
    <numFmt numFmtId="166" formatCode="d-m"/>
    <numFmt numFmtId="167" formatCode="mmm d"/>
    <numFmt numFmtId="168" formatCode="dd. mmm"/>
    <numFmt numFmtId="169" formatCode="d. mmm"/>
  </numFmts>
  <fonts count="5">
    <font>
      <name val="Arial"/>
      <color rgb="FF000000"/>
      <sz val="10"/>
      <scheme val="minor"/>
    </font>
    <font>
      <name val="Arial"/>
      <color theme="1"/>
      <scheme val="minor"/>
    </font>
    <font/>
    <font>
      <name val="Arial"/>
      <b val="1"/>
      <color theme="1"/>
      <scheme val="minor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6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FFFFFF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18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1" fillId="0" borderId="1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164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3" fillId="0" borderId="13" pivotButton="0" quotePrefix="0" xfId="0"/>
    <xf numFmtId="0" fontId="2" fillId="0" borderId="12" pivotButton="0" quotePrefix="0" xfId="0"/>
    <xf numFmtId="0" fontId="3" fillId="2" borderId="13" pivotButton="0" quotePrefix="0" xfId="0"/>
    <xf numFmtId="0" fontId="3" fillId="0" borderId="14" pivotButton="0" quotePrefix="0" xfId="0"/>
    <xf numFmtId="0" fontId="2" fillId="0" borderId="14" pivotButton="0" quotePrefix="0" xfId="0"/>
    <xf numFmtId="0" fontId="1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19" pivotButton="0" quotePrefix="0" xfId="0"/>
    <xf numFmtId="0" fontId="1" fillId="0" borderId="22" pivotButton="0" quotePrefix="0" xfId="0"/>
    <xf numFmtId="1" fontId="1" fillId="0" borderId="23" pivotButton="0" quotePrefix="0" xfId="0"/>
    <xf numFmtId="0" fontId="1" fillId="0" borderId="24" pivotButton="0" quotePrefix="0" xfId="0"/>
    <xf numFmtId="0" fontId="2" fillId="0" borderId="25" pivotButton="0" quotePrefix="0" xfId="0"/>
    <xf numFmtId="0" fontId="2" fillId="0" borderId="23" pivotButton="0" quotePrefix="0" xfId="0"/>
    <xf numFmtId="0" fontId="2" fillId="0" borderId="26" pivotButton="0" quotePrefix="0" xfId="0"/>
    <xf numFmtId="0" fontId="1" fillId="0" borderId="2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0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31" pivotButton="0" quotePrefix="0" xfId="0"/>
    <xf numFmtId="0" fontId="1" fillId="0" borderId="32" pivotButton="0" quotePrefix="0" xfId="0"/>
    <xf numFmtId="0" fontId="1" fillId="0" borderId="7" pivotButton="0" quotePrefix="0" xfId="0"/>
    <xf numFmtId="0" fontId="1" fillId="0" borderId="6" pivotButton="0" quotePrefix="0" xfId="0"/>
    <xf numFmtId="0" fontId="1" fillId="0" borderId="33" pivotButton="0" quotePrefix="0" xfId="0"/>
    <xf numFmtId="0" fontId="1" fillId="0" borderId="13" pivotButton="0" quotePrefix="0" xfId="0"/>
    <xf numFmtId="0" fontId="1" fillId="0" borderId="0" pivotButton="0" quotePrefix="0" xfId="0"/>
    <xf numFmtId="0" fontId="1" fillId="0" borderId="32" pivotButton="0" quotePrefix="0" xfId="0"/>
    <xf numFmtId="0" fontId="1" fillId="3" borderId="34" pivotButton="0" quotePrefix="0" xfId="0"/>
    <xf numFmtId="0" fontId="1" fillId="3" borderId="10" pivotButton="0" quotePrefix="0" xfId="0"/>
    <xf numFmtId="0" fontId="1" fillId="3" borderId="35" pivotButton="0" quotePrefix="0" xfId="0"/>
    <xf numFmtId="0" fontId="1" fillId="3" borderId="36" pivotButton="0" quotePrefix="0" xfId="0"/>
    <xf numFmtId="0" fontId="1" fillId="3" borderId="36" pivotButton="0" quotePrefix="0" xfId="0"/>
    <xf numFmtId="0" fontId="1" fillId="0" borderId="18" pivotButton="0" quotePrefix="0" xfId="0"/>
    <xf numFmtId="0" fontId="1" fillId="0" borderId="37" pivotButton="0" quotePrefix="0" xfId="0"/>
    <xf numFmtId="0" fontId="1" fillId="0" borderId="38" pivotButton="0" quotePrefix="0" xfId="0"/>
    <xf numFmtId="0" fontId="1" fillId="0" borderId="39" pivotButton="0" quotePrefix="0" xfId="0"/>
    <xf numFmtId="0" fontId="2" fillId="0" borderId="37" pivotButton="0" quotePrefix="0" xfId="0"/>
    <xf numFmtId="0" fontId="2" fillId="0" borderId="40" pivotButton="0" quotePrefix="0" xfId="0"/>
    <xf numFmtId="0" fontId="1" fillId="0" borderId="5" pivotButton="0" quotePrefix="0" xfId="0"/>
    <xf numFmtId="0" fontId="1" fillId="0" borderId="41" pivotButton="0" quotePrefix="0" xfId="0"/>
    <xf numFmtId="0" fontId="1" fillId="0" borderId="42" pivotButton="0" quotePrefix="0" xfId="0"/>
    <xf numFmtId="0" fontId="1" fillId="0" borderId="34" pivotButton="0" quotePrefix="0" xfId="0"/>
    <xf numFmtId="0" fontId="1" fillId="0" borderId="43" pivotButton="0" quotePrefix="0" xfId="0"/>
    <xf numFmtId="0" fontId="1" fillId="4" borderId="43" pivotButton="0" quotePrefix="0" xfId="0"/>
    <xf numFmtId="0" fontId="1" fillId="4" borderId="38" pivotButton="0" quotePrefix="0" xfId="0"/>
    <xf numFmtId="0" fontId="1" fillId="0" borderId="38" pivotButton="0" quotePrefix="0" xfId="0"/>
    <xf numFmtId="0" fontId="1" fillId="0" borderId="43" pivotButton="0" quotePrefix="0" xfId="0"/>
    <xf numFmtId="0" fontId="1" fillId="0" borderId="42" pivotButton="0" quotePrefix="0" xfId="0"/>
    <xf numFmtId="0" fontId="1" fillId="0" borderId="37" pivotButton="0" quotePrefix="0" xfId="0"/>
    <xf numFmtId="0" fontId="1" fillId="0" borderId="44" pivotButton="0" quotePrefix="0" xfId="0"/>
    <xf numFmtId="0" fontId="1" fillId="0" borderId="45" pivotButton="0" quotePrefix="0" xfId="0"/>
    <xf numFmtId="0" fontId="1" fillId="0" borderId="46" pivotButton="0" quotePrefix="0" xfId="0"/>
    <xf numFmtId="0" fontId="1" fillId="0" borderId="4" pivotButton="0" quotePrefix="0" xfId="0"/>
    <xf numFmtId="0" fontId="1" fillId="0" borderId="46" pivotButton="0" quotePrefix="0" xfId="0"/>
    <xf numFmtId="0" fontId="1" fillId="0" borderId="47" pivotButton="0" quotePrefix="0" xfId="0"/>
    <xf numFmtId="0" fontId="1" fillId="0" borderId="4" pivotButton="0" quotePrefix="0" xfId="0"/>
    <xf numFmtId="0" fontId="1" fillId="0" borderId="3" pivotButton="0" quotePrefix="0" xfId="0"/>
    <xf numFmtId="0" fontId="1" fillId="0" borderId="48" pivotButton="0" quotePrefix="0" xfId="0"/>
    <xf numFmtId="0" fontId="1" fillId="0" borderId="49" pivotButton="0" quotePrefix="0" xfId="0"/>
    <xf numFmtId="0" fontId="1" fillId="0" borderId="50" pivotButton="0" quotePrefix="0" xfId="0"/>
    <xf numFmtId="0" fontId="1" fillId="4" borderId="19" pivotButton="0" quotePrefix="0" xfId="0"/>
    <xf numFmtId="0" fontId="1" fillId="4" borderId="22" pivotButton="0" quotePrefix="0" xfId="0"/>
    <xf numFmtId="0" fontId="1" fillId="0" borderId="22" pivotButton="0" quotePrefix="0" xfId="0"/>
    <xf numFmtId="0" fontId="1" fillId="0" borderId="50" pivotButton="0" quotePrefix="0" xfId="0"/>
    <xf numFmtId="0" fontId="1" fillId="0" borderId="24" pivotButton="0" quotePrefix="0" xfId="0"/>
    <xf numFmtId="0" fontId="2" fillId="0" borderId="24" pivotButton="0" quotePrefix="0" xfId="0"/>
    <xf numFmtId="0" fontId="2" fillId="0" borderId="21" pivotButton="0" quotePrefix="0" xfId="0"/>
    <xf numFmtId="0" fontId="1" fillId="0" borderId="51" pivotButton="0" quotePrefix="0" xfId="0"/>
    <xf numFmtId="0" fontId="1" fillId="0" borderId="35" pivotButton="0" quotePrefix="0" xfId="0"/>
    <xf numFmtId="1" fontId="1" fillId="0" borderId="0" pivotButton="0" quotePrefix="0" xfId="0"/>
    <xf numFmtId="0" fontId="1" fillId="0" borderId="52" pivotButton="0" quotePrefix="0" xfId="0"/>
    <xf numFmtId="0" fontId="1" fillId="0" borderId="15" pivotButton="0" quotePrefix="0" xfId="0"/>
    <xf numFmtId="0" fontId="1" fillId="0" borderId="10" pivotButton="0" quotePrefix="0" xfId="0"/>
    <xf numFmtId="0" fontId="1" fillId="0" borderId="12" pivotButton="0" quotePrefix="0" xfId="0"/>
    <xf numFmtId="0" fontId="1" fillId="4" borderId="10" pivotButton="0" quotePrefix="0" xfId="0"/>
    <xf numFmtId="0" fontId="1" fillId="4" borderId="36" pivotButton="0" quotePrefix="0" xfId="0"/>
    <xf numFmtId="2" fontId="1" fillId="4" borderId="10" pivotButton="0" quotePrefix="0" xfId="0"/>
    <xf numFmtId="0" fontId="1" fillId="0" borderId="36" pivotButton="0" quotePrefix="0" xfId="0"/>
    <xf numFmtId="0" fontId="1" fillId="0" borderId="36" pivotButton="0" quotePrefix="0" xfId="0"/>
    <xf numFmtId="0" fontId="1" fillId="0" borderId="53" pivotButton="0" quotePrefix="0" xfId="0"/>
    <xf numFmtId="0" fontId="1" fillId="0" borderId="54" pivotButton="0" quotePrefix="0" xfId="0"/>
    <xf numFmtId="0" fontId="1" fillId="0" borderId="40" pivotButton="0" quotePrefix="0" xfId="0"/>
    <xf numFmtId="165" fontId="1" fillId="4" borderId="43" pivotButton="0" quotePrefix="0" xfId="0"/>
    <xf numFmtId="0" fontId="1" fillId="0" borderId="55" pivotButton="0" quotePrefix="0" xfId="0"/>
    <xf numFmtId="0" fontId="1" fillId="4" borderId="46" pivotButton="0" quotePrefix="0" xfId="0"/>
    <xf numFmtId="0" fontId="1" fillId="4" borderId="47" pivotButton="0" quotePrefix="0" xfId="0"/>
    <xf numFmtId="0" fontId="2" fillId="0" borderId="55" pivotButton="0" quotePrefix="0" xfId="0"/>
    <xf numFmtId="0" fontId="1" fillId="0" borderId="31" pivotButton="0" quotePrefix="0" xfId="0"/>
    <xf numFmtId="0" fontId="2" fillId="0" borderId="56" pivotButton="0" quotePrefix="0" xfId="0"/>
    <xf numFmtId="0" fontId="1" fillId="4" borderId="57" pivotButton="0" quotePrefix="0" xfId="0"/>
    <xf numFmtId="0" fontId="1" fillId="0" borderId="57" pivotButton="0" quotePrefix="0" xfId="0"/>
    <xf numFmtId="0" fontId="1" fillId="4" borderId="26" pivotButton="0" quotePrefix="0" xfId="0"/>
    <xf numFmtId="0" fontId="1" fillId="4" borderId="23" pivotButton="0" quotePrefix="0" xfId="0"/>
    <xf numFmtId="0" fontId="1" fillId="4" borderId="26" pivotButton="0" quotePrefix="0" xfId="0"/>
    <xf numFmtId="0" fontId="1" fillId="0" borderId="23" pivotButton="0" quotePrefix="0" xfId="0"/>
    <xf numFmtId="0" fontId="1" fillId="0" borderId="26" pivotButton="0" quotePrefix="0" xfId="0"/>
    <xf numFmtId="0" fontId="1" fillId="0" borderId="58" pivotButton="0" quotePrefix="0" xfId="0"/>
    <xf numFmtId="0" fontId="1" fillId="0" borderId="59" pivotButton="0" quotePrefix="0" xfId="0"/>
    <xf numFmtId="0" fontId="1" fillId="0" borderId="60" pivotButton="0" quotePrefix="0" xfId="0"/>
    <xf numFmtId="0" fontId="1" fillId="4" borderId="0" pivotButton="0" quotePrefix="0" xfId="0"/>
    <xf numFmtId="0" fontId="1" fillId="4" borderId="0" pivotButton="0" quotePrefix="0" xfId="0"/>
    <xf numFmtId="0" fontId="1" fillId="0" borderId="7" pivotButton="0" quotePrefix="0" xfId="0"/>
    <xf numFmtId="0" fontId="1" fillId="0" borderId="23" applyAlignment="1" pivotButton="0" quotePrefix="0" xfId="0">
      <alignment horizontal="center"/>
    </xf>
    <xf numFmtId="1" fontId="1" fillId="0" borderId="29" pivotButton="0" quotePrefix="0" xfId="0"/>
    <xf numFmtId="0" fontId="4" fillId="0" borderId="52" applyAlignment="1" pivotButton="0" quotePrefix="0" xfId="0">
      <alignment vertical="bottom"/>
    </xf>
    <xf numFmtId="0" fontId="4" fillId="0" borderId="54" applyAlignment="1" pivotButton="0" quotePrefix="0" xfId="0">
      <alignment vertical="bottom"/>
    </xf>
    <xf numFmtId="165" fontId="1" fillId="4" borderId="46" pivotButton="0" quotePrefix="0" xfId="0"/>
    <xf numFmtId="0" fontId="4" fillId="0" borderId="31" applyAlignment="1" pivotButton="0" quotePrefix="0" xfId="0">
      <alignment vertical="bottom"/>
    </xf>
    <xf numFmtId="0" fontId="1" fillId="0" borderId="45" pivotButton="0" quotePrefix="0" xfId="0"/>
    <xf numFmtId="0" fontId="1" fillId="4" borderId="46" pivotButton="0" quotePrefix="0" xfId="0"/>
    <xf numFmtId="0" fontId="1" fillId="4" borderId="47" pivotButton="0" quotePrefix="0" xfId="0"/>
    <xf numFmtId="165" fontId="1" fillId="4" borderId="46" pivotButton="0" quotePrefix="0" xfId="0"/>
    <xf numFmtId="0" fontId="1" fillId="0" borderId="2" pivotButton="0" quotePrefix="0" xfId="0"/>
    <xf numFmtId="0" fontId="4" fillId="0" borderId="57" applyAlignment="1" pivotButton="0" quotePrefix="0" xfId="0">
      <alignment vertical="bottom"/>
    </xf>
    <xf numFmtId="0" fontId="1" fillId="0" borderId="49" pivotButton="0" quotePrefix="0" xfId="0"/>
    <xf numFmtId="165" fontId="1" fillId="4" borderId="19" pivotButton="0" quotePrefix="0" xfId="0"/>
    <xf numFmtId="0" fontId="1" fillId="4" borderId="22" pivotButton="0" quotePrefix="0" xfId="0"/>
    <xf numFmtId="0" fontId="1" fillId="0" borderId="25" pivotButton="0" quotePrefix="0" xfId="0"/>
    <xf numFmtId="0" fontId="4" fillId="4" borderId="0" applyAlignment="1" pivotButton="0" quotePrefix="0" xfId="0">
      <alignment vertical="bottom"/>
    </xf>
    <xf numFmtId="166" fontId="4" fillId="4" borderId="0" applyAlignment="1" pivotButton="0" quotePrefix="0" xfId="0">
      <alignment horizontal="center"/>
    </xf>
    <xf numFmtId="1" fontId="1" fillId="0" borderId="29" pivotButton="0" quotePrefix="0" xfId="0"/>
    <xf numFmtId="0" fontId="1" fillId="0" borderId="52" pivotButton="0" quotePrefix="0" xfId="0"/>
    <xf numFmtId="0" fontId="1" fillId="0" borderId="61" pivotButton="0" quotePrefix="0" xfId="0"/>
    <xf numFmtId="0" fontId="1" fillId="0" borderId="62" pivotButton="0" quotePrefix="0" xfId="0"/>
    <xf numFmtId="0" fontId="1" fillId="4" borderId="61" pivotButton="0" quotePrefix="0" xfId="0"/>
    <xf numFmtId="0" fontId="1" fillId="4" borderId="63" pivotButton="0" quotePrefix="0" xfId="0"/>
    <xf numFmtId="165" fontId="1" fillId="4" borderId="10" pivotButton="0" quotePrefix="0" xfId="0"/>
    <xf numFmtId="0" fontId="1" fillId="0" borderId="56" pivotButton="0" quotePrefix="0" xfId="0"/>
    <xf numFmtId="0" fontId="4" fillId="0" borderId="0" applyAlignment="1" pivotButton="0" quotePrefix="0" xfId="0">
      <alignment vertical="bottom"/>
    </xf>
    <xf numFmtId="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4" fontId="4" fillId="0" borderId="0" applyAlignment="1" pivotButton="0" quotePrefix="0" xfId="0">
      <alignment horizontal="right" vertical="bottom"/>
    </xf>
    <xf numFmtId="167" fontId="4" fillId="0" borderId="0" applyAlignment="1" pivotButton="0" quotePrefix="0" xfId="0">
      <alignment vertical="bottom"/>
    </xf>
    <xf numFmtId="168" fontId="4" fillId="0" borderId="0" applyAlignment="1" pivotButton="0" quotePrefix="0" xfId="0">
      <alignment vertical="bottom"/>
    </xf>
    <xf numFmtId="169" fontId="4" fillId="0" borderId="0" applyAlignment="1" pivotButton="0" quotePrefix="0" xfId="0">
      <alignment vertical="bottom"/>
    </xf>
    <xf numFmtId="167" fontId="4" fillId="0" borderId="0" applyAlignment="1" pivotButton="0" quotePrefix="0" xfId="0">
      <alignment horizontal="right" vertical="bottom"/>
    </xf>
    <xf numFmtId="169" fontId="4" fillId="0" borderId="0" applyAlignment="1" pivotButton="0" quotePrefix="0" xfId="0">
      <alignment horizontal="right" vertical="bottom"/>
    </xf>
    <xf numFmtId="168" fontId="4" fillId="0" borderId="0" applyAlignment="1" pivotButton="0" quotePrefix="0" xfId="0">
      <alignment horizontal="right" vertical="bottom"/>
    </xf>
    <xf numFmtId="4" fontId="1" fillId="0" borderId="0" pivotButton="0" quotePrefix="0" xfId="0"/>
    <xf numFmtId="9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34" pivotButton="0" quotePrefix="0" xfId="0"/>
    <xf numFmtId="0" fontId="0" fillId="0" borderId="12" pivotButton="0" quotePrefix="0" xfId="0"/>
    <xf numFmtId="0" fontId="3" fillId="2" borderId="34" pivotButton="0" quotePrefix="0" xfId="0"/>
    <xf numFmtId="0" fontId="3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55" pivotButton="0" quotePrefix="0" xfId="0"/>
    <xf numFmtId="0" fontId="0" fillId="0" borderId="5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5"/>
  <sheetViews>
    <sheetView showGridLines="0" workbookViewId="0">
      <selection activeCell="A1" sqref="A1"/>
    </sheetView>
  </sheetViews>
  <sheetFormatPr baseColWidth="8" defaultColWidth="12.63" defaultRowHeight="15.75" customHeight="1"/>
  <cols>
    <col width="56.63" customWidth="1" style="163" min="3" max="3"/>
    <col hidden="1" width="12.63" customWidth="1" style="163" min="7" max="8"/>
  </cols>
  <sheetData>
    <row r="1">
      <c r="A1" s="5" t="n"/>
      <c r="B1" s="164" t="n"/>
      <c r="C1" s="165" t="n"/>
      <c r="D1" s="166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>
      <c r="A2" s="5" t="n"/>
      <c r="B2" s="167" t="n"/>
      <c r="C2" s="168" t="n"/>
      <c r="D2" s="16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5" t="n"/>
      <c r="W2" s="5" t="n"/>
      <c r="X2" s="5" t="n"/>
      <c r="Y2" s="5" t="n"/>
      <c r="Z2" s="5" t="n"/>
      <c r="AA2" s="5" t="n"/>
      <c r="AB2" s="5" t="n"/>
    </row>
    <row r="3">
      <c r="A3" s="10" t="n"/>
      <c r="B3" s="11" t="n">
        <v>46146</v>
      </c>
      <c r="C3" s="12" t="n"/>
      <c r="D3" s="93" t="n"/>
      <c r="E3" s="170" t="inlineStr">
        <is>
          <t xml:space="preserve">Logistics </t>
        </is>
      </c>
      <c r="F3" s="171" t="n"/>
      <c r="G3" s="170" t="inlineStr">
        <is>
          <t xml:space="preserve">Debox </t>
        </is>
      </c>
      <c r="H3" s="171" t="n"/>
      <c r="I3" s="170" t="inlineStr">
        <is>
          <t>Blast Chiller in KG</t>
        </is>
      </c>
      <c r="J3" s="171" t="n"/>
      <c r="K3" s="170" t="inlineStr">
        <is>
          <t>Plating Holding</t>
        </is>
      </c>
      <c r="L3" s="171" t="n"/>
      <c r="M3" s="172" t="inlineStr">
        <is>
          <t>Plating (Tuesday)</t>
        </is>
      </c>
      <c r="N3" s="171" t="n"/>
      <c r="O3" s="173" t="inlineStr">
        <is>
          <t xml:space="preserve">Sleeving </t>
        </is>
      </c>
      <c r="P3" s="174" t="n"/>
      <c r="Q3" s="171" t="n"/>
      <c r="R3" s="46" t="inlineStr">
        <is>
          <t>Comments if problems</t>
        </is>
      </c>
      <c r="S3" s="175" t="n"/>
      <c r="T3" s="175" t="n"/>
      <c r="U3" s="176" t="n"/>
      <c r="V3" s="52" t="n"/>
      <c r="W3" s="5" t="n"/>
      <c r="X3" s="5" t="n"/>
      <c r="Y3" s="5" t="n"/>
      <c r="Z3" s="5" t="n"/>
      <c r="AA3" s="5" t="n"/>
      <c r="AB3" s="5" t="n"/>
    </row>
    <row r="4">
      <c r="A4" s="10" t="n"/>
      <c r="B4" s="26" t="n"/>
      <c r="C4" s="24" t="n"/>
      <c r="D4" s="25" t="inlineStr">
        <is>
          <t xml:space="preserve">Work Order </t>
        </is>
      </c>
      <c r="E4" s="26" t="inlineStr">
        <is>
          <t>Staged</t>
        </is>
      </c>
      <c r="F4" s="82" t="inlineStr">
        <is>
          <t xml:space="preserve">Comment </t>
        </is>
      </c>
      <c r="G4" s="26" t="inlineStr">
        <is>
          <t>Planned</t>
        </is>
      </c>
      <c r="H4" s="82" t="inlineStr">
        <is>
          <t>Actual</t>
        </is>
      </c>
      <c r="I4" s="26" t="inlineStr">
        <is>
          <t>Planned</t>
        </is>
      </c>
      <c r="J4" s="82" t="inlineStr">
        <is>
          <t xml:space="preserve">Actual </t>
        </is>
      </c>
      <c r="K4" s="26" t="inlineStr">
        <is>
          <t>Planned</t>
        </is>
      </c>
      <c r="L4" s="82" t="inlineStr">
        <is>
          <t xml:space="preserve">Actual </t>
        </is>
      </c>
      <c r="M4" s="26" t="inlineStr">
        <is>
          <t xml:space="preserve">Planned </t>
        </is>
      </c>
      <c r="N4" s="82" t="inlineStr">
        <is>
          <t>Actual</t>
        </is>
      </c>
      <c r="O4" s="28" t="n">
        <v>6440</v>
      </c>
      <c r="P4" s="84" t="inlineStr">
        <is>
          <t>Planned</t>
        </is>
      </c>
      <c r="Q4" s="82" t="inlineStr">
        <is>
          <t>Actual</t>
        </is>
      </c>
      <c r="R4" s="177" t="n"/>
      <c r="S4" s="178" t="n"/>
      <c r="T4" s="178" t="n"/>
      <c r="U4" s="179" t="n"/>
      <c r="V4" s="52" t="n"/>
      <c r="W4" s="5" t="n"/>
      <c r="X4" s="5" t="n"/>
      <c r="Y4" s="5" t="n"/>
      <c r="Z4" s="5" t="n"/>
      <c r="AA4" s="5" t="n"/>
      <c r="AB4" s="5" t="n"/>
    </row>
    <row r="5">
      <c r="A5" s="132" t="inlineStr">
        <is>
          <t xml:space="preserve">Day </t>
        </is>
      </c>
      <c r="B5" s="34" t="inlineStr">
        <is>
          <t>Rezept</t>
        </is>
      </c>
      <c r="C5" s="35" t="inlineStr">
        <is>
          <t>FV0472A - Indian Butter Chicken</t>
        </is>
      </c>
      <c r="D5" s="45" t="n"/>
      <c r="E5" s="37" t="n"/>
      <c r="F5" s="38" t="n"/>
      <c r="G5" s="37" t="n"/>
      <c r="H5" s="38" t="n"/>
      <c r="I5" s="37" t="n"/>
      <c r="J5" s="38" t="n"/>
      <c r="K5" s="37" t="n"/>
      <c r="L5" s="38" t="n"/>
      <c r="M5" s="107" t="n">
        <v>6102</v>
      </c>
      <c r="N5" s="46" t="n"/>
      <c r="O5" s="121" t="inlineStr">
        <is>
          <t>DE</t>
        </is>
      </c>
      <c r="P5" s="42">
        <f>'Planting KW 20'!I3</f>
        <v/>
      </c>
      <c r="Q5" s="43" t="n"/>
      <c r="R5" s="61" t="n"/>
      <c r="S5" s="174" t="n"/>
      <c r="T5" s="174" t="n"/>
      <c r="U5" s="171" t="n"/>
      <c r="V5" s="52" t="n"/>
      <c r="W5" s="5" t="n"/>
      <c r="X5" s="5" t="n"/>
      <c r="Y5" s="5" t="n"/>
      <c r="Z5" s="5" t="n"/>
      <c r="AA5" s="5" t="n"/>
      <c r="AB5" s="5" t="n"/>
    </row>
    <row r="6">
      <c r="A6" s="45" t="inlineStr">
        <is>
          <t>Monday</t>
        </is>
      </c>
      <c r="B6" s="46" t="inlineStr">
        <is>
          <t>Sub</t>
        </is>
      </c>
      <c r="C6" s="47" t="n"/>
      <c r="D6" s="47" t="n"/>
      <c r="E6" s="48" t="n"/>
      <c r="F6" s="49" t="n"/>
      <c r="G6" s="48" t="n"/>
      <c r="H6" s="51" t="n"/>
      <c r="I6" s="48" t="n"/>
      <c r="J6" s="51" t="n"/>
      <c r="K6" s="48" t="n"/>
      <c r="L6" s="51" t="n"/>
      <c r="M6" s="48" t="inlineStr">
        <is>
          <t xml:space="preserve">Amount for 590kg </t>
        </is>
      </c>
      <c r="N6" s="51" t="n"/>
      <c r="O6" s="52" t="inlineStr">
        <is>
          <t>NOR</t>
        </is>
      </c>
      <c r="P6" s="68">
        <f>'Planting KW 20'!G3</f>
        <v/>
      </c>
      <c r="Q6" s="65" t="n"/>
      <c r="R6" s="67" t="n"/>
      <c r="S6" s="180" t="n"/>
      <c r="T6" s="180" t="n"/>
      <c r="U6" s="181" t="n"/>
      <c r="V6" s="52" t="n"/>
      <c r="W6" s="5" t="n"/>
      <c r="X6" s="5" t="n"/>
      <c r="Y6" s="5" t="n"/>
      <c r="Z6" s="5" t="n"/>
      <c r="AA6" s="5" t="n"/>
      <c r="AB6" s="5" t="n"/>
    </row>
    <row r="7">
      <c r="A7" s="58" t="n"/>
      <c r="B7" s="59" t="n"/>
      <c r="C7" s="67" t="inlineStr">
        <is>
          <t>Diced chicken - Butter Chicken Batch - BA</t>
        </is>
      </c>
      <c r="D7" s="61" t="inlineStr">
        <is>
          <t>20-32</t>
        </is>
      </c>
      <c r="E7" s="66" t="b">
        <v>0</v>
      </c>
      <c r="F7" s="52" t="inlineStr">
        <is>
          <t xml:space="preserve">590kg </t>
        </is>
      </c>
      <c r="G7" s="63" t="n"/>
      <c r="H7" s="64" t="n"/>
      <c r="I7" s="63">
        <f>O4*('MSKU INPUT (KW20)'!E438)/1000</f>
        <v/>
      </c>
      <c r="J7" s="65">
        <f>69+73+74+74</f>
        <v/>
      </c>
      <c r="K7" s="66" t="n"/>
      <c r="L7" s="65">
        <f>69+73+74+74</f>
        <v/>
      </c>
      <c r="M7" s="66" t="n"/>
      <c r="N7" s="65" t="n"/>
      <c r="O7" s="52" t="inlineStr">
        <is>
          <t xml:space="preserve">BNL </t>
        </is>
      </c>
      <c r="P7" s="68">
        <f>'Planting KW 20'!E3</f>
        <v/>
      </c>
      <c r="Q7" s="65" t="n"/>
      <c r="R7" s="67" t="n"/>
      <c r="S7" s="180" t="n"/>
      <c r="T7" s="180" t="n"/>
      <c r="U7" s="181" t="n"/>
      <c r="V7" s="52" t="n"/>
      <c r="W7" s="5" t="n"/>
      <c r="X7" s="5" t="n"/>
      <c r="Y7" s="5" t="n"/>
      <c r="Z7" s="5" t="n"/>
      <c r="AA7" s="5" t="n"/>
      <c r="AB7" s="5" t="n"/>
    </row>
    <row r="8">
      <c r="A8" s="10" t="n"/>
      <c r="B8" s="55" t="n"/>
      <c r="C8" s="67" t="inlineStr">
        <is>
          <t>Cauliflower rice - Cilantro and Lime Cauliflower Rice - BA</t>
        </is>
      </c>
      <c r="D8" s="67" t="inlineStr">
        <is>
          <t>20-31</t>
        </is>
      </c>
      <c r="E8" s="66" t="b">
        <v>0</v>
      </c>
      <c r="F8" s="52" t="n"/>
      <c r="G8" s="63" t="n"/>
      <c r="H8" s="64" t="n"/>
      <c r="I8" s="63">
        <f>O4*('MSKU INPUT (KW20)'!E470/1000)</f>
        <v/>
      </c>
      <c r="J8" s="65">
        <f>29+29+29+28+22+26+27+20+9+30+24+26+26+25+30+28+14</f>
        <v/>
      </c>
      <c r="K8" s="66" t="n"/>
      <c r="L8" s="65">
        <f>29+29+29+28+22+26+27+20+9+30+24+26+26+25+30+28+14</f>
        <v/>
      </c>
      <c r="M8" s="66" t="n"/>
      <c r="N8" s="65" t="n"/>
      <c r="O8" s="52" t="n"/>
      <c r="P8" s="68" t="n"/>
      <c r="Q8" s="65" t="n"/>
      <c r="R8" s="67" t="n"/>
      <c r="S8" s="180" t="n"/>
      <c r="T8" s="180" t="n"/>
      <c r="U8" s="181" t="n"/>
      <c r="V8" s="52" t="n"/>
      <c r="W8" s="5" t="n"/>
      <c r="X8" s="5" t="n"/>
      <c r="Y8" s="5" t="n"/>
      <c r="Z8" s="5" t="n"/>
      <c r="AA8" s="5" t="n"/>
      <c r="AB8" s="5" t="n"/>
    </row>
    <row r="9">
      <c r="A9" s="10" t="n"/>
      <c r="B9" s="69" t="n"/>
      <c r="C9" s="128" t="inlineStr">
        <is>
          <t>Roasted Green Onions</t>
        </is>
      </c>
      <c r="D9" s="67" t="inlineStr">
        <is>
          <t>20-33</t>
        </is>
      </c>
      <c r="E9" s="73" t="b">
        <v>0</v>
      </c>
      <c r="F9" s="75" t="inlineStr">
        <is>
          <t>45kg</t>
        </is>
      </c>
      <c r="G9" s="73" t="n"/>
      <c r="H9" s="74" t="n"/>
      <c r="I9" s="73">
        <f>O4*('MSKU INPUT (KW20)'!E561/1000)</f>
        <v/>
      </c>
      <c r="J9" s="74">
        <f>46+49</f>
        <v/>
      </c>
      <c r="K9" s="73" t="n"/>
      <c r="L9" s="74">
        <f>46+49</f>
        <v/>
      </c>
      <c r="M9" s="73" t="n"/>
      <c r="N9" s="74" t="n"/>
      <c r="O9" s="75" t="n"/>
      <c r="P9" s="76" t="n"/>
      <c r="Q9" s="74" t="n"/>
      <c r="R9" s="67" t="n"/>
      <c r="S9" s="180" t="n"/>
      <c r="T9" s="180" t="n"/>
      <c r="U9" s="181" t="n"/>
      <c r="V9" s="52" t="n"/>
      <c r="W9" s="5" t="n"/>
      <c r="X9" s="5" t="n"/>
      <c r="Y9" s="5" t="n"/>
      <c r="Z9" s="5" t="n"/>
      <c r="AA9" s="5" t="n"/>
      <c r="AB9" s="5" t="n"/>
    </row>
    <row r="10">
      <c r="A10" s="10" t="n"/>
      <c r="B10" s="77" t="n"/>
      <c r="C10" s="134" t="inlineStr">
        <is>
          <t>Sauce - Butter Chicken sauce</t>
        </is>
      </c>
      <c r="D10" s="134" t="inlineStr">
        <is>
          <t>20-34</t>
        </is>
      </c>
      <c r="E10" s="26" t="b">
        <v>0</v>
      </c>
      <c r="F10" s="83" t="n"/>
      <c r="G10" s="80" t="n"/>
      <c r="H10" s="136" t="n"/>
      <c r="I10" s="80">
        <f>O4*'MSKU INPUT (KW20)'!E560/1000</f>
        <v/>
      </c>
      <c r="J10" s="82">
        <f>108+109+93+107+107+106+106</f>
        <v/>
      </c>
      <c r="K10" s="26" t="n"/>
      <c r="L10" s="82">
        <f>108+109+93+107+107+106+106</f>
        <v/>
      </c>
      <c r="M10" s="26" t="n"/>
      <c r="N10" s="82" t="n"/>
      <c r="O10" s="83" t="n"/>
      <c r="P10" s="84" t="n"/>
      <c r="Q10" s="82" t="n"/>
      <c r="R10" s="134" t="n"/>
      <c r="S10" s="182" t="n"/>
      <c r="T10" s="182" t="n"/>
      <c r="U10" s="183" t="n"/>
      <c r="V10" s="52" t="n"/>
      <c r="W10" s="5" t="n"/>
      <c r="X10" s="5" t="n"/>
      <c r="Y10" s="5" t="n"/>
      <c r="Z10" s="5" t="n"/>
      <c r="AA10" s="5" t="n"/>
      <c r="AB10" s="5" t="n"/>
    </row>
    <row r="11">
      <c r="A11" s="5" t="n"/>
      <c r="B11" s="87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7" t="n"/>
      <c r="P11" s="87" t="n"/>
      <c r="Q11" s="87" t="n"/>
      <c r="R11" s="87" t="n"/>
      <c r="S11" s="87" t="n"/>
      <c r="T11" s="87" t="n"/>
      <c r="U11" s="87" t="n"/>
      <c r="V11" s="5" t="n"/>
      <c r="W11" s="5" t="n"/>
      <c r="X11" s="5" t="n"/>
      <c r="Y11" s="5" t="n"/>
      <c r="Z11" s="5" t="n"/>
      <c r="AA11" s="5" t="n"/>
      <c r="AB11" s="5" t="n"/>
    </row>
    <row r="12">
      <c r="A12" s="10" t="n"/>
      <c r="B12" s="11" t="n">
        <v>46146</v>
      </c>
      <c r="C12" s="12" t="n"/>
      <c r="D12" s="93" t="n"/>
      <c r="E12" s="170" t="inlineStr">
        <is>
          <t xml:space="preserve">Logistics </t>
        </is>
      </c>
      <c r="F12" s="171" t="n"/>
      <c r="G12" s="170" t="inlineStr">
        <is>
          <t xml:space="preserve">Debox </t>
        </is>
      </c>
      <c r="H12" s="171" t="n"/>
      <c r="I12" s="170" t="inlineStr">
        <is>
          <t>Blast Chiller</t>
        </is>
      </c>
      <c r="J12" s="171" t="n"/>
      <c r="K12" s="170" t="inlineStr">
        <is>
          <t>Plating Holding</t>
        </is>
      </c>
      <c r="L12" s="171" t="n"/>
      <c r="M12" s="172" t="inlineStr">
        <is>
          <t>Plating (Tuesday)</t>
        </is>
      </c>
      <c r="N12" s="171" t="n"/>
      <c r="O12" s="173" t="inlineStr">
        <is>
          <t xml:space="preserve">Sleeving </t>
        </is>
      </c>
      <c r="P12" s="174" t="n"/>
      <c r="Q12" s="171" t="n"/>
      <c r="R12" s="46" t="inlineStr">
        <is>
          <t>Comments if problems</t>
        </is>
      </c>
      <c r="S12" s="175" t="n"/>
      <c r="T12" s="175" t="n"/>
      <c r="U12" s="176" t="n"/>
      <c r="V12" s="5" t="n"/>
      <c r="W12" s="5" t="n"/>
      <c r="X12" s="5" t="n"/>
      <c r="Y12" s="5" t="n"/>
      <c r="Z12" s="5" t="n"/>
      <c r="AA12" s="5" t="n"/>
      <c r="AB12" s="5" t="n"/>
    </row>
    <row r="13">
      <c r="A13" s="10" t="n"/>
      <c r="B13" s="26" t="n"/>
      <c r="C13" s="24" t="n"/>
      <c r="D13" s="25" t="inlineStr">
        <is>
          <t xml:space="preserve">Work Order </t>
        </is>
      </c>
      <c r="E13" s="26" t="inlineStr">
        <is>
          <t>Staged</t>
        </is>
      </c>
      <c r="F13" s="82" t="inlineStr">
        <is>
          <t xml:space="preserve">Comment </t>
        </is>
      </c>
      <c r="G13" s="26" t="inlineStr">
        <is>
          <t>Planned</t>
        </is>
      </c>
      <c r="H13" s="82" t="inlineStr">
        <is>
          <t>Actual</t>
        </is>
      </c>
      <c r="I13" s="26" t="inlineStr">
        <is>
          <t>Planned</t>
        </is>
      </c>
      <c r="J13" s="82" t="inlineStr">
        <is>
          <t xml:space="preserve">Actual </t>
        </is>
      </c>
      <c r="K13" s="26" t="inlineStr">
        <is>
          <t>Planned</t>
        </is>
      </c>
      <c r="L13" s="82" t="inlineStr">
        <is>
          <t xml:space="preserve">Actual </t>
        </is>
      </c>
      <c r="M13" s="26" t="inlineStr">
        <is>
          <t xml:space="preserve">Planned </t>
        </is>
      </c>
      <c r="N13" s="82" t="inlineStr">
        <is>
          <t>Actual</t>
        </is>
      </c>
      <c r="O13" s="45" t="n">
        <v>1826</v>
      </c>
      <c r="P13" s="84" t="inlineStr">
        <is>
          <t>Planned</t>
        </is>
      </c>
      <c r="Q13" s="82" t="inlineStr">
        <is>
          <t>Actual</t>
        </is>
      </c>
      <c r="R13" s="177" t="n"/>
      <c r="S13" s="178" t="n"/>
      <c r="T13" s="178" t="n"/>
      <c r="U13" s="179" t="n"/>
      <c r="V13" s="5" t="n"/>
      <c r="W13" s="5" t="n"/>
      <c r="X13" s="5" t="n"/>
      <c r="Y13" s="5" t="n"/>
      <c r="Z13" s="5" t="n"/>
      <c r="AA13" s="5" t="n"/>
      <c r="AB13" s="5" t="n"/>
    </row>
    <row r="14">
      <c r="A14" s="132" t="inlineStr">
        <is>
          <t xml:space="preserve">Day </t>
        </is>
      </c>
      <c r="B14" s="34" t="inlineStr">
        <is>
          <t>Rezept</t>
        </is>
      </c>
      <c r="C14" s="45" t="inlineStr">
        <is>
          <t>FV0846A - Stroganoff-Style Beef Burger</t>
        </is>
      </c>
      <c r="D14" s="45" t="n"/>
      <c r="E14" s="37" t="n"/>
      <c r="F14" s="38" t="n"/>
      <c r="G14" s="37" t="n"/>
      <c r="H14" s="38" t="n"/>
      <c r="I14" s="37" t="n"/>
      <c r="J14" s="38" t="n"/>
      <c r="K14" s="37" t="n"/>
      <c r="L14" s="38" t="n"/>
      <c r="M14" s="45" t="n">
        <v>1826</v>
      </c>
      <c r="N14" s="38" t="n"/>
      <c r="O14" s="88" t="inlineStr">
        <is>
          <t>DE</t>
        </is>
      </c>
      <c r="P14" s="89" t="n">
        <v>521.776350226029</v>
      </c>
      <c r="Q14" s="43" t="n"/>
      <c r="R14" s="61" t="n"/>
      <c r="S14" s="174" t="n"/>
      <c r="T14" s="174" t="n"/>
      <c r="U14" s="171" t="n"/>
      <c r="V14" s="5" t="n"/>
      <c r="W14" s="5" t="n"/>
      <c r="X14" s="5" t="n"/>
      <c r="Y14" s="5" t="n"/>
      <c r="Z14" s="5" t="n"/>
      <c r="AA14" s="5" t="n"/>
      <c r="AB14" s="5" t="n"/>
    </row>
    <row r="15">
      <c r="A15" s="45" t="inlineStr">
        <is>
          <t>Monday</t>
        </is>
      </c>
      <c r="B15" s="46" t="inlineStr">
        <is>
          <t>Sub</t>
        </is>
      </c>
      <c r="C15" s="141" t="inlineStr">
        <is>
          <t>Beef Burger Master EU</t>
        </is>
      </c>
      <c r="D15" s="91" t="inlineStr">
        <is>
          <t>20-35</t>
        </is>
      </c>
      <c r="E15" s="92" t="b">
        <v>0</v>
      </c>
      <c r="F15" s="93" t="n"/>
      <c r="G15" s="94" t="n"/>
      <c r="H15" s="95" t="n"/>
      <c r="I15" s="96">
        <f>O13*('MSKU INPUT (KW20)'!AG631/1000)</f>
        <v/>
      </c>
      <c r="J15" s="95" t="n">
        <v>320</v>
      </c>
      <c r="K15" s="92" t="n"/>
      <c r="L15" s="98">
        <f>93+81+78+68</f>
        <v/>
      </c>
      <c r="M15" s="92" t="n"/>
      <c r="N15" s="98" t="n"/>
      <c r="O15" s="52" t="inlineStr">
        <is>
          <t>NOR</t>
        </is>
      </c>
      <c r="P15" s="89" t="n">
        <v>463.994289793005</v>
      </c>
      <c r="Q15" s="65" t="n"/>
      <c r="R15" s="67" t="n"/>
      <c r="S15" s="180" t="n"/>
      <c r="T15" s="180" t="n"/>
      <c r="U15" s="181" t="n"/>
      <c r="V15" s="5" t="n"/>
      <c r="W15" s="5" t="n"/>
      <c r="X15" s="5" t="n"/>
      <c r="Y15" s="5" t="n"/>
      <c r="Z15" s="5" t="n"/>
      <c r="AA15" s="5" t="n"/>
      <c r="AB15" s="5" t="n"/>
    </row>
    <row r="16">
      <c r="A16" s="58" t="n"/>
      <c r="B16" s="99" t="n"/>
      <c r="C16" s="100" t="inlineStr">
        <is>
          <t>Green Beans CUT 1-1/2 - Fresh - Less Salt</t>
        </is>
      </c>
      <c r="D16" s="100" t="inlineStr">
        <is>
          <t>20-26</t>
        </is>
      </c>
      <c r="E16" s="66" t="b">
        <v>0</v>
      </c>
      <c r="F16" s="101" t="n"/>
      <c r="G16" s="63" t="n"/>
      <c r="H16" s="64" t="n"/>
      <c r="I16" s="63">
        <f>O13*'MSKU INPUT (KW20)'!E594/1000</f>
        <v/>
      </c>
      <c r="J16" s="65">
        <f>30+20+16+27</f>
        <v/>
      </c>
      <c r="K16" s="66" t="n"/>
      <c r="L16" s="65">
        <f>61+60+58+38</f>
        <v/>
      </c>
      <c r="M16" s="66" t="n"/>
      <c r="N16" s="65" t="n"/>
      <c r="O16" s="52" t="inlineStr">
        <is>
          <t xml:space="preserve">BNL </t>
        </is>
      </c>
      <c r="P16" s="89" t="n">
        <v>858.0418748512967</v>
      </c>
      <c r="Q16" s="65" t="n"/>
      <c r="R16" s="67" t="n"/>
      <c r="S16" s="180" t="n"/>
      <c r="T16" s="180" t="n"/>
      <c r="U16" s="181" t="n"/>
      <c r="V16" s="5" t="n"/>
      <c r="W16" s="5" t="n"/>
      <c r="X16" s="5" t="n"/>
      <c r="Y16" s="5" t="n"/>
      <c r="Z16" s="5" t="n"/>
      <c r="AA16" s="5" t="n"/>
      <c r="AB16" s="5" t="n"/>
    </row>
    <row r="17">
      <c r="A17" s="10" t="n"/>
      <c r="B17" s="67" t="n"/>
      <c r="C17" s="100" t="inlineStr">
        <is>
          <t>Herb-Parmesan Butter</t>
        </is>
      </c>
      <c r="D17" s="100" t="inlineStr">
        <is>
          <t>20-27</t>
        </is>
      </c>
      <c r="E17" s="66" t="b">
        <v>0</v>
      </c>
      <c r="F17" s="101" t="n"/>
      <c r="G17" s="63" t="n"/>
      <c r="H17" s="64" t="n"/>
      <c r="I17" s="102">
        <f>O13*('MSKU INPUT (KW20)'!E607/1000)</f>
        <v/>
      </c>
      <c r="J17" s="65" t="n">
        <v>28</v>
      </c>
      <c r="K17" s="66" t="n"/>
      <c r="L17" s="65" t="n">
        <v>61</v>
      </c>
      <c r="M17" s="66" t="n"/>
      <c r="N17" s="65" t="n"/>
      <c r="O17" s="52" t="n"/>
      <c r="P17" s="68" t="n"/>
      <c r="Q17" s="65" t="n"/>
      <c r="R17" s="67" t="n"/>
      <c r="S17" s="180" t="n"/>
      <c r="T17" s="180" t="n"/>
      <c r="U17" s="181" t="n"/>
      <c r="V17" s="5" t="n"/>
      <c r="W17" s="5" t="n"/>
      <c r="X17" s="5" t="n"/>
      <c r="Y17" s="5" t="n"/>
      <c r="Z17" s="5" t="n"/>
      <c r="AA17" s="5" t="n"/>
      <c r="AB17" s="5" t="n"/>
    </row>
    <row r="18">
      <c r="A18" s="10" t="n"/>
      <c r="B18" s="128" t="n"/>
      <c r="C18" s="100" t="inlineStr">
        <is>
          <t>Loaded Roasted Sliced Mushrooms 1/2 green onion</t>
        </is>
      </c>
      <c r="D18" s="100" t="inlineStr">
        <is>
          <t>20-28</t>
        </is>
      </c>
      <c r="E18" s="73" t="b">
        <v>0</v>
      </c>
      <c r="F18" s="103" t="n"/>
      <c r="G18" s="129" t="n"/>
      <c r="H18" s="130" t="n"/>
      <c r="I18" s="129">
        <f>O13*'MSKU INPUT (KW20)'!E599/1000</f>
        <v/>
      </c>
      <c r="J18" s="74">
        <f>27+32+9+28+30</f>
        <v/>
      </c>
      <c r="K18" s="73" t="n"/>
      <c r="L18" s="74">
        <f>58+63+23+60+61</f>
        <v/>
      </c>
      <c r="M18" s="73" t="n"/>
      <c r="N18" s="74" t="n"/>
      <c r="O18" s="75" t="n"/>
      <c r="P18" s="76" t="n"/>
      <c r="Q18" s="74" t="n"/>
      <c r="R18" s="128" t="n"/>
      <c r="S18" s="165" t="n"/>
      <c r="T18" s="165" t="n"/>
      <c r="U18" s="184" t="n"/>
      <c r="V18" s="5" t="n"/>
      <c r="W18" s="5" t="n"/>
      <c r="X18" s="5" t="n"/>
      <c r="Y18" s="5" t="n"/>
      <c r="Z18" s="5" t="n"/>
      <c r="AA18" s="5" t="n"/>
      <c r="AB18" s="5" t="n"/>
    </row>
    <row r="19">
      <c r="A19" s="10" t="n"/>
      <c r="B19" s="134" t="n"/>
      <c r="C19" s="100" t="inlineStr">
        <is>
          <t>Roasted Green Onions</t>
        </is>
      </c>
      <c r="D19" s="107" t="inlineStr">
        <is>
          <t>20-29</t>
        </is>
      </c>
      <c r="E19" s="66" t="b">
        <v>0</v>
      </c>
      <c r="F19" s="101" t="inlineStr">
        <is>
          <t>12kg</t>
        </is>
      </c>
      <c r="G19" s="66" t="n"/>
      <c r="H19" s="65" t="n"/>
      <c r="I19" s="66">
        <f>O13*('MSKU INPUT (KW20)'!E593/1000)</f>
        <v/>
      </c>
      <c r="J19" s="65" t="n">
        <v>10</v>
      </c>
      <c r="K19" s="66" t="n"/>
      <c r="L19" s="65" t="n">
        <v>29</v>
      </c>
      <c r="M19" s="66" t="n"/>
      <c r="N19" s="65" t="n"/>
      <c r="O19" s="52" t="n"/>
      <c r="P19" s="68" t="n"/>
      <c r="Q19" s="10" t="n"/>
      <c r="R19" s="100" t="n"/>
      <c r="U19" s="185" t="n"/>
      <c r="V19" s="52" t="n"/>
      <c r="W19" s="5" t="n"/>
      <c r="X19" s="5" t="n"/>
      <c r="Y19" s="5" t="n"/>
      <c r="Z19" s="5" t="n"/>
      <c r="AA19" s="5" t="n"/>
      <c r="AB19" s="5" t="n"/>
    </row>
    <row r="20">
      <c r="B20" s="109" t="n"/>
      <c r="C20" s="110" t="inlineStr">
        <is>
          <t>Sauce for Beef Stroganoff - 1/2 garlic- No wine</t>
        </is>
      </c>
      <c r="D20" s="110" t="inlineStr">
        <is>
          <t>20-30</t>
        </is>
      </c>
      <c r="E20" s="26" t="b">
        <v>0</v>
      </c>
      <c r="F20" s="113" t="n"/>
      <c r="G20" s="112" t="n"/>
      <c r="H20" s="112" t="n"/>
      <c r="I20" s="112">
        <f>O13*'MSKU INPUT (KW20)'!E612/1000</f>
        <v/>
      </c>
      <c r="J20" s="113">
        <f>102+103</f>
        <v/>
      </c>
      <c r="K20" s="112" t="n"/>
      <c r="L20" s="113">
        <f>102+103</f>
        <v/>
      </c>
      <c r="M20" s="112" t="n"/>
      <c r="N20" s="113" t="n"/>
      <c r="O20" s="114" t="n"/>
      <c r="P20" s="114" t="n"/>
      <c r="Q20" s="115" t="n"/>
      <c r="R20" s="116" t="n"/>
      <c r="S20" s="117" t="n"/>
      <c r="T20" s="117" t="n"/>
      <c r="U20" s="118" t="n"/>
      <c r="V20" s="52" t="n"/>
      <c r="W20" s="5" t="n"/>
      <c r="X20" s="5" t="n"/>
      <c r="Y20" s="5" t="n"/>
      <c r="Z20" s="5" t="n"/>
      <c r="AA20" s="5" t="n"/>
      <c r="AB20" s="5" t="n"/>
    </row>
    <row r="21">
      <c r="B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R21" s="121" t="n"/>
      <c r="S21" s="87" t="n"/>
      <c r="T21" s="87" t="n"/>
      <c r="U21" s="87" t="n"/>
      <c r="V21" s="5" t="n"/>
      <c r="W21" s="5" t="n"/>
      <c r="X21" s="5" t="n"/>
      <c r="Y21" s="5" t="n"/>
      <c r="Z21" s="5" t="n"/>
      <c r="AA21" s="5" t="n"/>
      <c r="AB21" s="5" t="n"/>
    </row>
    <row r="22">
      <c r="B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R22" s="52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>
      <c r="A23" s="10" t="n"/>
      <c r="B23" s="11" t="n">
        <v>46147</v>
      </c>
      <c r="C23" s="12" t="n"/>
      <c r="D23" s="93" t="n"/>
      <c r="E23" s="170" t="inlineStr">
        <is>
          <t xml:space="preserve">Logistics </t>
        </is>
      </c>
      <c r="F23" s="171" t="n"/>
      <c r="G23" s="170" t="inlineStr">
        <is>
          <t xml:space="preserve">Debox </t>
        </is>
      </c>
      <c r="H23" s="171" t="n"/>
      <c r="I23" s="170" t="inlineStr">
        <is>
          <t>Blast Chiller</t>
        </is>
      </c>
      <c r="J23" s="171" t="n"/>
      <c r="K23" s="170" t="inlineStr">
        <is>
          <t>Plating Holding</t>
        </is>
      </c>
      <c r="L23" s="171" t="n"/>
      <c r="M23" s="170" t="inlineStr">
        <is>
          <t>Plating (Wednesday)</t>
        </is>
      </c>
      <c r="N23" s="171" t="n"/>
      <c r="O23" s="173" t="inlineStr">
        <is>
          <t xml:space="preserve">Sleeving </t>
        </is>
      </c>
      <c r="P23" s="174" t="n"/>
      <c r="Q23" s="171" t="n"/>
      <c r="R23" s="46" t="inlineStr">
        <is>
          <t>Comments if problems</t>
        </is>
      </c>
      <c r="S23" s="175" t="n"/>
      <c r="T23" s="175" t="n"/>
      <c r="U23" s="176" t="n"/>
      <c r="V23" s="5" t="n"/>
      <c r="W23" s="5" t="n"/>
      <c r="X23" s="5" t="n"/>
      <c r="Y23" s="5" t="n"/>
      <c r="Z23" s="5" t="n"/>
      <c r="AA23" s="5" t="n"/>
      <c r="AB23" s="5" t="n"/>
    </row>
    <row r="24">
      <c r="A24" s="10" t="n"/>
      <c r="B24" s="26" t="n"/>
      <c r="C24" s="24" t="n"/>
      <c r="D24" s="25" t="inlineStr">
        <is>
          <t xml:space="preserve">Work Order </t>
        </is>
      </c>
      <c r="E24" s="26" t="inlineStr">
        <is>
          <t>Staged</t>
        </is>
      </c>
      <c r="F24" s="82" t="inlineStr">
        <is>
          <t xml:space="preserve">Comment </t>
        </is>
      </c>
      <c r="G24" s="26" t="inlineStr">
        <is>
          <t>Planned</t>
        </is>
      </c>
      <c r="H24" s="82" t="inlineStr">
        <is>
          <t>Actual</t>
        </is>
      </c>
      <c r="I24" s="26" t="inlineStr">
        <is>
          <t>Planned</t>
        </is>
      </c>
      <c r="J24" s="82" t="inlineStr">
        <is>
          <t xml:space="preserve">Actual </t>
        </is>
      </c>
      <c r="K24" s="26" t="inlineStr">
        <is>
          <t>Planned</t>
        </is>
      </c>
      <c r="L24" s="82" t="inlineStr">
        <is>
          <t xml:space="preserve">Actual </t>
        </is>
      </c>
      <c r="M24" s="26" t="inlineStr">
        <is>
          <t xml:space="preserve">Planned </t>
        </is>
      </c>
      <c r="N24" s="82" t="inlineStr">
        <is>
          <t>Actual</t>
        </is>
      </c>
      <c r="O24" s="122" t="n"/>
      <c r="P24" s="84" t="inlineStr">
        <is>
          <t>Planned</t>
        </is>
      </c>
      <c r="Q24" s="82" t="inlineStr">
        <is>
          <t>Actual</t>
        </is>
      </c>
      <c r="R24" s="177" t="n"/>
      <c r="S24" s="178" t="n"/>
      <c r="T24" s="178" t="n"/>
      <c r="U24" s="179" t="n"/>
      <c r="V24" s="5" t="n"/>
      <c r="W24" s="5" t="n"/>
      <c r="X24" s="5" t="n"/>
      <c r="Y24" s="5" t="n"/>
      <c r="Z24" s="5" t="n"/>
      <c r="AA24" s="5" t="n"/>
      <c r="AB24" s="5" t="n"/>
    </row>
    <row r="25">
      <c r="A25" s="132" t="inlineStr">
        <is>
          <t xml:space="preserve">Day </t>
        </is>
      </c>
      <c r="B25" s="34" t="inlineStr">
        <is>
          <t>Rezept</t>
        </is>
      </c>
      <c r="C25" s="45" t="inlineStr">
        <is>
          <t>FV0281A - Baja Salmon</t>
        </is>
      </c>
      <c r="D25" s="45" t="n"/>
      <c r="E25" s="37" t="n"/>
      <c r="F25" s="38" t="n"/>
      <c r="G25" s="37" t="n"/>
      <c r="H25" s="38" t="n"/>
      <c r="I25" s="37" t="n"/>
      <c r="J25" s="38" t="n"/>
      <c r="K25" s="37" t="n"/>
      <c r="L25" s="38" t="n"/>
      <c r="M25" s="140">
        <f>'Planting KW 20'!N5</f>
        <v/>
      </c>
      <c r="N25" s="38" t="n"/>
      <c r="O25" s="121" t="inlineStr">
        <is>
          <t>DE</t>
        </is>
      </c>
      <c r="P25" s="42">
        <f>'Planting KW 20'!I5</f>
        <v/>
      </c>
      <c r="Q25" s="43" t="n"/>
      <c r="R25" s="61" t="n"/>
      <c r="S25" s="174" t="n"/>
      <c r="T25" s="174" t="n"/>
      <c r="U25" s="171" t="n"/>
      <c r="V25" s="5" t="n"/>
      <c r="W25" s="5" t="n"/>
      <c r="X25" s="5" t="n"/>
      <c r="Y25" s="5" t="n"/>
      <c r="Z25" s="5" t="n"/>
      <c r="AA25" s="5" t="n"/>
      <c r="AB25" s="5" t="n"/>
    </row>
    <row r="26">
      <c r="A26" s="45" t="inlineStr">
        <is>
          <t>Tuesday</t>
        </is>
      </c>
      <c r="B26" s="46" t="inlineStr">
        <is>
          <t>Sub</t>
        </is>
      </c>
      <c r="C26" s="124" t="n"/>
      <c r="D26" s="61" t="n"/>
      <c r="E26" s="92" t="n"/>
      <c r="F26" s="88" t="n"/>
      <c r="G26" s="94" t="n"/>
      <c r="H26" s="95" t="n"/>
      <c r="I26" s="94" t="n"/>
      <c r="J26" s="95" t="n"/>
      <c r="K26" s="92" t="n"/>
      <c r="L26" s="98" t="n"/>
      <c r="M26" s="92" t="n"/>
      <c r="N26" s="98" t="n"/>
      <c r="O26" s="52" t="inlineStr">
        <is>
          <t>NOR</t>
        </is>
      </c>
      <c r="P26" s="68">
        <f>'Planting KW 20'!G5</f>
        <v/>
      </c>
      <c r="Q26" s="65" t="n"/>
      <c r="R26" s="67" t="n"/>
      <c r="S26" s="180" t="n"/>
      <c r="T26" s="180" t="n"/>
      <c r="U26" s="181" t="n"/>
      <c r="V26" s="5" t="n"/>
      <c r="W26" s="5" t="n"/>
      <c r="X26" s="5" t="n"/>
      <c r="Y26" s="5" t="n"/>
      <c r="Z26" s="5" t="n"/>
      <c r="AA26" s="5" t="n"/>
      <c r="AB26" s="5" t="n"/>
    </row>
    <row r="27">
      <c r="A27" s="58" t="n"/>
      <c r="B27" s="59" t="n"/>
      <c r="C27" s="125" t="inlineStr">
        <is>
          <t>Mexican Cauliflower Rice</t>
        </is>
      </c>
      <c r="D27" s="67" t="inlineStr">
        <is>
          <t>20-17</t>
        </is>
      </c>
      <c r="E27" s="66" t="b">
        <v>0</v>
      </c>
      <c r="F27" s="52" t="n"/>
      <c r="G27" s="63" t="n"/>
      <c r="H27" s="64" t="n"/>
      <c r="I27" s="102">
        <f>('MSKU INPUT (KW20)'!E188/1000)*(M25)</f>
        <v/>
      </c>
      <c r="J27" s="64" t="n"/>
      <c r="K27" s="66" t="n"/>
      <c r="L27" s="65" t="n"/>
      <c r="M27" s="66" t="n"/>
      <c r="N27" s="65" t="n"/>
      <c r="O27" s="52" t="inlineStr">
        <is>
          <t xml:space="preserve">BNL </t>
        </is>
      </c>
      <c r="P27" s="68">
        <f>'Planting KW 20'!E5</f>
        <v/>
      </c>
      <c r="Q27" s="65" t="n"/>
      <c r="R27" s="67" t="n"/>
      <c r="S27" s="180" t="n"/>
      <c r="T27" s="180" t="n"/>
      <c r="U27" s="181" t="n"/>
      <c r="V27" s="5" t="n"/>
      <c r="W27" s="5" t="n"/>
      <c r="X27" s="5" t="n"/>
      <c r="Y27" s="5" t="n"/>
      <c r="Z27" s="5" t="n"/>
      <c r="AA27" s="5" t="n"/>
      <c r="AB27" s="5" t="n"/>
    </row>
    <row r="28">
      <c r="A28" s="10" t="n"/>
      <c r="B28" s="55" t="n"/>
      <c r="C28" s="125" t="inlineStr">
        <is>
          <t>Salmon - BAJA Salmon - Batch</t>
        </is>
      </c>
      <c r="D28" s="67" t="inlineStr">
        <is>
          <t>20-18</t>
        </is>
      </c>
      <c r="E28" s="66" t="b">
        <v>0</v>
      </c>
      <c r="F28" s="52" t="n"/>
      <c r="G28" s="63" t="n"/>
      <c r="H28" s="64" t="n"/>
      <c r="I28" s="102">
        <f>((SUM('MSKU INPUT (KW20)'!AE197:AE208)*Median('MSKU INPUT (KW20)'!AD197:AD208))/1000)*M25</f>
        <v/>
      </c>
      <c r="J28" s="64" t="n"/>
      <c r="K28" s="66" t="n"/>
      <c r="L28" s="65" t="n"/>
      <c r="M28" s="66" t="n"/>
      <c r="N28" s="65" t="n"/>
      <c r="O28" s="52" t="n"/>
      <c r="P28" s="68" t="n"/>
      <c r="Q28" s="65" t="n"/>
      <c r="R28" s="67" t="n"/>
      <c r="S28" s="180" t="n"/>
      <c r="T28" s="180" t="n"/>
      <c r="U28" s="181" t="n"/>
      <c r="V28" s="5" t="n"/>
      <c r="W28" s="5" t="n"/>
      <c r="X28" s="5" t="n"/>
      <c r="Y28" s="5" t="n"/>
      <c r="Z28" s="5" t="n"/>
      <c r="AA28" s="5" t="n"/>
      <c r="AB28" s="5" t="n"/>
    </row>
    <row r="29">
      <c r="A29" s="10" t="n"/>
      <c r="B29" s="69" t="n"/>
      <c r="C29" s="125" t="inlineStr">
        <is>
          <t>Compound butter - Chili-Garlic Butter - master batch</t>
        </is>
      </c>
      <c r="D29" s="67" t="inlineStr">
        <is>
          <t>20-16</t>
        </is>
      </c>
      <c r="E29" s="73" t="b">
        <v>0</v>
      </c>
      <c r="F29" s="75" t="n"/>
      <c r="G29" s="129" t="n"/>
      <c r="H29" s="130" t="n"/>
      <c r="I29" s="131">
        <f>'MSKU INPUT (KW20)'!E209/1000*M25</f>
        <v/>
      </c>
      <c r="J29" s="130" t="n"/>
      <c r="K29" s="73" t="n"/>
      <c r="L29" s="74" t="n"/>
      <c r="M29" s="73" t="n"/>
      <c r="N29" s="74" t="n"/>
      <c r="O29" s="75" t="n"/>
      <c r="P29" s="76" t="n"/>
      <c r="Q29" s="74" t="n"/>
      <c r="R29" s="128" t="n"/>
      <c r="S29" s="165" t="n"/>
      <c r="T29" s="165" t="n"/>
      <c r="U29" s="184" t="n"/>
      <c r="V29" s="5" t="n"/>
      <c r="W29" s="5" t="n"/>
      <c r="X29" s="5" t="n"/>
      <c r="Y29" s="5" t="n"/>
      <c r="Z29" s="5" t="n"/>
      <c r="AA29" s="5" t="n"/>
      <c r="AB29" s="5" t="n"/>
    </row>
    <row r="30">
      <c r="A30" s="10" t="n"/>
      <c r="B30" s="69" t="n"/>
      <c r="C30" s="127" t="inlineStr">
        <is>
          <t>Sauce - Cilantro Sour Cream</t>
        </is>
      </c>
      <c r="D30" s="128" t="inlineStr">
        <is>
          <t>20-19</t>
        </is>
      </c>
      <c r="E30" s="73" t="b">
        <v>0</v>
      </c>
      <c r="F30" s="75" t="n"/>
      <c r="G30" s="129" t="n"/>
      <c r="H30" s="130" t="n"/>
      <c r="I30" s="131">
        <f>'MSKU INPUT (KW20)'!E220/1000*M25</f>
        <v/>
      </c>
      <c r="J30" s="130" t="n"/>
      <c r="K30" s="73" t="n"/>
      <c r="L30" s="74" t="n"/>
      <c r="M30" s="73" t="n"/>
      <c r="N30" s="74" t="n"/>
      <c r="O30" s="75" t="n"/>
      <c r="P30" s="76" t="n"/>
      <c r="Q30" s="132" t="n"/>
      <c r="R30" s="100" t="n"/>
      <c r="U30" s="185" t="n"/>
      <c r="V30" s="52" t="n"/>
      <c r="W30" s="5" t="n"/>
      <c r="X30" s="5" t="n"/>
      <c r="Y30" s="5" t="n"/>
      <c r="Z30" s="5" t="n"/>
      <c r="AA30" s="5" t="n"/>
      <c r="AB30" s="5" t="n"/>
    </row>
    <row r="31">
      <c r="A31" s="10" t="n"/>
      <c r="B31" s="77" t="n"/>
      <c r="C31" s="133" t="inlineStr">
        <is>
          <t>Broccoli - S&amp;P Broccoli FLORETS - less salt</t>
        </is>
      </c>
      <c r="D31" s="134" t="inlineStr">
        <is>
          <t>20-14</t>
        </is>
      </c>
      <c r="E31" s="26" t="b">
        <v>0</v>
      </c>
      <c r="F31" s="83" t="n"/>
      <c r="G31" s="80" t="n"/>
      <c r="H31" s="136" t="n"/>
      <c r="I31" s="135">
        <f>'MSKU INPUT (KW20)'!E219/1000*M25</f>
        <v/>
      </c>
      <c r="J31" s="136" t="n"/>
      <c r="K31" s="26" t="n"/>
      <c r="L31" s="82" t="n"/>
      <c r="M31" s="26" t="n"/>
      <c r="N31" s="82" t="n"/>
      <c r="O31" s="83" t="n"/>
      <c r="P31" s="84" t="n"/>
      <c r="Q31" s="82" t="n"/>
      <c r="R31" s="110" t="n"/>
      <c r="S31" s="178" t="n"/>
      <c r="T31" s="178" t="n"/>
      <c r="U31" s="179" t="n"/>
      <c r="V31" s="5" t="n"/>
      <c r="W31" s="5" t="n"/>
      <c r="X31" s="5" t="n"/>
      <c r="Y31" s="5" t="n"/>
      <c r="Z31" s="5" t="n"/>
      <c r="AA31" s="5" t="n"/>
      <c r="AB31" s="5" t="n"/>
    </row>
    <row r="32">
      <c r="C32" s="138" t="n"/>
      <c r="D32" s="139" t="n"/>
      <c r="E32" s="120" t="n"/>
      <c r="F32" s="120" t="n"/>
      <c r="G32" s="120" t="n"/>
      <c r="H32" s="120" t="n"/>
      <c r="I32" s="120" t="n"/>
      <c r="J32" s="120" t="n"/>
      <c r="O32" s="45" t="n"/>
      <c r="R32" s="52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>
      <c r="A33" s="10" t="n"/>
      <c r="B33" s="11" t="n">
        <v>46147</v>
      </c>
      <c r="C33" s="12" t="n"/>
      <c r="D33" s="93" t="n"/>
      <c r="E33" s="170" t="inlineStr">
        <is>
          <t xml:space="preserve">Logistics </t>
        </is>
      </c>
      <c r="F33" s="171" t="n"/>
      <c r="G33" s="170" t="inlineStr">
        <is>
          <t xml:space="preserve">Debox </t>
        </is>
      </c>
      <c r="H33" s="171" t="n"/>
      <c r="I33" s="170" t="inlineStr">
        <is>
          <t>Blast Chiller</t>
        </is>
      </c>
      <c r="J33" s="171" t="n"/>
      <c r="K33" s="170" t="inlineStr">
        <is>
          <t>Plating Holding</t>
        </is>
      </c>
      <c r="L33" s="171" t="n"/>
      <c r="M33" s="170" t="inlineStr">
        <is>
          <t>Plating (Wednesday)</t>
        </is>
      </c>
      <c r="N33" s="171" t="n"/>
      <c r="O33" s="173" t="inlineStr">
        <is>
          <t xml:space="preserve">Sleeving </t>
        </is>
      </c>
      <c r="P33" s="174" t="n"/>
      <c r="Q33" s="171" t="n"/>
      <c r="R33" s="46" t="inlineStr">
        <is>
          <t>Comments if problems</t>
        </is>
      </c>
      <c r="S33" s="175" t="n"/>
      <c r="T33" s="175" t="n"/>
      <c r="U33" s="176" t="n"/>
      <c r="V33" s="5" t="n"/>
      <c r="W33" s="5" t="n"/>
      <c r="X33" s="5" t="n"/>
      <c r="Y33" s="5" t="n"/>
      <c r="Z33" s="5" t="n"/>
      <c r="AA33" s="5" t="n"/>
      <c r="AB33" s="5" t="n"/>
    </row>
    <row r="34">
      <c r="A34" s="10" t="n"/>
      <c r="B34" s="26" t="n"/>
      <c r="C34" s="24" t="n"/>
      <c r="D34" s="25" t="inlineStr">
        <is>
          <t xml:space="preserve">Work Order </t>
        </is>
      </c>
      <c r="E34" s="26" t="inlineStr">
        <is>
          <t>Staged</t>
        </is>
      </c>
      <c r="F34" s="82" t="inlineStr">
        <is>
          <t xml:space="preserve">Comment </t>
        </is>
      </c>
      <c r="G34" s="26" t="inlineStr">
        <is>
          <t>Planned</t>
        </is>
      </c>
      <c r="H34" s="82" t="inlineStr">
        <is>
          <t>Actual</t>
        </is>
      </c>
      <c r="I34" s="26" t="inlineStr">
        <is>
          <t>Planned</t>
        </is>
      </c>
      <c r="J34" s="82" t="inlineStr">
        <is>
          <t xml:space="preserve">Actual </t>
        </is>
      </c>
      <c r="K34" s="26" t="inlineStr">
        <is>
          <t>Planned</t>
        </is>
      </c>
      <c r="L34" s="82" t="inlineStr">
        <is>
          <t xml:space="preserve">Actual </t>
        </is>
      </c>
      <c r="M34" s="26" t="inlineStr">
        <is>
          <t xml:space="preserve">Planned </t>
        </is>
      </c>
      <c r="N34" s="82" t="inlineStr">
        <is>
          <t>Actual</t>
        </is>
      </c>
      <c r="O34" s="122" t="n"/>
      <c r="P34" s="84" t="inlineStr">
        <is>
          <t>Planned</t>
        </is>
      </c>
      <c r="Q34" s="82" t="inlineStr">
        <is>
          <t>Actual</t>
        </is>
      </c>
      <c r="R34" s="177" t="n"/>
      <c r="S34" s="178" t="n"/>
      <c r="T34" s="178" t="n"/>
      <c r="U34" s="179" t="n"/>
      <c r="V34" s="5" t="n"/>
      <c r="W34" s="5" t="n"/>
      <c r="X34" s="5" t="n"/>
      <c r="Y34" s="5" t="n"/>
      <c r="Z34" s="5" t="n"/>
      <c r="AA34" s="5" t="n"/>
      <c r="AB34" s="5" t="n"/>
    </row>
    <row r="35">
      <c r="A35" s="132" t="inlineStr">
        <is>
          <t xml:space="preserve">Day </t>
        </is>
      </c>
      <c r="B35" s="34" t="inlineStr">
        <is>
          <t>Rezept</t>
        </is>
      </c>
      <c r="C35" s="45" t="inlineStr">
        <is>
          <t>FV0333A - Tuscan Shrimp</t>
        </is>
      </c>
      <c r="D35" s="45" t="n"/>
      <c r="E35" s="37" t="n"/>
      <c r="F35" s="38" t="n"/>
      <c r="G35" s="37" t="n"/>
      <c r="H35" s="38" t="n"/>
      <c r="I35" s="37" t="n"/>
      <c r="J35" s="38" t="n"/>
      <c r="K35" s="37" t="n"/>
      <c r="L35" s="38" t="n"/>
      <c r="M35" s="140">
        <f>'Planting KW 20'!N6</f>
        <v/>
      </c>
      <c r="N35" s="38" t="n"/>
      <c r="O35" s="121" t="inlineStr">
        <is>
          <t>DE</t>
        </is>
      </c>
      <c r="P35" s="42">
        <f>'Planting KW 20'!I6</f>
        <v/>
      </c>
      <c r="Q35" s="43" t="n"/>
      <c r="R35" s="61" t="n"/>
      <c r="S35" s="174" t="n"/>
      <c r="T35" s="174" t="n"/>
      <c r="U35" s="171" t="n"/>
      <c r="V35" s="5" t="n"/>
      <c r="W35" s="5" t="n"/>
      <c r="X35" s="5" t="n"/>
      <c r="Y35" s="5" t="n"/>
      <c r="Z35" s="5" t="n"/>
      <c r="AA35" s="5" t="n"/>
      <c r="AB35" s="5" t="n"/>
    </row>
    <row r="36">
      <c r="A36" s="45" t="inlineStr">
        <is>
          <t>Tuesday</t>
        </is>
      </c>
      <c r="B36" s="46" t="inlineStr">
        <is>
          <t>Sub</t>
        </is>
      </c>
      <c r="C36" s="141" t="n"/>
      <c r="D36" s="141" t="n"/>
      <c r="E36" s="142" t="b">
        <v>0</v>
      </c>
      <c r="F36" s="143" t="n"/>
      <c r="G36" s="144" t="n"/>
      <c r="H36" s="145" t="n"/>
      <c r="I36" s="144" t="n"/>
      <c r="J36" s="145" t="n"/>
      <c r="K36" s="92" t="n"/>
      <c r="L36" s="98" t="n"/>
      <c r="M36" s="92" t="n"/>
      <c r="N36" s="98" t="n"/>
      <c r="O36" s="52" t="inlineStr">
        <is>
          <t>NOR</t>
        </is>
      </c>
      <c r="P36" s="68">
        <f>'Planting KW 20'!G6</f>
        <v/>
      </c>
      <c r="Q36" s="65" t="n"/>
      <c r="R36" s="67" t="n"/>
      <c r="S36" s="180" t="n"/>
      <c r="T36" s="180" t="n"/>
      <c r="U36" s="181" t="n"/>
      <c r="V36" s="5" t="n"/>
      <c r="W36" s="5" t="n"/>
      <c r="X36" s="5" t="n"/>
      <c r="Y36" s="5" t="n"/>
      <c r="Z36" s="5" t="n"/>
      <c r="AA36" s="5" t="n"/>
      <c r="AB36" s="5" t="n"/>
    </row>
    <row r="37">
      <c r="A37" s="58" t="n"/>
      <c r="B37" s="59" t="n"/>
      <c r="C37" s="61" t="inlineStr">
        <is>
          <t>Tuscan Shrimp batch</t>
        </is>
      </c>
      <c r="D37" s="61" t="inlineStr">
        <is>
          <t>20-23</t>
        </is>
      </c>
      <c r="E37" s="92" t="b">
        <v>0</v>
      </c>
      <c r="F37" s="88" t="n"/>
      <c r="G37" s="94" t="n"/>
      <c r="H37" s="95" t="n"/>
      <c r="I37" s="146">
        <f>'MSKU INPUT (KW20)'!AG313/1000*M35</f>
        <v/>
      </c>
      <c r="J37" s="95" t="n"/>
      <c r="K37" s="66" t="n"/>
      <c r="L37" s="65" t="n"/>
      <c r="M37" s="66" t="n"/>
      <c r="N37" s="65" t="n"/>
      <c r="O37" s="52" t="inlineStr">
        <is>
          <t xml:space="preserve">BNL </t>
        </is>
      </c>
      <c r="P37" s="68">
        <f>'Planting KW 20'!E6</f>
        <v/>
      </c>
      <c r="Q37" s="65" t="n"/>
      <c r="R37" s="67" t="n"/>
      <c r="S37" s="180" t="n"/>
      <c r="T37" s="180" t="n"/>
      <c r="U37" s="181" t="n"/>
      <c r="V37" s="5" t="n"/>
      <c r="W37" s="5" t="n"/>
      <c r="X37" s="5" t="n"/>
      <c r="Y37" s="5" t="n"/>
      <c r="Z37" s="5" t="n"/>
      <c r="AA37" s="5" t="n"/>
      <c r="AB37" s="5" t="n"/>
    </row>
    <row r="38">
      <c r="A38" s="10" t="n"/>
      <c r="B38" s="55" t="n"/>
      <c r="C38" s="67" t="inlineStr">
        <is>
          <t>Creamed Kale - Cream Cheese</t>
        </is>
      </c>
      <c r="D38" s="67" t="inlineStr">
        <is>
          <t>20-21</t>
        </is>
      </c>
      <c r="E38" s="66" t="b">
        <v>0</v>
      </c>
      <c r="F38" s="52" t="n"/>
      <c r="G38" s="63" t="n"/>
      <c r="H38" s="64" t="n"/>
      <c r="I38" s="102">
        <f>'MSKU INPUT (KW20)'!E311/1000*M35</f>
        <v/>
      </c>
      <c r="J38" s="64" t="n"/>
      <c r="K38" s="66" t="n"/>
      <c r="L38" s="65" t="n"/>
      <c r="M38" s="66" t="n"/>
      <c r="N38" s="65" t="n"/>
      <c r="O38" s="52" t="n"/>
      <c r="P38" s="68" t="n"/>
      <c r="Q38" s="65" t="n"/>
      <c r="R38" s="67" t="n"/>
      <c r="S38" s="180" t="n"/>
      <c r="T38" s="180" t="n"/>
      <c r="U38" s="181" t="n"/>
      <c r="V38" s="5" t="n"/>
      <c r="W38" s="5" t="n"/>
      <c r="X38" s="5" t="n"/>
      <c r="Y38" s="5" t="n"/>
      <c r="Z38" s="5" t="n"/>
      <c r="AA38" s="5" t="n"/>
      <c r="AB38" s="5" t="n"/>
    </row>
    <row r="39">
      <c r="A39" s="10" t="n"/>
      <c r="B39" s="69" t="n"/>
      <c r="C39" s="128" t="inlineStr">
        <is>
          <t>Sauce - Tuscan Shrimp Butter Sauce</t>
        </is>
      </c>
      <c r="D39" s="67" t="inlineStr">
        <is>
          <t>20-22</t>
        </is>
      </c>
      <c r="E39" s="73" t="b">
        <v>0</v>
      </c>
      <c r="F39" s="75" t="n"/>
      <c r="G39" s="129" t="n"/>
      <c r="H39" s="130" t="n"/>
      <c r="I39" s="131">
        <f>'MSKU INPUT (KW20)'!E323/1000*M35</f>
        <v/>
      </c>
      <c r="J39" s="130" t="n"/>
      <c r="K39" s="73" t="n"/>
      <c r="L39" s="74" t="n"/>
      <c r="M39" s="73" t="n"/>
      <c r="N39" s="74" t="n"/>
      <c r="O39" s="75" t="n"/>
      <c r="P39" s="76" t="n"/>
      <c r="Q39" s="74" t="n"/>
      <c r="R39" s="67" t="n"/>
      <c r="S39" s="180" t="n"/>
      <c r="T39" s="180" t="n"/>
      <c r="U39" s="181" t="n"/>
      <c r="V39" s="5" t="n"/>
      <c r="W39" s="5" t="n"/>
      <c r="X39" s="5" t="n"/>
      <c r="Y39" s="5" t="n"/>
      <c r="Z39" s="5" t="n"/>
      <c r="AA39" s="5" t="n"/>
      <c r="AB39" s="5" t="n"/>
    </row>
    <row r="40">
      <c r="A40" s="10" t="n"/>
      <c r="B40" s="77" t="n"/>
      <c r="C40" s="134" t="inlineStr">
        <is>
          <t>Zucchini/Pepper/Onion Mix for Tuscan Shrimp - 1/2 Diced</t>
        </is>
      </c>
      <c r="D40" s="134" t="inlineStr">
        <is>
          <t>20-24</t>
        </is>
      </c>
      <c r="E40" s="26" t="b">
        <v>0</v>
      </c>
      <c r="F40" s="83" t="n"/>
      <c r="G40" s="80" t="n"/>
      <c r="H40" s="136" t="n"/>
      <c r="I40" s="135">
        <f>'MSKU INPUT (KW20)'!E334/1000*M35</f>
        <v/>
      </c>
      <c r="J40" s="136" t="n"/>
      <c r="K40" s="26" t="n"/>
      <c r="L40" s="82" t="n"/>
      <c r="M40" s="26" t="n"/>
      <c r="N40" s="82" t="n"/>
      <c r="O40" s="83" t="n"/>
      <c r="P40" s="84" t="n"/>
      <c r="Q40" s="82" t="n"/>
      <c r="R40" s="134" t="n"/>
      <c r="S40" s="182" t="n"/>
      <c r="T40" s="182" t="n"/>
      <c r="U40" s="183" t="n"/>
      <c r="V40" s="5" t="n"/>
      <c r="W40" s="5" t="n"/>
      <c r="X40" s="5" t="n"/>
      <c r="Y40" s="5" t="n"/>
      <c r="Z40" s="5" t="n"/>
      <c r="AA40" s="5" t="n"/>
      <c r="AB40" s="5" t="n"/>
    </row>
    <row r="41">
      <c r="A41" s="5" t="n"/>
      <c r="B41" s="5" t="n"/>
      <c r="C41" s="87" t="n"/>
      <c r="D41" s="87" t="n"/>
      <c r="E41" s="87" t="n"/>
      <c r="F41" s="87" t="n"/>
      <c r="G41" s="87" t="n"/>
      <c r="H41" s="87" t="n"/>
      <c r="I41" s="87" t="n"/>
      <c r="J41" s="87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s="10" t="n"/>
      <c r="B42" s="11" t="n">
        <v>46148</v>
      </c>
      <c r="C42" s="12" t="n"/>
      <c r="D42" s="93" t="n"/>
      <c r="E42" s="170" t="inlineStr">
        <is>
          <t xml:space="preserve">Logistics </t>
        </is>
      </c>
      <c r="F42" s="171" t="n"/>
      <c r="G42" s="170" t="inlineStr">
        <is>
          <t xml:space="preserve">Debox </t>
        </is>
      </c>
      <c r="H42" s="171" t="n"/>
      <c r="I42" s="170" t="inlineStr">
        <is>
          <t>Blast Chiller</t>
        </is>
      </c>
      <c r="J42" s="171" t="n"/>
      <c r="K42" s="170" t="inlineStr">
        <is>
          <t>Plating Holding</t>
        </is>
      </c>
      <c r="L42" s="171" t="n"/>
      <c r="M42" s="170" t="inlineStr">
        <is>
          <t>Plating (Thursday)</t>
        </is>
      </c>
      <c r="N42" s="171" t="n"/>
      <c r="O42" s="173" t="inlineStr">
        <is>
          <t xml:space="preserve">Sleeving </t>
        </is>
      </c>
      <c r="P42" s="174" t="n"/>
      <c r="Q42" s="171" t="n"/>
      <c r="R42" s="46" t="inlineStr">
        <is>
          <t>Comments if problems</t>
        </is>
      </c>
      <c r="S42" s="175" t="n"/>
      <c r="T42" s="175" t="n"/>
      <c r="U42" s="176" t="n"/>
      <c r="V42" s="5" t="n"/>
      <c r="W42" s="5" t="n"/>
      <c r="X42" s="5" t="n"/>
      <c r="Y42" s="5" t="n"/>
      <c r="Z42" s="5" t="n"/>
      <c r="AA42" s="5" t="n"/>
      <c r="AB42" s="5" t="n"/>
    </row>
    <row r="43">
      <c r="A43" s="10" t="n"/>
      <c r="B43" s="26" t="n"/>
      <c r="C43" s="24" t="n"/>
      <c r="D43" s="25" t="inlineStr">
        <is>
          <t xml:space="preserve">Work Order </t>
        </is>
      </c>
      <c r="E43" s="26" t="inlineStr">
        <is>
          <t>Staged</t>
        </is>
      </c>
      <c r="F43" s="82" t="inlineStr">
        <is>
          <t xml:space="preserve">Comment </t>
        </is>
      </c>
      <c r="G43" s="26" t="inlineStr">
        <is>
          <t>Planned</t>
        </is>
      </c>
      <c r="H43" s="82" t="inlineStr">
        <is>
          <t>Actual</t>
        </is>
      </c>
      <c r="I43" s="26" t="inlineStr">
        <is>
          <t>Planned</t>
        </is>
      </c>
      <c r="J43" s="82" t="inlineStr">
        <is>
          <t xml:space="preserve">Actual </t>
        </is>
      </c>
      <c r="K43" s="26" t="inlineStr">
        <is>
          <t>Planned</t>
        </is>
      </c>
      <c r="L43" s="82" t="inlineStr">
        <is>
          <t xml:space="preserve">Actual </t>
        </is>
      </c>
      <c r="M43" s="26" t="inlineStr">
        <is>
          <t xml:space="preserve">Planned </t>
        </is>
      </c>
      <c r="N43" s="82" t="inlineStr">
        <is>
          <t>Actual</t>
        </is>
      </c>
      <c r="O43" s="122" t="n"/>
      <c r="P43" s="84" t="inlineStr">
        <is>
          <t>Planned</t>
        </is>
      </c>
      <c r="Q43" s="82" t="inlineStr">
        <is>
          <t>Actual</t>
        </is>
      </c>
      <c r="R43" s="177" t="n"/>
      <c r="S43" s="178" t="n"/>
      <c r="T43" s="178" t="n"/>
      <c r="U43" s="179" t="n"/>
      <c r="V43" s="5" t="n"/>
      <c r="W43" s="5" t="n"/>
      <c r="X43" s="5" t="n"/>
      <c r="Y43" s="5" t="n"/>
      <c r="Z43" s="5" t="n"/>
      <c r="AA43" s="5" t="n"/>
      <c r="AB43" s="5" t="n"/>
    </row>
    <row r="44">
      <c r="A44" s="132" t="inlineStr">
        <is>
          <t xml:space="preserve">Day </t>
        </is>
      </c>
      <c r="B44" s="34" t="inlineStr">
        <is>
          <t>Rezept</t>
        </is>
      </c>
      <c r="C44" s="45" t="inlineStr">
        <is>
          <t>FV0035A - Salmon with pesto</t>
        </is>
      </c>
      <c r="D44" s="45" t="n"/>
      <c r="E44" s="37" t="n"/>
      <c r="F44" s="38" t="n"/>
      <c r="G44" s="37" t="n"/>
      <c r="H44" s="38" t="n"/>
      <c r="I44" s="37" t="n"/>
      <c r="J44" s="38" t="n"/>
      <c r="K44" s="37" t="n"/>
      <c r="L44" s="38" t="n"/>
      <c r="M44" s="140">
        <f>'Planting KW 20'!N3</f>
        <v/>
      </c>
      <c r="N44" s="38" t="n"/>
      <c r="O44" s="121" t="inlineStr">
        <is>
          <t>DE</t>
        </is>
      </c>
      <c r="P44" s="42">
        <f>'Planting KW 20'!I7</f>
        <v/>
      </c>
      <c r="Q44" s="43" t="n"/>
      <c r="R44" s="61" t="n"/>
      <c r="S44" s="174" t="n"/>
      <c r="T44" s="174" t="n"/>
      <c r="U44" s="171" t="n"/>
      <c r="V44" s="5" t="n"/>
      <c r="W44" s="5" t="n"/>
      <c r="X44" s="5" t="n"/>
      <c r="Y44" s="5" t="n"/>
      <c r="Z44" s="5" t="n"/>
      <c r="AA44" s="5" t="n"/>
      <c r="AB44" s="5" t="n"/>
    </row>
    <row r="45">
      <c r="A45" s="45" t="inlineStr">
        <is>
          <t>Wendsday</t>
        </is>
      </c>
      <c r="B45" s="46" t="inlineStr">
        <is>
          <t>Sub</t>
        </is>
      </c>
      <c r="C45" s="61" t="n"/>
      <c r="D45" s="61" t="n"/>
      <c r="E45" s="92" t="b">
        <v>0</v>
      </c>
      <c r="F45" s="88" t="n"/>
      <c r="G45" s="94" t="n"/>
      <c r="H45" s="95" t="n"/>
      <c r="I45" s="94" t="n"/>
      <c r="J45" s="95" t="n"/>
      <c r="K45" s="92" t="n"/>
      <c r="L45" s="98" t="n"/>
      <c r="M45" s="92" t="n"/>
      <c r="N45" s="98" t="n"/>
      <c r="O45" s="52" t="inlineStr">
        <is>
          <t>NOR</t>
        </is>
      </c>
      <c r="P45" s="68">
        <f>'Planting KW 20'!G7</f>
        <v/>
      </c>
      <c r="Q45" s="65" t="n"/>
      <c r="R45" s="67" t="n"/>
      <c r="S45" s="180" t="n"/>
      <c r="T45" s="180" t="n"/>
      <c r="U45" s="181" t="n"/>
      <c r="V45" s="5" t="n"/>
      <c r="W45" s="5" t="n"/>
      <c r="X45" s="5" t="n"/>
      <c r="Y45" s="5" t="n"/>
      <c r="Z45" s="5" t="n"/>
      <c r="AA45" s="5" t="n"/>
      <c r="AB45" s="5" t="n"/>
    </row>
    <row r="46">
      <c r="A46" s="58" t="n"/>
      <c r="B46" s="59" t="n"/>
      <c r="C46" s="67" t="inlineStr">
        <is>
          <t>Salmon - garlic seasoning</t>
        </is>
      </c>
      <c r="D46" s="67" t="inlineStr">
        <is>
          <t>20-53</t>
        </is>
      </c>
      <c r="E46" s="66" t="b">
        <v>0</v>
      </c>
      <c r="F46" s="52" t="n"/>
      <c r="G46" s="63" t="n"/>
      <c r="H46" s="64" t="n"/>
      <c r="I46" s="63" t="n"/>
      <c r="J46" s="64" t="n"/>
      <c r="K46" s="66" t="n"/>
      <c r="L46" s="65" t="n"/>
      <c r="M46" s="66" t="n"/>
      <c r="N46" s="65" t="n"/>
      <c r="O46" s="52" t="inlineStr">
        <is>
          <t xml:space="preserve">BNL </t>
        </is>
      </c>
      <c r="P46" s="68">
        <f>'Planting KW 20'!E7</f>
        <v/>
      </c>
      <c r="Q46" s="65" t="n"/>
      <c r="R46" s="67" t="n"/>
      <c r="S46" s="180" t="n"/>
      <c r="T46" s="180" t="n"/>
      <c r="U46" s="181" t="n"/>
      <c r="V46" s="5" t="n"/>
      <c r="W46" s="5" t="n"/>
      <c r="X46" s="5" t="n"/>
      <c r="Y46" s="5" t="n"/>
      <c r="Z46" s="5" t="n"/>
      <c r="AA46" s="5" t="n"/>
      <c r="AB46" s="5" t="n"/>
    </row>
    <row r="47">
      <c r="A47" s="10" t="n"/>
      <c r="B47" s="55" t="n"/>
      <c r="C47" s="67" t="inlineStr">
        <is>
          <t>Compound butter - Sun-Dried Tomato</t>
        </is>
      </c>
      <c r="D47" s="67" t="inlineStr">
        <is>
          <t>20-56</t>
        </is>
      </c>
      <c r="E47" s="66" t="b">
        <v>0</v>
      </c>
      <c r="F47" s="52" t="n"/>
      <c r="G47" s="63" t="n"/>
      <c r="H47" s="64" t="n"/>
      <c r="I47" s="63" t="n"/>
      <c r="J47" s="64" t="n"/>
      <c r="K47" s="66" t="n"/>
      <c r="L47" s="65" t="n"/>
      <c r="M47" s="66" t="n"/>
      <c r="N47" s="65" t="n"/>
      <c r="O47" s="52" t="n"/>
      <c r="P47" s="68" t="n"/>
      <c r="Q47" s="65" t="n"/>
      <c r="R47" s="128" t="n"/>
      <c r="S47" s="165" t="n"/>
      <c r="T47" s="165" t="n"/>
      <c r="U47" s="184" t="n"/>
      <c r="V47" s="5" t="n"/>
      <c r="W47" s="5" t="n"/>
      <c r="X47" s="5" t="n"/>
      <c r="Y47" s="5" t="n"/>
      <c r="Z47" s="5" t="n"/>
      <c r="AA47" s="5" t="n"/>
      <c r="AB47" s="5" t="n"/>
    </row>
    <row r="48">
      <c r="A48" s="10" t="n"/>
      <c r="B48" s="69" t="n"/>
      <c r="C48" s="128" t="inlineStr">
        <is>
          <t>S&amp;P Roasted Green Beans 1</t>
        </is>
      </c>
      <c r="D48" s="67" t="inlineStr">
        <is>
          <t>20-58</t>
        </is>
      </c>
      <c r="E48" s="73" t="b">
        <v>0</v>
      </c>
      <c r="F48" s="75" t="n"/>
      <c r="G48" s="129" t="n"/>
      <c r="H48" s="130" t="n"/>
      <c r="I48" s="129" t="n"/>
      <c r="J48" s="130" t="n"/>
      <c r="K48" s="73" t="n"/>
      <c r="L48" s="74" t="n"/>
      <c r="M48" s="73" t="n"/>
      <c r="N48" s="74" t="n"/>
      <c r="O48" s="75" t="n"/>
      <c r="P48" s="76" t="n"/>
      <c r="Q48" s="132" t="n"/>
      <c r="R48" s="100" t="n"/>
      <c r="U48" s="185" t="n"/>
      <c r="V48" s="52" t="n"/>
      <c r="W48" s="5" t="n"/>
      <c r="X48" s="5" t="n"/>
      <c r="Y48" s="5" t="n"/>
      <c r="Z48" s="5" t="n"/>
      <c r="AA48" s="5" t="n"/>
      <c r="AB48" s="5" t="n"/>
    </row>
    <row r="49">
      <c r="A49" s="10" t="n"/>
      <c r="B49" s="69" t="n"/>
      <c r="C49" s="128" t="inlineStr">
        <is>
          <t>Spinach - Creamed Spinach</t>
        </is>
      </c>
      <c r="D49" s="128" t="inlineStr">
        <is>
          <t>20-61</t>
        </is>
      </c>
      <c r="E49" s="73" t="b">
        <v>0</v>
      </c>
      <c r="F49" s="75" t="n"/>
      <c r="G49" s="129" t="n"/>
      <c r="H49" s="130" t="n"/>
      <c r="I49" s="129" t="n"/>
      <c r="J49" s="130" t="n"/>
      <c r="K49" s="73" t="n"/>
      <c r="L49" s="74" t="n"/>
      <c r="M49" s="73" t="n"/>
      <c r="N49" s="74" t="n"/>
      <c r="O49" s="75" t="n"/>
      <c r="P49" s="76" t="n"/>
      <c r="Q49" s="132" t="n"/>
      <c r="R49" s="107" t="n"/>
      <c r="U49" s="147" t="n"/>
      <c r="V49" s="52" t="n"/>
      <c r="W49" s="5" t="n"/>
      <c r="X49" s="5" t="n"/>
      <c r="Y49" s="5" t="n"/>
      <c r="Z49" s="5" t="n"/>
      <c r="AA49" s="5" t="n"/>
      <c r="AB49" s="5" t="n"/>
    </row>
    <row r="50">
      <c r="A50" s="10" t="n"/>
      <c r="B50" s="77" t="n"/>
      <c r="C50" s="134" t="inlineStr">
        <is>
          <t>Sauce - Pesto</t>
        </is>
      </c>
      <c r="D50" s="134" t="inlineStr">
        <is>
          <t>20-60</t>
        </is>
      </c>
      <c r="E50" s="26" t="b">
        <v>0</v>
      </c>
      <c r="F50" s="83" t="n"/>
      <c r="G50" s="80" t="n"/>
      <c r="H50" s="136" t="n"/>
      <c r="I50" s="80" t="n"/>
      <c r="J50" s="136" t="n"/>
      <c r="K50" s="26" t="n"/>
      <c r="L50" s="82" t="n"/>
      <c r="M50" s="26" t="n"/>
      <c r="N50" s="82" t="n"/>
      <c r="O50" s="83" t="n"/>
      <c r="P50" s="84" t="n"/>
      <c r="Q50" s="82" t="n"/>
      <c r="R50" s="110" t="n"/>
      <c r="S50" s="178" t="n"/>
      <c r="T50" s="178" t="n"/>
      <c r="U50" s="179" t="n"/>
      <c r="V50" s="5" t="n"/>
      <c r="W50" s="5" t="n"/>
      <c r="X50" s="5" t="n"/>
      <c r="Y50" s="5" t="n"/>
      <c r="Z50" s="5" t="n"/>
      <c r="AA50" s="5" t="n"/>
      <c r="AB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>
      <c r="A52" s="10" t="n"/>
      <c r="B52" s="11" t="n">
        <v>46148</v>
      </c>
      <c r="C52" s="12" t="n"/>
      <c r="D52" s="93" t="n"/>
      <c r="E52" s="170" t="inlineStr">
        <is>
          <t xml:space="preserve">Logistics </t>
        </is>
      </c>
      <c r="F52" s="171" t="n"/>
      <c r="G52" s="170" t="inlineStr">
        <is>
          <t xml:space="preserve">Debox </t>
        </is>
      </c>
      <c r="H52" s="171" t="n"/>
      <c r="I52" s="170" t="inlineStr">
        <is>
          <t>Blast Chiller</t>
        </is>
      </c>
      <c r="J52" s="171" t="n"/>
      <c r="K52" s="170" t="inlineStr">
        <is>
          <t>Plating Holding</t>
        </is>
      </c>
      <c r="L52" s="171" t="n"/>
      <c r="M52" s="170" t="inlineStr">
        <is>
          <t>Plating (Thursday)</t>
        </is>
      </c>
      <c r="N52" s="171" t="n"/>
      <c r="O52" s="173" t="inlineStr">
        <is>
          <t xml:space="preserve">Sleeving </t>
        </is>
      </c>
      <c r="P52" s="174" t="n"/>
      <c r="Q52" s="171" t="n"/>
      <c r="R52" s="46" t="inlineStr">
        <is>
          <t>Comments if problems</t>
        </is>
      </c>
      <c r="S52" s="175" t="n"/>
      <c r="T52" s="175" t="n"/>
      <c r="U52" s="176" t="n"/>
      <c r="V52" s="5" t="n"/>
      <c r="W52" s="5" t="n"/>
      <c r="X52" s="5" t="n"/>
      <c r="Y52" s="5" t="n"/>
      <c r="Z52" s="5" t="n"/>
      <c r="AA52" s="5" t="n"/>
      <c r="AB52" s="5" t="n"/>
    </row>
    <row r="53">
      <c r="A53" s="10" t="n"/>
      <c r="B53" s="26" t="n"/>
      <c r="C53" s="24" t="n"/>
      <c r="D53" s="25" t="inlineStr">
        <is>
          <t xml:space="preserve">Work Order </t>
        </is>
      </c>
      <c r="E53" s="26" t="inlineStr">
        <is>
          <t>Staged</t>
        </is>
      </c>
      <c r="F53" s="82" t="inlineStr">
        <is>
          <t xml:space="preserve">Comment </t>
        </is>
      </c>
      <c r="G53" s="26" t="inlineStr">
        <is>
          <t>Planned</t>
        </is>
      </c>
      <c r="H53" s="82" t="inlineStr">
        <is>
          <t>Actual</t>
        </is>
      </c>
      <c r="I53" s="26" t="inlineStr">
        <is>
          <t>Planned</t>
        </is>
      </c>
      <c r="J53" s="82" t="inlineStr">
        <is>
          <t xml:space="preserve">Actual </t>
        </is>
      </c>
      <c r="K53" s="26" t="inlineStr">
        <is>
          <t>Planned</t>
        </is>
      </c>
      <c r="L53" s="82" t="inlineStr">
        <is>
          <t xml:space="preserve">Actual </t>
        </is>
      </c>
      <c r="M53" s="26" t="inlineStr">
        <is>
          <t xml:space="preserve">Planned </t>
        </is>
      </c>
      <c r="N53" s="82" t="inlineStr">
        <is>
          <t>Actual</t>
        </is>
      </c>
      <c r="O53" s="122" t="n"/>
      <c r="P53" s="84" t="inlineStr">
        <is>
          <t>Planned</t>
        </is>
      </c>
      <c r="Q53" s="82" t="inlineStr">
        <is>
          <t>Actual</t>
        </is>
      </c>
      <c r="R53" s="177" t="n"/>
      <c r="S53" s="178" t="n"/>
      <c r="T53" s="178" t="n"/>
      <c r="U53" s="179" t="n"/>
      <c r="V53" s="5" t="n"/>
      <c r="W53" s="5" t="n"/>
      <c r="X53" s="5" t="n"/>
      <c r="Y53" s="5" t="n"/>
      <c r="Z53" s="5" t="n"/>
      <c r="AA53" s="5" t="n"/>
      <c r="AB53" s="5" t="n"/>
    </row>
    <row r="54">
      <c r="A54" s="132" t="inlineStr">
        <is>
          <t xml:space="preserve">Day </t>
        </is>
      </c>
      <c r="B54" s="34" t="inlineStr">
        <is>
          <t>Rezept</t>
        </is>
      </c>
      <c r="C54" s="45" t="inlineStr">
        <is>
          <t>FV0846A - Stroganoff-Style Beef Burger</t>
        </is>
      </c>
      <c r="D54" s="45" t="n"/>
      <c r="E54" s="37" t="n"/>
      <c r="F54" s="38" t="n"/>
      <c r="G54" s="37" t="n"/>
      <c r="H54" s="38" t="n"/>
      <c r="I54" s="37" t="n"/>
      <c r="J54" s="38" t="n"/>
      <c r="K54" s="37" t="n"/>
      <c r="L54" s="38" t="n"/>
      <c r="M54" s="37" t="n"/>
      <c r="N54" s="38" t="n"/>
      <c r="O54" s="121" t="inlineStr">
        <is>
          <t>DE</t>
        </is>
      </c>
      <c r="P54" s="42" t="n"/>
      <c r="Q54" s="43" t="n"/>
      <c r="R54" s="61" t="n"/>
      <c r="S54" s="174" t="n"/>
      <c r="T54" s="174" t="n"/>
      <c r="U54" s="171" t="n"/>
      <c r="V54" s="5" t="n"/>
      <c r="W54" s="5" t="n"/>
      <c r="X54" s="5" t="n"/>
      <c r="Y54" s="5" t="n"/>
      <c r="Z54" s="5" t="n"/>
      <c r="AA54" s="5" t="n"/>
      <c r="AB54" s="5" t="n"/>
    </row>
    <row r="55">
      <c r="A55" s="45" t="inlineStr">
        <is>
          <t>Wendsday</t>
        </is>
      </c>
      <c r="B55" s="46" t="inlineStr">
        <is>
          <t>Sub</t>
        </is>
      </c>
      <c r="C55" s="61" t="n"/>
      <c r="D55" s="61" t="n"/>
      <c r="E55" s="92" t="b">
        <v>0</v>
      </c>
      <c r="F55" s="88" t="n"/>
      <c r="G55" s="94" t="n"/>
      <c r="H55" s="95" t="n"/>
      <c r="I55" s="94" t="n"/>
      <c r="J55" s="95" t="n"/>
      <c r="K55" s="92" t="n"/>
      <c r="L55" s="98" t="n"/>
      <c r="M55" s="92" t="n"/>
      <c r="N55" s="98" t="n"/>
      <c r="O55" s="52" t="inlineStr">
        <is>
          <t>NOR</t>
        </is>
      </c>
      <c r="P55" s="68" t="n"/>
      <c r="Q55" s="65" t="n"/>
      <c r="R55" s="67" t="n"/>
      <c r="S55" s="180" t="n"/>
      <c r="T55" s="180" t="n"/>
      <c r="U55" s="181" t="n"/>
      <c r="V55" s="5" t="n"/>
      <c r="W55" s="5" t="n"/>
      <c r="X55" s="5" t="n"/>
      <c r="Y55" s="5" t="n"/>
      <c r="Z55" s="5" t="n"/>
      <c r="AA55" s="5" t="n"/>
      <c r="AB55" s="5" t="n"/>
    </row>
    <row r="56">
      <c r="A56" s="58" t="n"/>
      <c r="B56" s="59" t="n"/>
      <c r="C56" s="67" t="n"/>
      <c r="D56" s="67" t="n"/>
      <c r="E56" s="66" t="b">
        <v>0</v>
      </c>
      <c r="F56" s="52" t="n"/>
      <c r="G56" s="63" t="n"/>
      <c r="H56" s="64" t="n"/>
      <c r="I56" s="63" t="n"/>
      <c r="J56" s="64" t="n"/>
      <c r="K56" s="66" t="n"/>
      <c r="L56" s="65" t="n"/>
      <c r="M56" s="66" t="n"/>
      <c r="N56" s="65" t="n"/>
      <c r="O56" s="52" t="inlineStr">
        <is>
          <t xml:space="preserve">BNL </t>
        </is>
      </c>
      <c r="P56" s="68" t="n"/>
      <c r="Q56" s="65" t="n"/>
      <c r="R56" s="67" t="n"/>
      <c r="S56" s="180" t="n"/>
      <c r="T56" s="180" t="n"/>
      <c r="U56" s="181" t="n"/>
      <c r="V56" s="5" t="n"/>
      <c r="W56" s="5" t="n"/>
      <c r="X56" s="5" t="n"/>
      <c r="Y56" s="5" t="n"/>
      <c r="Z56" s="5" t="n"/>
      <c r="AA56" s="5" t="n"/>
      <c r="AB56" s="5" t="n"/>
    </row>
    <row r="57">
      <c r="A57" s="10" t="n"/>
      <c r="B57" s="55" t="n"/>
      <c r="C57" s="67" t="n"/>
      <c r="D57" s="67" t="n"/>
      <c r="E57" s="66" t="b">
        <v>0</v>
      </c>
      <c r="F57" s="52" t="n"/>
      <c r="G57" s="63" t="n"/>
      <c r="H57" s="64" t="n"/>
      <c r="I57" s="63" t="n"/>
      <c r="J57" s="64" t="n"/>
      <c r="K57" s="66" t="n"/>
      <c r="L57" s="65" t="n"/>
      <c r="M57" s="66" t="n"/>
      <c r="N57" s="65" t="n"/>
      <c r="O57" s="52" t="n"/>
      <c r="P57" s="68" t="n"/>
      <c r="Q57" s="65" t="n"/>
      <c r="R57" s="67" t="n"/>
      <c r="S57" s="180" t="n"/>
      <c r="T57" s="180" t="n"/>
      <c r="U57" s="181" t="n"/>
      <c r="V57" s="5" t="n"/>
      <c r="W57" s="5" t="n"/>
      <c r="X57" s="5" t="n"/>
      <c r="Y57" s="5" t="n"/>
      <c r="Z57" s="5" t="n"/>
      <c r="AA57" s="5" t="n"/>
      <c r="AB57" s="5" t="n"/>
    </row>
    <row r="58">
      <c r="A58" s="10" t="n"/>
      <c r="B58" s="69" t="n"/>
      <c r="C58" s="128" t="n"/>
      <c r="D58" s="67" t="n"/>
      <c r="E58" s="73" t="b">
        <v>0</v>
      </c>
      <c r="F58" s="75" t="n"/>
      <c r="G58" s="129" t="n"/>
      <c r="H58" s="130" t="n"/>
      <c r="I58" s="129" t="n"/>
      <c r="J58" s="130" t="n"/>
      <c r="K58" s="73" t="n"/>
      <c r="L58" s="74" t="n"/>
      <c r="M58" s="73" t="n"/>
      <c r="N58" s="74" t="n"/>
      <c r="O58" s="75" t="n"/>
      <c r="P58" s="76" t="n"/>
      <c r="Q58" s="74" t="n"/>
      <c r="R58" s="67" t="n"/>
      <c r="S58" s="180" t="n"/>
      <c r="T58" s="180" t="n"/>
      <c r="U58" s="181" t="n"/>
      <c r="V58" s="5" t="n"/>
      <c r="W58" s="5" t="n"/>
      <c r="X58" s="5" t="n"/>
      <c r="Y58" s="5" t="n"/>
      <c r="Z58" s="5" t="n"/>
      <c r="AA58" s="5" t="n"/>
      <c r="AB58" s="5" t="n"/>
    </row>
    <row r="59">
      <c r="A59" s="10" t="n"/>
      <c r="B59" s="77" t="n"/>
      <c r="C59" s="134" t="n"/>
      <c r="D59" s="134" t="n"/>
      <c r="E59" s="26" t="b">
        <v>0</v>
      </c>
      <c r="F59" s="83" t="n"/>
      <c r="G59" s="80" t="n"/>
      <c r="H59" s="136" t="n"/>
      <c r="I59" s="80" t="n"/>
      <c r="J59" s="136" t="n"/>
      <c r="K59" s="26" t="n"/>
      <c r="L59" s="82" t="n"/>
      <c r="M59" s="26" t="n"/>
      <c r="N59" s="82" t="n"/>
      <c r="O59" s="83" t="n"/>
      <c r="P59" s="84" t="n"/>
      <c r="Q59" s="82" t="n"/>
      <c r="R59" s="134" t="n"/>
      <c r="S59" s="182" t="n"/>
      <c r="T59" s="182" t="n"/>
      <c r="U59" s="183" t="n"/>
      <c r="V59" s="5" t="n"/>
      <c r="W59" s="5" t="n"/>
      <c r="X59" s="5" t="n"/>
      <c r="Y59" s="5" t="n"/>
      <c r="Z59" s="5" t="n"/>
      <c r="AA59" s="5" t="n"/>
      <c r="AB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</row>
  </sheetData>
  <mergeCells count="80">
    <mergeCell ref="K33:L33"/>
    <mergeCell ref="E23:F23"/>
    <mergeCell ref="G23:H23"/>
    <mergeCell ref="R44:U44"/>
    <mergeCell ref="R28:U28"/>
    <mergeCell ref="K52:L52"/>
    <mergeCell ref="I42:J42"/>
    <mergeCell ref="K42:L42"/>
    <mergeCell ref="R30:U30"/>
    <mergeCell ref="M33:N33"/>
    <mergeCell ref="I52:J52"/>
    <mergeCell ref="R6:U6"/>
    <mergeCell ref="O33:Q33"/>
    <mergeCell ref="B1:D2"/>
    <mergeCell ref="R55:U55"/>
    <mergeCell ref="R23:U24"/>
    <mergeCell ref="R54:U54"/>
    <mergeCell ref="E3:F3"/>
    <mergeCell ref="E12:F12"/>
    <mergeCell ref="G12:H12"/>
    <mergeCell ref="R56:U56"/>
    <mergeCell ref="R18:U18"/>
    <mergeCell ref="R58:U58"/>
    <mergeCell ref="R8:U8"/>
    <mergeCell ref="O12:Q12"/>
    <mergeCell ref="O52:Q52"/>
    <mergeCell ref="R10:U10"/>
    <mergeCell ref="R19:U19"/>
    <mergeCell ref="R59:U59"/>
    <mergeCell ref="O23:Q23"/>
    <mergeCell ref="G33:H33"/>
    <mergeCell ref="R16:U16"/>
    <mergeCell ref="I33:J33"/>
    <mergeCell ref="R25:U25"/>
    <mergeCell ref="R3:U4"/>
    <mergeCell ref="R45:U45"/>
    <mergeCell ref="R47:U47"/>
    <mergeCell ref="K3:L3"/>
    <mergeCell ref="G42:H42"/>
    <mergeCell ref="M52:N52"/>
    <mergeCell ref="E52:F52"/>
    <mergeCell ref="O42:Q42"/>
    <mergeCell ref="R57:U57"/>
    <mergeCell ref="M12:N12"/>
    <mergeCell ref="R7:U7"/>
    <mergeCell ref="I23:J23"/>
    <mergeCell ref="K23:L23"/>
    <mergeCell ref="R27:U27"/>
    <mergeCell ref="R36:U36"/>
    <mergeCell ref="M23:N23"/>
    <mergeCell ref="R52:U53"/>
    <mergeCell ref="R17:U17"/>
    <mergeCell ref="G52:H52"/>
    <mergeCell ref="E33:F33"/>
    <mergeCell ref="E42:F42"/>
    <mergeCell ref="R46:U46"/>
    <mergeCell ref="R9:U9"/>
    <mergeCell ref="R5:U5"/>
    <mergeCell ref="R39:U39"/>
    <mergeCell ref="R14:U14"/>
    <mergeCell ref="R48:U48"/>
    <mergeCell ref="R12:U13"/>
    <mergeCell ref="R29:U29"/>
    <mergeCell ref="R38:U38"/>
    <mergeCell ref="R42:U43"/>
    <mergeCell ref="G3:H3"/>
    <mergeCell ref="I3:J3"/>
    <mergeCell ref="I12:J12"/>
    <mergeCell ref="K12:L12"/>
    <mergeCell ref="R31:U31"/>
    <mergeCell ref="R40:U40"/>
    <mergeCell ref="M42:N42"/>
    <mergeCell ref="R15:U15"/>
    <mergeCell ref="M3:N3"/>
    <mergeCell ref="R37:U37"/>
    <mergeCell ref="O3:Q3"/>
    <mergeCell ref="R33:U34"/>
    <mergeCell ref="R26:U26"/>
    <mergeCell ref="R35:U35"/>
    <mergeCell ref="R50:U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19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20" t="n"/>
      <c r="B3" s="120" t="n"/>
      <c r="C3" s="120" t="n"/>
      <c r="D3" s="120" t="n"/>
      <c r="E3" s="120" t="n"/>
      <c r="F3" s="120" t="n"/>
      <c r="G3" s="120" t="n"/>
      <c r="H3" s="120" t="n"/>
    </row>
    <row r="4">
      <c r="A4" s="120" t="n"/>
      <c r="B4" s="120" t="n"/>
      <c r="C4" s="120" t="n"/>
      <c r="D4" s="120" t="n"/>
      <c r="E4" s="120" t="n"/>
      <c r="F4" s="120" t="n"/>
      <c r="G4" s="120" t="n"/>
      <c r="H4" s="120" t="n"/>
    </row>
    <row r="5">
      <c r="A5" s="120" t="n"/>
      <c r="B5" s="120" t="n"/>
      <c r="C5" s="120" t="n"/>
      <c r="D5" s="120" t="n"/>
      <c r="E5" s="120" t="n"/>
      <c r="F5" s="120" t="n"/>
      <c r="G5" s="120" t="n"/>
      <c r="H5" s="120" t="n"/>
    </row>
    <row r="6">
      <c r="A6" s="120" t="n"/>
      <c r="B6" s="120" t="n"/>
      <c r="C6" s="120" t="n"/>
      <c r="D6" s="120" t="n"/>
      <c r="E6" s="120" t="n"/>
      <c r="F6" s="120" t="n"/>
      <c r="G6" s="120" t="n"/>
      <c r="H6" s="120" t="n"/>
    </row>
    <row r="7">
      <c r="A7" s="120" t="n"/>
      <c r="B7" s="120" t="n"/>
      <c r="C7" s="120" t="n"/>
      <c r="D7" s="120" t="n"/>
      <c r="E7" s="120" t="n"/>
      <c r="F7" s="120" t="n"/>
      <c r="G7" s="120" t="n"/>
      <c r="H7" s="120" t="n"/>
    </row>
    <row r="8">
      <c r="A8" s="120" t="n"/>
      <c r="B8" s="120" t="n"/>
      <c r="C8" s="120" t="n"/>
      <c r="D8" s="120" t="n"/>
      <c r="E8" s="120" t="n"/>
      <c r="F8" s="120" t="n"/>
      <c r="G8" s="120" t="n"/>
      <c r="H8" s="120" t="n"/>
    </row>
    <row r="9">
      <c r="A9" s="120" t="n"/>
      <c r="B9" s="120" t="n"/>
      <c r="C9" s="120" t="n"/>
      <c r="D9" s="120" t="n"/>
      <c r="E9" s="120" t="n"/>
      <c r="F9" s="120" t="n"/>
      <c r="G9" s="120" t="n"/>
      <c r="H9" s="120" t="n"/>
    </row>
    <row r="10">
      <c r="A10" s="120" t="n"/>
      <c r="B10" s="120" t="n"/>
      <c r="C10" s="120" t="n"/>
      <c r="D10" s="120" t="n"/>
      <c r="E10" s="120" t="n"/>
      <c r="F10" s="120" t="n"/>
      <c r="G10" s="120" t="n"/>
      <c r="H10" s="120" t="n"/>
    </row>
    <row r="11">
      <c r="A11" s="120" t="n"/>
      <c r="B11" s="120" t="n"/>
      <c r="C11" s="120" t="n"/>
      <c r="D11" s="120" t="n"/>
      <c r="E11" s="120" t="n"/>
      <c r="F11" s="120" t="n"/>
      <c r="G11" s="120" t="n"/>
      <c r="H11" s="120" t="n"/>
    </row>
    <row r="12">
      <c r="A12" s="120" t="n"/>
      <c r="B12" s="120" t="n"/>
      <c r="C12" s="120" t="n"/>
      <c r="D12" s="120" t="n"/>
      <c r="E12" s="120" t="n"/>
      <c r="F12" s="120" t="n"/>
      <c r="G12" s="120" t="n"/>
      <c r="H12" s="120" t="n"/>
    </row>
    <row r="13">
      <c r="A13" s="120" t="n"/>
      <c r="B13" s="120" t="n"/>
      <c r="C13" s="120" t="n"/>
      <c r="D13" s="120" t="n"/>
      <c r="E13" s="120" t="n"/>
      <c r="F13" s="120" t="n"/>
      <c r="G13" s="120" t="n"/>
      <c r="H13" s="120" t="n"/>
    </row>
    <row r="14">
      <c r="A14" s="120" t="n"/>
      <c r="B14" s="120" t="n"/>
      <c r="C14" s="120" t="n"/>
      <c r="D14" s="120" t="n"/>
      <c r="E14" s="120" t="n"/>
      <c r="F14" s="120" t="n"/>
      <c r="G14" s="120" t="n"/>
      <c r="H14" s="120" t="n"/>
    </row>
    <row r="15">
      <c r="A15" s="120" t="n"/>
      <c r="B15" s="120" t="n"/>
      <c r="C15" s="120" t="n"/>
      <c r="D15" s="120" t="n"/>
      <c r="E15" s="120" t="n"/>
      <c r="F15" s="120" t="n"/>
      <c r="G15" s="120" t="n"/>
      <c r="H15" s="120" t="n"/>
    </row>
    <row r="16">
      <c r="A16" s="120" t="n"/>
      <c r="B16" s="120" t="n"/>
      <c r="C16" s="120" t="n"/>
      <c r="D16" s="120" t="n"/>
      <c r="E16" s="120" t="n"/>
      <c r="F16" s="120" t="n"/>
      <c r="G16" s="120" t="n"/>
      <c r="H16" s="120" t="n"/>
    </row>
    <row r="17">
      <c r="A17" s="120" t="n"/>
      <c r="B17" s="120" t="n"/>
      <c r="C17" s="120" t="n"/>
      <c r="D17" s="120" t="n"/>
      <c r="E17" s="120" t="n"/>
      <c r="F17" s="120" t="n"/>
      <c r="G17" s="120" t="n"/>
      <c r="H17" s="120" t="n"/>
    </row>
    <row r="18">
      <c r="A18" s="120" t="n"/>
      <c r="B18" s="120" t="n"/>
      <c r="C18" s="120" t="n"/>
      <c r="D18" s="120" t="n"/>
      <c r="E18" s="120" t="n"/>
      <c r="F18" s="120" t="n"/>
      <c r="G18" s="120" t="n"/>
      <c r="H18" s="120" t="n"/>
    </row>
    <row r="19">
      <c r="A19" s="120" t="n"/>
      <c r="B19" s="120" t="n"/>
      <c r="C19" s="120" t="n"/>
      <c r="D19" s="120" t="n"/>
      <c r="E19" s="120" t="n"/>
      <c r="F19" s="120" t="n"/>
      <c r="G19" s="120" t="n"/>
      <c r="H19" s="1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AH1000"/>
  <sheetViews>
    <sheetView workbookViewId="0">
      <selection activeCell="A1" sqref="A1"/>
    </sheetView>
  </sheetViews>
  <sheetFormatPr baseColWidth="8" defaultColWidth="12.63" defaultRowHeight="15.75" customHeight="1"/>
  <cols>
    <col width="39.38" customWidth="1" style="163" min="1" max="1"/>
    <col width="39.25" customWidth="1" style="163" min="2" max="2"/>
    <col width="64.13" customWidth="1" style="163" min="3" max="3"/>
    <col width="18.25" customWidth="1" style="163" min="4" max="4"/>
    <col width="4" customWidth="1" style="163" min="5" max="5"/>
    <col width="43.88" customWidth="1" style="163" min="6" max="6"/>
    <col width="91.75" customWidth="1" style="163" min="9" max="9"/>
    <col width="14.13" customWidth="1" style="163" min="30" max="30"/>
  </cols>
  <sheetData>
    <row r="1">
      <c r="A1" s="151" t="inlineStr">
        <is>
          <t>Recipe Name</t>
        </is>
      </c>
      <c r="B1" s="151" t="inlineStr">
        <is>
          <t>Recipe ID</t>
        </is>
      </c>
      <c r="C1" s="151" t="inlineStr">
        <is>
          <t>Sub-Recipe 1 Name</t>
        </is>
      </c>
      <c r="D1" s="151" t="inlineStr">
        <is>
          <t>Sub-Recipe 1 ID</t>
        </is>
      </c>
      <c r="E1" s="151" t="inlineStr">
        <is>
          <t>Sub-Recipe 1 Quantity</t>
        </is>
      </c>
      <c r="F1" s="151" t="inlineStr">
        <is>
          <t>Sub-Recipe 1 UOM</t>
        </is>
      </c>
      <c r="G1" s="151" t="inlineStr">
        <is>
          <t>Sub-Recipe 1 Recipe Categories</t>
        </is>
      </c>
      <c r="H1" s="151" t="inlineStr">
        <is>
          <t>Sub-Recipe 2 Name</t>
        </is>
      </c>
      <c r="I1" s="151" t="inlineStr">
        <is>
          <t>Sub-Recipe 2 ID</t>
        </is>
      </c>
      <c r="J1" s="151" t="inlineStr">
        <is>
          <t>Sub-Recipe 2 Quantity</t>
        </is>
      </c>
      <c r="K1" s="151" t="inlineStr">
        <is>
          <t>Sub-Recipe 2 UOM</t>
        </is>
      </c>
      <c r="L1" s="151" t="inlineStr">
        <is>
          <t>Sub-Recipe 2 Recipe Categories</t>
        </is>
      </c>
      <c r="M1" s="151" t="inlineStr">
        <is>
          <t>Sub-Recipe 3 Name</t>
        </is>
      </c>
      <c r="N1" s="151" t="inlineStr">
        <is>
          <t>Sub-Recipe 3 ID</t>
        </is>
      </c>
      <c r="O1" s="151" t="inlineStr">
        <is>
          <t>Sub-Recipe 3 Quantity</t>
        </is>
      </c>
      <c r="P1" s="151" t="inlineStr">
        <is>
          <t>Sub-Recipe 3 UOM</t>
        </is>
      </c>
      <c r="Q1" s="151" t="inlineStr">
        <is>
          <t>Sub-Recipe 3 Recipe Categories</t>
        </is>
      </c>
      <c r="R1" s="151" t="inlineStr">
        <is>
          <t>Sub-Recipe 4 Name</t>
        </is>
      </c>
      <c r="S1" s="151" t="inlineStr">
        <is>
          <t>Sub-Recipe 4 ID</t>
        </is>
      </c>
      <c r="T1" s="151" t="inlineStr">
        <is>
          <t>Sub-Recipe 4 Quantity</t>
        </is>
      </c>
      <c r="U1" s="151" t="inlineStr">
        <is>
          <t>Sub-Recipe 4 UOM</t>
        </is>
      </c>
      <c r="V1" s="151" t="inlineStr">
        <is>
          <t>Sub-Recipe 4 Recipe Categories</t>
        </is>
      </c>
      <c r="W1" s="151" t="inlineStr">
        <is>
          <t>Ingredient</t>
        </is>
      </c>
      <c r="X1" s="151" t="inlineStr">
        <is>
          <t>Ingredient ID</t>
        </is>
      </c>
      <c r="Y1" s="151" t="inlineStr">
        <is>
          <t>Gross Ingredient Qty</t>
        </is>
      </c>
      <c r="Z1" s="149" t="inlineStr">
        <is>
          <t>Net Ingredient Qty</t>
        </is>
      </c>
      <c r="AA1" s="151" t="inlineStr">
        <is>
          <t>Ingredient UOM</t>
        </is>
      </c>
      <c r="AB1" s="151" t="inlineStr">
        <is>
          <t>Ingredient Allergen Type</t>
        </is>
      </c>
      <c r="AC1" s="151" t="inlineStr">
        <is>
          <t>Sub Allergen Type</t>
        </is>
      </c>
      <c r="AD1" s="151" t="inlineStr">
        <is>
          <t>Sub-Recipe Yield %</t>
        </is>
      </c>
      <c r="AE1" s="149" t="inlineStr">
        <is>
          <t>Qty Converted to Weight</t>
        </is>
      </c>
      <c r="AF1" s="151" t="inlineStr">
        <is>
          <t>Qty Unit</t>
        </is>
      </c>
      <c r="AG1" s="151" t="n"/>
      <c r="AH1" s="151" t="n"/>
    </row>
    <row r="2">
      <c r="A2" s="151" t="inlineStr">
        <is>
          <t>FV0024A - Chicken in tomato cream sauce [BNL]</t>
        </is>
      </c>
      <c r="B2" s="151" t="inlineStr">
        <is>
          <t>REC-013938-4-007</t>
        </is>
      </c>
      <c r="C2" s="151" t="inlineStr">
        <is>
          <t>Sauce - Sun-Dried Tomato Sauce - Less Salt</t>
        </is>
      </c>
      <c r="D2" s="151" t="inlineStr">
        <is>
          <t>SUB-013571-4-001</t>
        </is>
      </c>
      <c r="E2" s="150" t="n">
        <v>140</v>
      </c>
      <c r="F2" s="151" t="inlineStr">
        <is>
          <t>grams</t>
        </is>
      </c>
      <c r="G2" s="151" t="inlineStr">
        <is>
          <t>BLAST CHILLER, BRAISER, IMMERSION BLENDER, SPICE PORTIONING</t>
        </is>
      </c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inlineStr">
        <is>
          <t>FA-DE Cheese, Parmesan, Grated /Käse, Parmesan, gerieben</t>
        </is>
      </c>
      <c r="X2" s="151" t="inlineStr">
        <is>
          <t>DAI-00-139127-3</t>
        </is>
      </c>
      <c r="Y2" s="151" t="inlineStr">
        <is>
          <t>14,55</t>
        </is>
      </c>
      <c r="Z2" s="152" t="inlineStr">
        <is>
          <t>14,55</t>
        </is>
      </c>
      <c r="AA2" s="151" t="inlineStr">
        <is>
          <t>grams</t>
        </is>
      </c>
      <c r="AB2" s="151" t="inlineStr">
        <is>
          <t>MILCH (EINSCHLIESSLICH LAKTOSE)</t>
        </is>
      </c>
      <c r="AC2" s="151" t="n"/>
      <c r="AD2" s="150" t="n">
        <v>0.88017</v>
      </c>
      <c r="AE2" s="149" t="n">
        <v>14.55</v>
      </c>
      <c r="AF2" s="151" t="inlineStr">
        <is>
          <t>grams</t>
        </is>
      </c>
      <c r="AG2" s="151" t="n"/>
      <c r="AH2" s="151" t="n"/>
    </row>
    <row r="3">
      <c r="A3" s="151" t="inlineStr">
        <is>
          <t>FV0024A - Chicken in tomato cream sauce [BNL]</t>
        </is>
      </c>
      <c r="B3" s="151" t="inlineStr">
        <is>
          <t>REC-013938-4-007</t>
        </is>
      </c>
      <c r="C3" s="151" t="inlineStr">
        <is>
          <t>Sauce - Sun-Dried Tomato Sauce - Less Salt</t>
        </is>
      </c>
      <c r="D3" s="151" t="inlineStr">
        <is>
          <t>SUB-013571-4-001</t>
        </is>
      </c>
      <c r="E3" s="150" t="n">
        <v>140</v>
      </c>
      <c r="F3" s="151" t="inlineStr">
        <is>
          <t>grams</t>
        </is>
      </c>
      <c r="G3" s="151" t="inlineStr">
        <is>
          <t>BLAST CHILLER, BRAISER, IMMERSION BLENDER, SPICE PORTIONING</t>
        </is>
      </c>
      <c r="H3" s="151" t="n"/>
      <c r="I3" s="151" t="n"/>
      <c r="J3" s="151" t="n"/>
      <c r="K3" s="15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inlineStr">
        <is>
          <t>FA-DE Oil, Olive /Öl, Olivenöl</t>
        </is>
      </c>
      <c r="X3" s="151" t="inlineStr">
        <is>
          <t>PRO-00-139277-5</t>
        </is>
      </c>
      <c r="Y3" s="153" t="inlineStr">
        <is>
          <t>8,29</t>
        </is>
      </c>
      <c r="Z3" s="149" t="inlineStr">
        <is>
          <t>8,29</t>
        </is>
      </c>
      <c r="AA3" s="151" t="inlineStr">
        <is>
          <t>grams</t>
        </is>
      </c>
      <c r="AB3" s="151" t="n"/>
      <c r="AC3" s="151" t="n"/>
      <c r="AD3" s="150" t="n">
        <v>0.88017</v>
      </c>
      <c r="AE3" s="149" t="n">
        <v>8.289999999999999</v>
      </c>
      <c r="AF3" s="151" t="inlineStr">
        <is>
          <t>grams</t>
        </is>
      </c>
      <c r="AG3" s="151" t="n"/>
      <c r="AH3" s="151" t="n"/>
    </row>
    <row r="4">
      <c r="A4" s="151" t="inlineStr">
        <is>
          <t>FV0024A - Chicken in tomato cream sauce [BNL]</t>
        </is>
      </c>
      <c r="B4" s="151" t="inlineStr">
        <is>
          <t>REC-013938-4-007</t>
        </is>
      </c>
      <c r="C4" s="151" t="inlineStr">
        <is>
          <t>Sauce - Sun-Dried Tomato Sauce - Less Salt</t>
        </is>
      </c>
      <c r="D4" s="151" t="inlineStr">
        <is>
          <t>SUB-013571-4-001</t>
        </is>
      </c>
      <c r="E4" s="150" t="n">
        <v>140</v>
      </c>
      <c r="F4" s="151" t="inlineStr">
        <is>
          <t>grams</t>
        </is>
      </c>
      <c r="G4" s="151" t="inlineStr">
        <is>
          <t>BLAST CHILLER, BRAISER, IMMERSION BLENDER, SPICE PORTIONING</t>
        </is>
      </c>
      <c r="H4" s="151" t="n"/>
      <c r="I4" s="151" t="n"/>
      <c r="J4" s="151" t="n"/>
      <c r="K4" s="151" t="n"/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inlineStr">
        <is>
          <t>FA-DE Stock, Chicken, Reduced/Brühe, Huhn, Reduziert</t>
        </is>
      </c>
      <c r="X4" s="151" t="inlineStr">
        <is>
          <t>PRO-00-139288-5</t>
        </is>
      </c>
      <c r="Y4" s="151" t="inlineStr">
        <is>
          <t>1,63</t>
        </is>
      </c>
      <c r="Z4" s="149" t="inlineStr">
        <is>
          <t>1,63</t>
        </is>
      </c>
      <c r="AA4" s="151" t="inlineStr">
        <is>
          <t>grams</t>
        </is>
      </c>
      <c r="AB4" s="151" t="n"/>
      <c r="AC4" s="151" t="n"/>
      <c r="AD4" s="150" t="n">
        <v>0.88017</v>
      </c>
      <c r="AE4" s="149" t="n">
        <v>1.63</v>
      </c>
      <c r="AF4" s="151" t="inlineStr">
        <is>
          <t>grams</t>
        </is>
      </c>
      <c r="AG4" s="151" t="n"/>
      <c r="AH4" s="151" t="n"/>
    </row>
    <row r="5">
      <c r="A5" s="151" t="inlineStr">
        <is>
          <t>FV0024A - Chicken in tomato cream sauce [BNL]</t>
        </is>
      </c>
      <c r="B5" s="151" t="inlineStr">
        <is>
          <t>REC-013938-4-007</t>
        </is>
      </c>
      <c r="C5" s="151" t="inlineStr">
        <is>
          <t>Sauce - Sun-Dried Tomato Sauce - Less Salt</t>
        </is>
      </c>
      <c r="D5" s="151" t="inlineStr">
        <is>
          <t>SUB-013571-4-001</t>
        </is>
      </c>
      <c r="E5" s="150" t="n">
        <v>140</v>
      </c>
      <c r="F5" s="151" t="inlineStr">
        <is>
          <t>grams</t>
        </is>
      </c>
      <c r="G5" s="151" t="inlineStr">
        <is>
          <t>BLAST CHILLER, BRAISER, IMMERSION BLENDER, SPICE PORTIONING</t>
        </is>
      </c>
      <c r="H5" s="151" t="n"/>
      <c r="I5" s="151" t="n"/>
      <c r="J5" s="151" t="n"/>
      <c r="K5" s="151" t="n"/>
      <c r="L5" s="151" t="n"/>
      <c r="M5" s="151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inlineStr">
        <is>
          <t>FA-DE Garlic, IQF, Diced 4 mm /Knoblauch, IQF, gewürfelt 4 mm</t>
        </is>
      </c>
      <c r="X5" s="151" t="inlineStr">
        <is>
          <t>PHF-00-139237-1</t>
        </is>
      </c>
      <c r="Y5" s="151" t="inlineStr">
        <is>
          <t>3,31</t>
        </is>
      </c>
      <c r="Z5" s="149" t="inlineStr">
        <is>
          <t>3,31</t>
        </is>
      </c>
      <c r="AA5" s="151" t="inlineStr">
        <is>
          <t>grams</t>
        </is>
      </c>
      <c r="AB5" s="151" t="inlineStr">
        <is>
          <t>SCHWEFELDIOXIDE UND SULFITE</t>
        </is>
      </c>
      <c r="AC5" s="151" t="n"/>
      <c r="AD5" s="150" t="n">
        <v>0.88017</v>
      </c>
      <c r="AE5" s="149" t="n">
        <v>3.31</v>
      </c>
      <c r="AF5" s="151" t="inlineStr">
        <is>
          <t>grams</t>
        </is>
      </c>
      <c r="AG5" s="151" t="n"/>
      <c r="AH5" s="151" t="n"/>
    </row>
    <row r="6">
      <c r="A6" s="151" t="inlineStr">
        <is>
          <t>FV0024A - Chicken in tomato cream sauce [BNL]</t>
        </is>
      </c>
      <c r="B6" s="151" t="inlineStr">
        <is>
          <t>REC-013938-4-007</t>
        </is>
      </c>
      <c r="C6" s="151" t="inlineStr">
        <is>
          <t>Sauce - Sun-Dried Tomato Sauce - Less Salt</t>
        </is>
      </c>
      <c r="D6" s="151" t="inlineStr">
        <is>
          <t>SUB-013571-4-001</t>
        </is>
      </c>
      <c r="E6" s="150" t="n">
        <v>140</v>
      </c>
      <c r="F6" s="151" t="inlineStr">
        <is>
          <t>grams</t>
        </is>
      </c>
      <c r="G6" s="151" t="inlineStr">
        <is>
          <t>BLAST CHILLER, BRAISER, IMMERSION BLENDER, SPICE PORTIONING</t>
        </is>
      </c>
      <c r="H6" s="151" t="inlineStr">
        <is>
          <t>Hydrated Sun-Dried Tomatoes</t>
        </is>
      </c>
      <c r="I6" s="151" t="inlineStr">
        <is>
          <t>SUB-013501-4-001</t>
        </is>
      </c>
      <c r="J6" s="150" t="n">
        <v>14.53</v>
      </c>
      <c r="K6" s="151" t="inlineStr">
        <is>
          <t>grams</t>
        </is>
      </c>
      <c r="L6" s="151" t="inlineStr">
        <is>
          <t>BRAISER</t>
        </is>
      </c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inlineStr">
        <is>
          <t>FA-DE Tomatoes, Sun - Dried Julienned /Tomaten, sonnengetrocknete Julienne</t>
        </is>
      </c>
      <c r="X6" s="151" t="inlineStr">
        <is>
          <t>PRO-00-139296-5</t>
        </is>
      </c>
      <c r="Y6" s="154" t="inlineStr">
        <is>
          <t>8,07</t>
        </is>
      </c>
      <c r="Z6" s="149" t="inlineStr">
        <is>
          <t>8,07</t>
        </is>
      </c>
      <c r="AA6" s="151" t="inlineStr">
        <is>
          <t>grams</t>
        </is>
      </c>
      <c r="AB6" s="151" t="n"/>
      <c r="AC6" s="151" t="n"/>
      <c r="AD6" s="150" t="n">
        <v>0.90001</v>
      </c>
      <c r="AE6" s="149" t="n">
        <v>8.07</v>
      </c>
      <c r="AF6" s="151" t="inlineStr">
        <is>
          <t>grams</t>
        </is>
      </c>
      <c r="AG6" s="151" t="n"/>
      <c r="AH6" s="151" t="n"/>
    </row>
    <row r="7">
      <c r="A7" s="151" t="inlineStr">
        <is>
          <t>FV0024A - Chicken in tomato cream sauce [BNL]</t>
        </is>
      </c>
      <c r="B7" s="151" t="inlineStr">
        <is>
          <t>REC-013938-4-007</t>
        </is>
      </c>
      <c r="C7" s="151" t="inlineStr">
        <is>
          <t>Sauce - Sun-Dried Tomato Sauce - Less Salt</t>
        </is>
      </c>
      <c r="D7" s="151" t="inlineStr">
        <is>
          <t>SUB-013571-4-001</t>
        </is>
      </c>
      <c r="E7" s="150" t="n">
        <v>140</v>
      </c>
      <c r="F7" s="151" t="inlineStr">
        <is>
          <t>grams</t>
        </is>
      </c>
      <c r="G7" s="151" t="inlineStr">
        <is>
          <t>BLAST CHILLER, BRAISER, IMMERSION BLENDER, SPICE PORTIONING</t>
        </is>
      </c>
      <c r="H7" s="151" t="inlineStr">
        <is>
          <t>Hydrated Sun-Dried Tomatoes</t>
        </is>
      </c>
      <c r="I7" s="151" t="inlineStr">
        <is>
          <t>SUB-013501-4-001</t>
        </is>
      </c>
      <c r="J7" s="150" t="n">
        <v>14.53</v>
      </c>
      <c r="K7" s="151" t="inlineStr">
        <is>
          <t>grams</t>
        </is>
      </c>
      <c r="L7" s="151" t="inlineStr">
        <is>
          <t>BRAISER</t>
        </is>
      </c>
      <c r="M7" s="151" t="n"/>
      <c r="N7" s="151" t="n"/>
      <c r="O7" s="151" t="n"/>
      <c r="P7" s="151" t="n"/>
      <c r="Q7" s="151" t="n"/>
      <c r="R7" s="151" t="n"/>
      <c r="S7" s="151" t="n"/>
      <c r="T7" s="151" t="n"/>
      <c r="U7" s="149">
        <f>SUM(Z2:Z11)</f>
        <v/>
      </c>
      <c r="V7" s="151" t="n"/>
      <c r="W7" s="151" t="inlineStr">
        <is>
          <t>FA-DE Water / Wasser</t>
        </is>
      </c>
      <c r="X7" s="151" t="inlineStr">
        <is>
          <t>OTH-00-144038-5</t>
        </is>
      </c>
      <c r="Y7" s="154" t="inlineStr">
        <is>
          <t>8,07</t>
        </is>
      </c>
      <c r="Z7" s="149" t="inlineStr">
        <is>
          <t>8,07</t>
        </is>
      </c>
      <c r="AA7" s="151" t="inlineStr">
        <is>
          <t>grams</t>
        </is>
      </c>
      <c r="AB7" s="151" t="n"/>
      <c r="AC7" s="151" t="n"/>
      <c r="AD7" s="150" t="n">
        <v>0.90001</v>
      </c>
      <c r="AE7" s="149" t="n">
        <v>8.07</v>
      </c>
      <c r="AF7" s="151" t="inlineStr">
        <is>
          <t>grams</t>
        </is>
      </c>
      <c r="AG7" s="151" t="n"/>
      <c r="AH7" s="151" t="n"/>
    </row>
    <row r="8">
      <c r="A8" s="151" t="inlineStr">
        <is>
          <t>FV0024A - Chicken in tomato cream sauce [BNL]</t>
        </is>
      </c>
      <c r="B8" s="151" t="inlineStr">
        <is>
          <t>REC-013938-4-007</t>
        </is>
      </c>
      <c r="C8" s="151" t="inlineStr">
        <is>
          <t>Sauce - Sun-Dried Tomato Sauce - Less Salt</t>
        </is>
      </c>
      <c r="D8" s="151" t="inlineStr">
        <is>
          <t>SUB-013571-4-001</t>
        </is>
      </c>
      <c r="E8" s="150" t="n">
        <v>140</v>
      </c>
      <c r="F8" s="151" t="inlineStr">
        <is>
          <t>grams</t>
        </is>
      </c>
      <c r="G8" s="151" t="inlineStr">
        <is>
          <t>BLAST CHILLER, BRAISER, IMMERSION BLENDER, SPICE PORTIONING</t>
        </is>
      </c>
      <c r="H8" s="151" t="n"/>
      <c r="I8" s="151" t="n"/>
      <c r="J8" s="151" t="n"/>
      <c r="K8" s="151" t="n"/>
      <c r="L8" s="151" t="n"/>
      <c r="M8" s="151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inlineStr">
        <is>
          <t>FA-DE Spinach, Fresh, Stem Off /Spinat, frisch, ohne Stiel</t>
        </is>
      </c>
      <c r="X8" s="151" t="inlineStr">
        <is>
          <t>PHF-00-139225-3</t>
        </is>
      </c>
      <c r="Y8" s="151" t="inlineStr">
        <is>
          <t>11,64</t>
        </is>
      </c>
      <c r="Z8" s="149" t="inlineStr">
        <is>
          <t>11,64</t>
        </is>
      </c>
      <c r="AA8" s="151" t="inlineStr">
        <is>
          <t>grams</t>
        </is>
      </c>
      <c r="AB8" s="151" t="n"/>
      <c r="AC8" s="151" t="n"/>
      <c r="AD8" s="150" t="n">
        <v>0.88017</v>
      </c>
      <c r="AE8" s="149" t="n">
        <v>11.64</v>
      </c>
      <c r="AF8" s="151" t="inlineStr">
        <is>
          <t>grams</t>
        </is>
      </c>
      <c r="AG8" s="151" t="n"/>
      <c r="AH8" s="151" t="n"/>
    </row>
    <row r="9">
      <c r="A9" s="151" t="inlineStr">
        <is>
          <t>FV0024A - Chicken in tomato cream sauce [BNL]</t>
        </is>
      </c>
      <c r="B9" s="151" t="inlineStr">
        <is>
          <t>REC-013938-4-007</t>
        </is>
      </c>
      <c r="C9" s="151" t="inlineStr">
        <is>
          <t>Sauce - Sun-Dried Tomato Sauce - Less Salt</t>
        </is>
      </c>
      <c r="D9" s="151" t="inlineStr">
        <is>
          <t>SUB-013571-4-001</t>
        </is>
      </c>
      <c r="E9" s="150" t="n">
        <v>140</v>
      </c>
      <c r="F9" s="151" t="inlineStr">
        <is>
          <t>grams</t>
        </is>
      </c>
      <c r="G9" s="151" t="inlineStr">
        <is>
          <t>BLAST CHILLER, BRAISER, IMMERSION BLENDER, SPICE PORTIONING</t>
        </is>
      </c>
      <c r="H9" s="151" t="n"/>
      <c r="I9" s="151" t="n"/>
      <c r="J9" s="151" t="n"/>
      <c r="K9" s="151" t="n"/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inlineStr">
        <is>
          <t>FA-DE Spice, Sea Salt /Gewürze, Meersalz</t>
        </is>
      </c>
      <c r="X9" s="151" t="inlineStr">
        <is>
          <t>SPI-00-139378-5</t>
        </is>
      </c>
      <c r="Y9" s="151" t="inlineStr">
        <is>
          <t>0,07</t>
        </is>
      </c>
      <c r="Z9" s="149" t="inlineStr">
        <is>
          <t>0,07</t>
        </is>
      </c>
      <c r="AA9" s="151" t="inlineStr">
        <is>
          <t>grams</t>
        </is>
      </c>
      <c r="AB9" s="151" t="n"/>
      <c r="AC9" s="151" t="n"/>
      <c r="AD9" s="150" t="n">
        <v>0.88017</v>
      </c>
      <c r="AE9" s="149" t="n">
        <v>0.07000000000000001</v>
      </c>
      <c r="AF9" s="151" t="inlineStr">
        <is>
          <t>grams</t>
        </is>
      </c>
      <c r="AG9" s="151" t="n"/>
      <c r="AH9" s="151" t="n"/>
    </row>
    <row r="10">
      <c r="A10" s="151" t="inlineStr">
        <is>
          <t>FV0024A - Chicken in tomato cream sauce [BNL]</t>
        </is>
      </c>
      <c r="B10" s="151" t="inlineStr">
        <is>
          <t>REC-013938-4-007</t>
        </is>
      </c>
      <c r="C10" s="151" t="inlineStr">
        <is>
          <t>Sauce - Sun-Dried Tomato Sauce - Less Salt</t>
        </is>
      </c>
      <c r="D10" s="151" t="inlineStr">
        <is>
          <t>SUB-013571-4-001</t>
        </is>
      </c>
      <c r="E10" s="150" t="n">
        <v>140</v>
      </c>
      <c r="F10" s="151" t="inlineStr">
        <is>
          <t>grams</t>
        </is>
      </c>
      <c r="G10" s="151" t="inlineStr">
        <is>
          <t>BLAST CHILLER, BRAISER, IMMERSION BLENDER, SPICE PORTIONING</t>
        </is>
      </c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inlineStr">
        <is>
          <t>FA-DE Onion, Spanish, Diced 5mm /Zwiebel, Spanisch, gewürfelt 5 mm</t>
        </is>
      </c>
      <c r="X10" s="151" t="inlineStr">
        <is>
          <t>PHF-00-139212-3</t>
        </is>
      </c>
      <c r="Y10" s="151" t="inlineStr">
        <is>
          <t>14,55</t>
        </is>
      </c>
      <c r="Z10" s="149" t="inlineStr">
        <is>
          <t>14,55</t>
        </is>
      </c>
      <c r="AA10" s="151" t="inlineStr">
        <is>
          <t>grams</t>
        </is>
      </c>
      <c r="AB10" s="151" t="n"/>
      <c r="AC10" s="151" t="n"/>
      <c r="AD10" s="150" t="n">
        <v>0.88017</v>
      </c>
      <c r="AE10" s="149" t="n">
        <v>14.55</v>
      </c>
      <c r="AF10" s="151" t="inlineStr">
        <is>
          <t>grams</t>
        </is>
      </c>
      <c r="AG10" s="151" t="n"/>
      <c r="AH10" s="151" t="n"/>
    </row>
    <row r="11">
      <c r="A11" s="151" t="inlineStr">
        <is>
          <t>FV0024A - Chicken in tomato cream sauce [BNL]</t>
        </is>
      </c>
      <c r="B11" s="151" t="inlineStr">
        <is>
          <t>REC-013938-4-007</t>
        </is>
      </c>
      <c r="C11" s="151" t="inlineStr">
        <is>
          <t>Sauce - Sun-Dried Tomato Sauce - Less Salt</t>
        </is>
      </c>
      <c r="D11" s="151" t="inlineStr">
        <is>
          <t>SUB-013571-4-001</t>
        </is>
      </c>
      <c r="E11" s="150" t="n">
        <v>140</v>
      </c>
      <c r="F11" s="151" t="inlineStr">
        <is>
          <t>grams</t>
        </is>
      </c>
      <c r="G11" s="151" t="inlineStr">
        <is>
          <t>BLAST CHILLER, BRAISER, IMMERSION BLENDER, SPICE PORTIONING</t>
        </is>
      </c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inlineStr">
        <is>
          <t>FA-DE Heavy Cream 20% /Sahne 20%</t>
        </is>
      </c>
      <c r="X11" s="151" t="inlineStr">
        <is>
          <t>DAI-00-139137-3</t>
        </is>
      </c>
      <c r="Y11" s="151" t="inlineStr">
        <is>
          <t>90,49</t>
        </is>
      </c>
      <c r="Z11" s="149" t="inlineStr">
        <is>
          <t>90,49</t>
        </is>
      </c>
      <c r="AA11" s="151" t="inlineStr">
        <is>
          <t>grams</t>
        </is>
      </c>
      <c r="AB11" s="151" t="inlineStr">
        <is>
          <t>MILCH (EINSCHLIESSLICH LAKTOSE)</t>
        </is>
      </c>
      <c r="AC11" s="151" t="n"/>
      <c r="AD11" s="150" t="n">
        <v>0.88017</v>
      </c>
      <c r="AE11" s="149" t="n">
        <v>90.48999999999999</v>
      </c>
      <c r="AF11" s="151" t="inlineStr">
        <is>
          <t>grams</t>
        </is>
      </c>
      <c r="AG11" s="151" t="n"/>
      <c r="AH11" s="151" t="n"/>
    </row>
    <row r="12">
      <c r="A12" s="151" t="inlineStr">
        <is>
          <t>FV0024A - Chicken in tomato cream sauce [BNL]</t>
        </is>
      </c>
      <c r="B12" s="151" t="inlineStr">
        <is>
          <t>REC-013938-4-007</t>
        </is>
      </c>
      <c r="C12" s="151" t="inlineStr">
        <is>
          <t>Chicken breast - Sun-Dried Tomato Chicken Batch - Grilled 160g</t>
        </is>
      </c>
      <c r="D12" s="151" t="inlineStr">
        <is>
          <t>SUB-013572-4-001</t>
        </is>
      </c>
      <c r="E12" s="150" t="n">
        <v>1</v>
      </c>
      <c r="F12" s="151" t="inlineStr">
        <is>
          <t>each</t>
        </is>
      </c>
      <c r="G12" s="151" t="inlineStr">
        <is>
          <t>BLAST CHILLER, GRILL, MARINADE, OVEN</t>
        </is>
      </c>
      <c r="H12" s="151" t="n"/>
      <c r="I12" s="151" t="n"/>
      <c r="J12" s="151" t="n"/>
      <c r="K12" s="151" t="n"/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inlineStr">
        <is>
          <t>FA-DE Spice, Black Pepper, Ground /Gewürz, schwarzer Pfeffer, gemahlen</t>
        </is>
      </c>
      <c r="X12" s="151" t="inlineStr">
        <is>
          <t>SPI-00-139334-5</t>
        </is>
      </c>
      <c r="Y12" s="151" t="inlineStr">
        <is>
          <t>0,14</t>
        </is>
      </c>
      <c r="Z12" s="149" t="inlineStr">
        <is>
          <t>0,14</t>
        </is>
      </c>
      <c r="AA12" s="151" t="inlineStr">
        <is>
          <t>grams</t>
        </is>
      </c>
      <c r="AB12" s="151" t="n"/>
      <c r="AC12" s="151" t="n"/>
      <c r="AD12" s="150" t="n">
        <v>0.7010999999999999</v>
      </c>
      <c r="AE12" s="149" t="n">
        <v>0.14</v>
      </c>
      <c r="AF12" s="151" t="inlineStr">
        <is>
          <t>grams</t>
        </is>
      </c>
      <c r="AG12" s="151" t="n"/>
      <c r="AH12" s="151" t="n"/>
    </row>
    <row r="13">
      <c r="A13" s="151" t="inlineStr">
        <is>
          <t>FV0024A - Chicken in tomato cream sauce [BNL]</t>
        </is>
      </c>
      <c r="B13" s="151" t="inlineStr">
        <is>
          <t>REC-013938-4-007</t>
        </is>
      </c>
      <c r="C13" s="151" t="inlineStr">
        <is>
          <t>Chicken breast - Sun-Dried Tomato Chicken Batch - Grilled 160g</t>
        </is>
      </c>
      <c r="D13" s="151" t="inlineStr">
        <is>
          <t>SUB-013572-4-001</t>
        </is>
      </c>
      <c r="E13" s="150" t="n">
        <v>1</v>
      </c>
      <c r="F13" s="151" t="inlineStr">
        <is>
          <t>each</t>
        </is>
      </c>
      <c r="G13" s="151" t="inlineStr">
        <is>
          <t>BLAST CHILLER, GRILL, MARINADE, OVEN</t>
        </is>
      </c>
      <c r="H13" s="151" t="n"/>
      <c r="I13" s="151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inlineStr">
        <is>
          <t>FA-DE Spice, Oregano Dry /Gewürz, Oregano trocken</t>
        </is>
      </c>
      <c r="X13" s="151" t="inlineStr">
        <is>
          <t>SPI-00-139372-5</t>
        </is>
      </c>
      <c r="Y13" s="151" t="inlineStr">
        <is>
          <t>0,14</t>
        </is>
      </c>
      <c r="Z13" s="149" t="inlineStr">
        <is>
          <t>0,14</t>
        </is>
      </c>
      <c r="AA13" s="151" t="inlineStr">
        <is>
          <t>grams</t>
        </is>
      </c>
      <c r="AB13" s="151" t="n"/>
      <c r="AC13" s="151" t="n"/>
      <c r="AD13" s="150" t="n">
        <v>0.7010999999999999</v>
      </c>
      <c r="AE13" s="149" t="n">
        <v>0.14</v>
      </c>
      <c r="AF13" s="151" t="inlineStr">
        <is>
          <t>grams</t>
        </is>
      </c>
      <c r="AG13" s="151" t="n"/>
      <c r="AH13" s="151" t="n"/>
    </row>
    <row r="14">
      <c r="A14" s="151" t="inlineStr">
        <is>
          <t>FV0024A - Chicken in tomato cream sauce [BNL]</t>
        </is>
      </c>
      <c r="B14" s="151" t="inlineStr">
        <is>
          <t>REC-013938-4-007</t>
        </is>
      </c>
      <c r="C14" s="151" t="inlineStr">
        <is>
          <t>Chicken breast - Sun-Dried Tomato Chicken Batch - Grilled 160g</t>
        </is>
      </c>
      <c r="D14" s="151" t="inlineStr">
        <is>
          <t>SUB-013572-4-001</t>
        </is>
      </c>
      <c r="E14" s="150" t="n">
        <v>1</v>
      </c>
      <c r="F14" s="151" t="inlineStr">
        <is>
          <t>each</t>
        </is>
      </c>
      <c r="G14" s="151" t="inlineStr">
        <is>
          <t>BLAST CHILLER, GRILL, MARINADE, OVEN</t>
        </is>
      </c>
      <c r="H14" s="151" t="n"/>
      <c r="I14" s="151" t="n"/>
      <c r="J14" s="151" t="n"/>
      <c r="K14" s="151" t="n"/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inlineStr">
        <is>
          <t>FA-DE Spice, Onion Granulated /Gewürze, Zwiebeln granuliert</t>
        </is>
      </c>
      <c r="X14" s="151" t="inlineStr">
        <is>
          <t>SPI-00-139370-5</t>
        </is>
      </c>
      <c r="Y14" s="151" t="inlineStr">
        <is>
          <t>0,23</t>
        </is>
      </c>
      <c r="Z14" s="149" t="inlineStr">
        <is>
          <t>0,23</t>
        </is>
      </c>
      <c r="AA14" s="151" t="inlineStr">
        <is>
          <t>grams</t>
        </is>
      </c>
      <c r="AB14" s="151" t="n"/>
      <c r="AC14" s="151" t="n"/>
      <c r="AD14" s="150" t="n">
        <v>0.7010999999999999</v>
      </c>
      <c r="AE14" s="149" t="n">
        <v>0.23</v>
      </c>
      <c r="AF14" s="151" t="inlineStr">
        <is>
          <t>grams</t>
        </is>
      </c>
      <c r="AG14" s="151" t="n"/>
      <c r="AH14" s="151" t="n"/>
    </row>
    <row r="15">
      <c r="A15" s="151" t="inlineStr">
        <is>
          <t>FV0024A - Chicken in tomato cream sauce [BNL]</t>
        </is>
      </c>
      <c r="B15" s="151" t="inlineStr">
        <is>
          <t>REC-013938-4-007</t>
        </is>
      </c>
      <c r="C15" s="151" t="inlineStr">
        <is>
          <t>Chicken breast - Sun-Dried Tomato Chicken Batch - Grilled 160g</t>
        </is>
      </c>
      <c r="D15" s="151" t="inlineStr">
        <is>
          <t>SUB-013572-4-001</t>
        </is>
      </c>
      <c r="E15" s="150" t="n">
        <v>1</v>
      </c>
      <c r="F15" s="151" t="inlineStr">
        <is>
          <t>each</t>
        </is>
      </c>
      <c r="G15" s="151" t="inlineStr">
        <is>
          <t>BLAST CHILLER, GRILL, MARINADE, OVEN</t>
        </is>
      </c>
      <c r="H15" s="151" t="n"/>
      <c r="I15" s="151" t="n"/>
      <c r="J15" s="151" t="n"/>
      <c r="K15" s="151" t="n"/>
      <c r="L15" s="151" t="n"/>
      <c r="M15" s="151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inlineStr">
        <is>
          <t>FA-DE Spice, Crushed Red Pepper Flakes /Gewürz, zerkleinerte rote Pfefferflocken</t>
        </is>
      </c>
      <c r="X15" s="151" t="inlineStr">
        <is>
          <t>SPI-00-139344-5</t>
        </is>
      </c>
      <c r="Y15" s="151" t="inlineStr">
        <is>
          <t>0,09</t>
        </is>
      </c>
      <c r="Z15" s="149" t="inlineStr">
        <is>
          <t>0,09</t>
        </is>
      </c>
      <c r="AA15" s="151" t="inlineStr">
        <is>
          <t>grams</t>
        </is>
      </c>
      <c r="AB15" s="151" t="n"/>
      <c r="AC15" s="151" t="n"/>
      <c r="AD15" s="150" t="n">
        <v>0.7010999999999999</v>
      </c>
      <c r="AE15" s="149" t="n">
        <v>0.09</v>
      </c>
      <c r="AF15" s="151" t="inlineStr">
        <is>
          <t>grams</t>
        </is>
      </c>
      <c r="AG15" s="151" t="n"/>
      <c r="AH15" s="151" t="n"/>
    </row>
    <row r="16">
      <c r="A16" s="151" t="inlineStr">
        <is>
          <t>FV0024A - Chicken in tomato cream sauce [BNL]</t>
        </is>
      </c>
      <c r="B16" s="151" t="inlineStr">
        <is>
          <t>REC-013938-4-007</t>
        </is>
      </c>
      <c r="C16" s="151" t="inlineStr">
        <is>
          <t>Chicken breast - Sun-Dried Tomato Chicken Batch - Grilled 160g</t>
        </is>
      </c>
      <c r="D16" s="151" t="inlineStr">
        <is>
          <t>SUB-013572-4-001</t>
        </is>
      </c>
      <c r="E16" s="150" t="n">
        <v>1</v>
      </c>
      <c r="F16" s="151" t="inlineStr">
        <is>
          <t>each</t>
        </is>
      </c>
      <c r="G16" s="151" t="inlineStr">
        <is>
          <t>BLAST CHILLER, GRILL, MARINADE, OVEN</t>
        </is>
      </c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inlineStr">
        <is>
          <t>FA-DE Spice, Garlic Granulated /Gewürz, Knoblauch granuliert</t>
        </is>
      </c>
      <c r="X16" s="151" t="inlineStr">
        <is>
          <t>SPI-00-139353-5</t>
        </is>
      </c>
      <c r="Y16" s="151" t="inlineStr">
        <is>
          <t>0,43</t>
        </is>
      </c>
      <c r="Z16" s="149" t="inlineStr">
        <is>
          <t>0,43</t>
        </is>
      </c>
      <c r="AA16" s="151" t="inlineStr">
        <is>
          <t>grams</t>
        </is>
      </c>
      <c r="AB16" s="151" t="n"/>
      <c r="AC16" s="151" t="n"/>
      <c r="AD16" s="150" t="n">
        <v>0.7010999999999999</v>
      </c>
      <c r="AE16" s="149" t="n">
        <v>0.43</v>
      </c>
      <c r="AF16" s="151" t="inlineStr">
        <is>
          <t>grams</t>
        </is>
      </c>
      <c r="AG16" s="151" t="n"/>
      <c r="AH16" s="151" t="n"/>
    </row>
    <row r="17">
      <c r="A17" s="151" t="inlineStr">
        <is>
          <t>FV0024A - Chicken in tomato cream sauce [BNL]</t>
        </is>
      </c>
      <c r="B17" s="151" t="inlineStr">
        <is>
          <t>REC-013938-4-007</t>
        </is>
      </c>
      <c r="C17" s="151" t="inlineStr">
        <is>
          <t>Chicken breast - Sun-Dried Tomato Chicken Batch - Grilled 160g</t>
        </is>
      </c>
      <c r="D17" s="151" t="inlineStr">
        <is>
          <t>SUB-013572-4-001</t>
        </is>
      </c>
      <c r="E17" s="150" t="n">
        <v>1</v>
      </c>
      <c r="F17" s="151" t="inlineStr">
        <is>
          <t>each</t>
        </is>
      </c>
      <c r="G17" s="151" t="inlineStr">
        <is>
          <t>BLAST CHILLER, GRILL, MARINADE, OVEN</t>
        </is>
      </c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inlineStr">
        <is>
          <t>FA-DE Vinegar, Red Wine /Essig, Rotwein</t>
        </is>
      </c>
      <c r="X17" s="151" t="inlineStr">
        <is>
          <t>PRO-00-139301-5</t>
        </is>
      </c>
      <c r="Y17" s="151" t="inlineStr">
        <is>
          <t>2,3</t>
        </is>
      </c>
      <c r="Z17" s="149" t="inlineStr">
        <is>
          <t>2,3</t>
        </is>
      </c>
      <c r="AA17" s="151" t="inlineStr">
        <is>
          <t>grams</t>
        </is>
      </c>
      <c r="AB17" s="151" t="n"/>
      <c r="AC17" s="151" t="n"/>
      <c r="AD17" s="150" t="n">
        <v>0.7010999999999999</v>
      </c>
      <c r="AE17" s="149" t="n">
        <v>2.3</v>
      </c>
      <c r="AF17" s="151" t="inlineStr">
        <is>
          <t>grams</t>
        </is>
      </c>
      <c r="AG17" s="151" t="n"/>
      <c r="AH17" s="151" t="n"/>
    </row>
    <row r="18">
      <c r="A18" s="151" t="inlineStr">
        <is>
          <t>FV0024A - Chicken in tomato cream sauce [BNL]</t>
        </is>
      </c>
      <c r="B18" s="151" t="inlineStr">
        <is>
          <t>REC-013938-4-007</t>
        </is>
      </c>
      <c r="C18" s="151" t="inlineStr">
        <is>
          <t>Chicken breast - Sun-Dried Tomato Chicken Batch - Grilled 160g</t>
        </is>
      </c>
      <c r="D18" s="151" t="inlineStr">
        <is>
          <t>SUB-013572-4-001</t>
        </is>
      </c>
      <c r="E18" s="150" t="n">
        <v>1</v>
      </c>
      <c r="F18" s="151" t="inlineStr">
        <is>
          <t>each</t>
        </is>
      </c>
      <c r="G18" s="151" t="inlineStr">
        <is>
          <t>BLAST CHILLER, GRILL, MARINADE, OVEN</t>
        </is>
      </c>
      <c r="H18" s="151" t="inlineStr">
        <is>
          <t>Chicken Breast - BRINED 160g</t>
        </is>
      </c>
      <c r="I18" s="151" t="inlineStr">
        <is>
          <t>SUB-013527-4-001</t>
        </is>
      </c>
      <c r="J18" s="150" t="n">
        <v>160</v>
      </c>
      <c r="K18" s="151" t="inlineStr">
        <is>
          <t>grams</t>
        </is>
      </c>
      <c r="L18" s="151" t="inlineStr">
        <is>
          <t>BRINE</t>
        </is>
      </c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inlineStr">
        <is>
          <t>FA-DE Chicken, Breast, B/S - 160g/Hähnchen, Brust, B/S – 160 g</t>
        </is>
      </c>
      <c r="X18" s="151" t="inlineStr">
        <is>
          <t>PTN-00-139317-3</t>
        </is>
      </c>
      <c r="Y18" s="150" t="n">
        <v>160</v>
      </c>
      <c r="Z18" s="152" t="n">
        <v>160</v>
      </c>
      <c r="AA18" s="151" t="inlineStr">
        <is>
          <t>grams</t>
        </is>
      </c>
      <c r="AB18" s="151" t="n"/>
      <c r="AC18" s="151" t="n"/>
      <c r="AD18" s="150" t="n">
        <v>0.4978</v>
      </c>
      <c r="AE18" s="152" t="n">
        <v>160</v>
      </c>
      <c r="AF18" s="151" t="inlineStr">
        <is>
          <t>grams</t>
        </is>
      </c>
      <c r="AG18" s="151" t="n"/>
      <c r="AH18" s="151" t="n"/>
    </row>
    <row r="19">
      <c r="A19" s="151" t="inlineStr">
        <is>
          <t>FV0024A - Chicken in tomato cream sauce [BNL]</t>
        </is>
      </c>
      <c r="B19" s="151" t="inlineStr">
        <is>
          <t>REC-013938-4-007</t>
        </is>
      </c>
      <c r="C19" s="151" t="inlineStr">
        <is>
          <t>Chicken breast - Sun-Dried Tomato Chicken Batch - Grilled 160g</t>
        </is>
      </c>
      <c r="D19" s="151" t="inlineStr">
        <is>
          <t>SUB-013572-4-001</t>
        </is>
      </c>
      <c r="E19" s="150" t="n">
        <v>1</v>
      </c>
      <c r="F19" s="151" t="inlineStr">
        <is>
          <t>each</t>
        </is>
      </c>
      <c r="G19" s="151" t="inlineStr">
        <is>
          <t>BLAST CHILLER, GRILL, MARINADE, OVEN</t>
        </is>
      </c>
      <c r="H19" s="151" t="inlineStr">
        <is>
          <t>Chicken Breast - BRINED 160g</t>
        </is>
      </c>
      <c r="I19" s="151" t="inlineStr">
        <is>
          <t>SUB-013527-4-001</t>
        </is>
      </c>
      <c r="J19" s="150" t="n">
        <v>160</v>
      </c>
      <c r="K19" s="151" t="inlineStr">
        <is>
          <t>grams</t>
        </is>
      </c>
      <c r="L19" s="151" t="inlineStr">
        <is>
          <t>BRINE</t>
        </is>
      </c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inlineStr">
        <is>
          <t>FA-DE Water / Wasser</t>
        </is>
      </c>
      <c r="X19" s="151" t="inlineStr">
        <is>
          <t>OTH-00-144038-5</t>
        </is>
      </c>
      <c r="Y19" s="150" t="n">
        <v>160</v>
      </c>
      <c r="Z19" s="152" t="n">
        <v>160</v>
      </c>
      <c r="AA19" s="151" t="inlineStr">
        <is>
          <t>grams</t>
        </is>
      </c>
      <c r="AB19" s="151" t="n"/>
      <c r="AC19" s="151" t="n"/>
      <c r="AD19" s="150" t="n">
        <v>0.4978</v>
      </c>
      <c r="AE19" s="152" t="n">
        <v>160</v>
      </c>
      <c r="AF19" s="151" t="inlineStr">
        <is>
          <t>grams</t>
        </is>
      </c>
      <c r="AG19" s="151" t="n"/>
      <c r="AH19" s="151" t="n"/>
    </row>
    <row r="20">
      <c r="A20" s="151" t="inlineStr">
        <is>
          <t>FV0024A - Chicken in tomato cream sauce [BNL]</t>
        </is>
      </c>
      <c r="B20" s="151" t="inlineStr">
        <is>
          <t>REC-013938-4-007</t>
        </is>
      </c>
      <c r="C20" s="151" t="inlineStr">
        <is>
          <t>Chicken breast - Sun-Dried Tomato Chicken Batch - Grilled 160g</t>
        </is>
      </c>
      <c r="D20" s="151" t="inlineStr">
        <is>
          <t>SUB-013572-4-001</t>
        </is>
      </c>
      <c r="E20" s="150" t="n">
        <v>1</v>
      </c>
      <c r="F20" s="151" t="inlineStr">
        <is>
          <t>each</t>
        </is>
      </c>
      <c r="G20" s="151" t="inlineStr">
        <is>
          <t>BLAST CHILLER, GRILL, MARINADE, OVEN</t>
        </is>
      </c>
      <c r="H20" s="151" t="inlineStr">
        <is>
          <t>Chicken Breast - BRINED 160g</t>
        </is>
      </c>
      <c r="I20" s="151" t="inlineStr">
        <is>
          <t>SUB-013527-4-001</t>
        </is>
      </c>
      <c r="J20" s="150" t="n">
        <v>160</v>
      </c>
      <c r="K20" s="151" t="inlineStr">
        <is>
          <t>grams</t>
        </is>
      </c>
      <c r="L20" s="151" t="inlineStr">
        <is>
          <t>BRINE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inlineStr">
        <is>
          <t>FA-DE Spice, Sea Salt /Gewürze, Meersalz</t>
        </is>
      </c>
      <c r="X20" s="151" t="inlineStr">
        <is>
          <t>SPI-00-139378-5</t>
        </is>
      </c>
      <c r="Y20" s="151" t="inlineStr">
        <is>
          <t>1,41</t>
        </is>
      </c>
      <c r="Z20" s="149" t="inlineStr">
        <is>
          <t>1,41</t>
        </is>
      </c>
      <c r="AA20" s="151" t="inlineStr">
        <is>
          <t>grams</t>
        </is>
      </c>
      <c r="AB20" s="151" t="n"/>
      <c r="AC20" s="151" t="n"/>
      <c r="AD20" s="150" t="n">
        <v>0.4978</v>
      </c>
      <c r="AE20" s="149" t="n">
        <v>1.41</v>
      </c>
      <c r="AF20" s="151" t="inlineStr">
        <is>
          <t>grams</t>
        </is>
      </c>
      <c r="AG20" s="151" t="n"/>
      <c r="AH20" s="151" t="n"/>
    </row>
    <row r="21">
      <c r="A21" s="151" t="inlineStr">
        <is>
          <t>FV0024A - Chicken in tomato cream sauce [BNL]</t>
        </is>
      </c>
      <c r="B21" s="151" t="inlineStr">
        <is>
          <t>REC-013938-4-007</t>
        </is>
      </c>
      <c r="C21" s="151" t="inlineStr">
        <is>
          <t>Chicken breast - Sun-Dried Tomato Chicken Batch - Grilled 160g</t>
        </is>
      </c>
      <c r="D21" s="151" t="inlineStr">
        <is>
          <t>SUB-013572-4-001</t>
        </is>
      </c>
      <c r="E21" s="150" t="n">
        <v>1</v>
      </c>
      <c r="F21" s="151" t="inlineStr">
        <is>
          <t>each</t>
        </is>
      </c>
      <c r="G21" s="151" t="inlineStr">
        <is>
          <t>BLAST CHILLER, GRILL, MARINADE, OVEN</t>
        </is>
      </c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inlineStr">
        <is>
          <t>FA-DE Parsley, Chopped /Petersilie, gehackt</t>
        </is>
      </c>
      <c r="X21" s="151" t="inlineStr">
        <is>
          <t>PHF-00-139215-3</t>
        </is>
      </c>
      <c r="Y21" s="151" t="inlineStr">
        <is>
          <t>0,46</t>
        </is>
      </c>
      <c r="Z21" s="149" t="inlineStr">
        <is>
          <t>0,46</t>
        </is>
      </c>
      <c r="AA21" s="151" t="inlineStr">
        <is>
          <t>grams</t>
        </is>
      </c>
      <c r="AB21" s="151" t="n"/>
      <c r="AC21" s="151" t="n"/>
      <c r="AD21" s="150" t="n">
        <v>0.7010999999999999</v>
      </c>
      <c r="AE21" s="149" t="n">
        <v>0.46</v>
      </c>
      <c r="AF21" s="151" t="inlineStr">
        <is>
          <t>grams</t>
        </is>
      </c>
      <c r="AG21" s="151" t="n"/>
      <c r="AH21" s="151" t="n"/>
    </row>
    <row r="22">
      <c r="A22" s="151" t="inlineStr">
        <is>
          <t>FV0024A - Chicken in tomato cream sauce [BNL]</t>
        </is>
      </c>
      <c r="B22" s="151" t="inlineStr">
        <is>
          <t>REC-013938-4-007</t>
        </is>
      </c>
      <c r="C22" s="151" t="inlineStr">
        <is>
          <t>Chicken breast - Sun-Dried Tomato Chicken Batch - Grilled 160g</t>
        </is>
      </c>
      <c r="D22" s="151" t="inlineStr">
        <is>
          <t>SUB-013572-4-001</t>
        </is>
      </c>
      <c r="E22" s="150" t="n">
        <v>1</v>
      </c>
      <c r="F22" s="151" t="inlineStr">
        <is>
          <t>each</t>
        </is>
      </c>
      <c r="G22" s="151" t="inlineStr">
        <is>
          <t>BLAST CHILLER, GRILL, MARINADE, OVEN</t>
        </is>
      </c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inlineStr">
        <is>
          <t>FA-DE Oil, Olive /Öl, Olivenöl</t>
        </is>
      </c>
      <c r="X22" s="151" t="inlineStr">
        <is>
          <t>PRO-00-139277-5</t>
        </is>
      </c>
      <c r="Y22" s="154" t="inlineStr">
        <is>
          <t>6,8</t>
        </is>
      </c>
      <c r="Z22" s="149" t="inlineStr">
        <is>
          <t>6,8</t>
        </is>
      </c>
      <c r="AA22" s="151" t="inlineStr">
        <is>
          <t>grams</t>
        </is>
      </c>
      <c r="AB22" s="151" t="n"/>
      <c r="AC22" s="151" t="n"/>
      <c r="AD22" s="150" t="n">
        <v>0.7010999999999999</v>
      </c>
      <c r="AE22" s="149" t="n">
        <v>6.8</v>
      </c>
      <c r="AF22" s="151" t="inlineStr">
        <is>
          <t>grams</t>
        </is>
      </c>
      <c r="AG22" s="151" t="n"/>
      <c r="AH22" s="151" t="n"/>
    </row>
    <row r="23">
      <c r="A23" s="151" t="inlineStr">
        <is>
          <t>FV0024A - Chicken in tomato cream sauce [BNL]</t>
        </is>
      </c>
      <c r="B23" s="151" t="inlineStr">
        <is>
          <t>REC-013938-4-007</t>
        </is>
      </c>
      <c r="C23" s="151" t="inlineStr">
        <is>
          <t>Chicken breast - Sun-Dried Tomato Chicken Batch - Grilled 160g</t>
        </is>
      </c>
      <c r="D23" s="151" t="inlineStr">
        <is>
          <t>SUB-013572-4-001</t>
        </is>
      </c>
      <c r="E23" s="150" t="n">
        <v>1</v>
      </c>
      <c r="F23" s="151" t="inlineStr">
        <is>
          <t>each</t>
        </is>
      </c>
      <c r="G23" s="151" t="inlineStr">
        <is>
          <t>BLAST CHILLER, GRILL, MARINADE, OVEN</t>
        </is>
      </c>
      <c r="H23" s="151" t="inlineStr">
        <is>
          <t>Basil - Picked Basil Leaves</t>
        </is>
      </c>
      <c r="I23" s="151" t="inlineStr">
        <is>
          <t>SUB-013424-4-001</t>
        </is>
      </c>
      <c r="J23" s="150" t="n">
        <v>0.57</v>
      </c>
      <c r="K23" s="151" t="inlineStr">
        <is>
          <t>grams</t>
        </is>
      </c>
      <c r="L23" s="151" t="inlineStr">
        <is>
          <t>DEBOX, STAGING</t>
        </is>
      </c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inlineStr">
        <is>
          <t>FA-DE Basil, Fresh /Basilikum, frisch</t>
        </is>
      </c>
      <c r="X23" s="151" t="inlineStr">
        <is>
          <t>PHF-00-139175-3</t>
        </is>
      </c>
      <c r="Y23" s="154" t="inlineStr">
        <is>
          <t>1,02</t>
        </is>
      </c>
      <c r="Z23" s="149" t="inlineStr">
        <is>
          <t>1,02</t>
        </is>
      </c>
      <c r="AA23" s="151" t="inlineStr">
        <is>
          <t>grams</t>
        </is>
      </c>
      <c r="AB23" s="151" t="n"/>
      <c r="AC23" s="151" t="n"/>
      <c r="AD23" s="150" t="n">
        <v>0.55986</v>
      </c>
      <c r="AE23" s="149" t="n">
        <v>1.02</v>
      </c>
      <c r="AF23" s="151" t="inlineStr">
        <is>
          <t>grams</t>
        </is>
      </c>
      <c r="AG23" s="151" t="n"/>
      <c r="AH23" s="151" t="n"/>
    </row>
    <row r="24">
      <c r="A24" s="151" t="inlineStr">
        <is>
          <t>FV0024A - Chicken in tomato cream sauce [BNL]</t>
        </is>
      </c>
      <c r="B24" s="151" t="inlineStr">
        <is>
          <t>REC-013938-4-007</t>
        </is>
      </c>
      <c r="C24" s="151" t="inlineStr">
        <is>
          <t>Cooked Courgette Noodles - No Salt</t>
        </is>
      </c>
      <c r="D24" s="151" t="inlineStr">
        <is>
          <t>SUB-013573-4-001</t>
        </is>
      </c>
      <c r="E24" s="150" t="n">
        <v>100</v>
      </c>
      <c r="F24" s="151" t="inlineStr">
        <is>
          <t>grams</t>
        </is>
      </c>
      <c r="G24" s="151" t="inlineStr">
        <is>
          <t>BLAST CHILLER, HAND MARINADE, OVEN</t>
        </is>
      </c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inlineStr">
        <is>
          <t>FA-DE Oil, Olive /Öl, Olivenöl</t>
        </is>
      </c>
      <c r="X24" s="151" t="inlineStr">
        <is>
          <t>PRO-00-139277-5</t>
        </is>
      </c>
      <c r="Y24" s="154" t="inlineStr">
        <is>
          <t>8,07</t>
        </is>
      </c>
      <c r="Z24" s="149" t="inlineStr">
        <is>
          <t>8,07</t>
        </is>
      </c>
      <c r="AA24" s="151" t="inlineStr">
        <is>
          <t>grams</t>
        </is>
      </c>
      <c r="AB24" s="151" t="n"/>
      <c r="AC24" s="151" t="n"/>
      <c r="AD24" s="150" t="n">
        <v>0.68363</v>
      </c>
      <c r="AE24" s="149" t="n">
        <v>8.07</v>
      </c>
      <c r="AF24" s="151" t="inlineStr">
        <is>
          <t>grams</t>
        </is>
      </c>
      <c r="AG24" s="151" t="n"/>
      <c r="AH24" s="151" t="n"/>
    </row>
    <row r="25">
      <c r="A25" s="151" t="inlineStr">
        <is>
          <t>FV0024A - Chicken in tomato cream sauce [BNL]</t>
        </is>
      </c>
      <c r="B25" s="151" t="inlineStr">
        <is>
          <t>REC-013938-4-007</t>
        </is>
      </c>
      <c r="C25" s="151" t="inlineStr">
        <is>
          <t>Cooked Courgette Noodles - No Salt</t>
        </is>
      </c>
      <c r="D25" s="151" t="inlineStr">
        <is>
          <t>SUB-013573-4-001</t>
        </is>
      </c>
      <c r="E25" s="150" t="n">
        <v>100</v>
      </c>
      <c r="F25" s="151" t="inlineStr">
        <is>
          <t>grams</t>
        </is>
      </c>
      <c r="G25" s="151" t="inlineStr">
        <is>
          <t>BLAST CHILLER, HAND MARINADE, OVEN</t>
        </is>
      </c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inlineStr">
        <is>
          <t>FA-DE Zucchini, Spiralized Noodles /Zucchini, Spiralnudeln</t>
        </is>
      </c>
      <c r="X25" s="151" t="inlineStr">
        <is>
          <t>PHF-00-139230-3</t>
        </is>
      </c>
      <c r="Y25" s="151" t="inlineStr">
        <is>
          <t>138,21</t>
        </is>
      </c>
      <c r="Z25" s="149" t="inlineStr">
        <is>
          <t>138,21</t>
        </is>
      </c>
      <c r="AA25" s="151" t="inlineStr">
        <is>
          <t>grams</t>
        </is>
      </c>
      <c r="AB25" s="151" t="n"/>
      <c r="AC25" s="151" t="n"/>
      <c r="AD25" s="150" t="n">
        <v>0.68363</v>
      </c>
      <c r="AE25" s="149" t="n">
        <v>138.21</v>
      </c>
      <c r="AF25" s="151" t="inlineStr">
        <is>
          <t>grams</t>
        </is>
      </c>
      <c r="AG25" s="151" t="n"/>
      <c r="AH25" s="151" t="n"/>
    </row>
    <row r="26">
      <c r="A26" s="151" t="inlineStr">
        <is>
          <t>FV0024A - Chicken in tomato cream sauce [DE]</t>
        </is>
      </c>
      <c r="B26" s="151" t="inlineStr">
        <is>
          <t>REC-013938-4-005</t>
        </is>
      </c>
      <c r="C26" s="151" t="inlineStr">
        <is>
          <t>Sauce - Sun-Dried Tomato Sauce - Less Salt</t>
        </is>
      </c>
      <c r="D26" s="151" t="inlineStr">
        <is>
          <t>SUB-013571-4-001</t>
        </is>
      </c>
      <c r="E26" s="150" t="n">
        <v>140</v>
      </c>
      <c r="F26" s="151" t="inlineStr">
        <is>
          <t>grams</t>
        </is>
      </c>
      <c r="G26" s="151" t="inlineStr">
        <is>
          <t>BLAST CHILLER, BRAISER, IMMERSION BLENDER, SPICE PORTIONING</t>
        </is>
      </c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inlineStr">
        <is>
          <t>FA-DE Cheese, Parmesan, Grated /Käse, Parmesan, gerieben</t>
        </is>
      </c>
      <c r="X26" s="151" t="inlineStr">
        <is>
          <t>DAI-00-139127-3</t>
        </is>
      </c>
      <c r="Y26" s="151" t="inlineStr">
        <is>
          <t>14,55</t>
        </is>
      </c>
      <c r="Z26" s="149" t="inlineStr">
        <is>
          <t>14,55</t>
        </is>
      </c>
      <c r="AA26" s="151" t="inlineStr">
        <is>
          <t>grams</t>
        </is>
      </c>
      <c r="AB26" s="151" t="inlineStr">
        <is>
          <t>MILCH (EINSCHLIESSLICH LAKTOSE)</t>
        </is>
      </c>
      <c r="AC26" s="151" t="n"/>
      <c r="AD26" s="150" t="n">
        <v>0.88017</v>
      </c>
      <c r="AE26" s="149" t="n">
        <v>14.55</v>
      </c>
      <c r="AF26" s="151" t="inlineStr">
        <is>
          <t>grams</t>
        </is>
      </c>
      <c r="AG26" s="151" t="n"/>
      <c r="AH26" s="151" t="n"/>
    </row>
    <row r="27">
      <c r="A27" s="151" t="inlineStr">
        <is>
          <t>FV0024A - Chicken in tomato cream sauce [DE]</t>
        </is>
      </c>
      <c r="B27" s="151" t="inlineStr">
        <is>
          <t>REC-013938-4-005</t>
        </is>
      </c>
      <c r="C27" s="151" t="inlineStr">
        <is>
          <t>Sauce - Sun-Dried Tomato Sauce - Less Salt</t>
        </is>
      </c>
      <c r="D27" s="151" t="inlineStr">
        <is>
          <t>SUB-013571-4-001</t>
        </is>
      </c>
      <c r="E27" s="150" t="n">
        <v>140</v>
      </c>
      <c r="F27" s="151" t="inlineStr">
        <is>
          <t>grams</t>
        </is>
      </c>
      <c r="G27" s="151" t="inlineStr">
        <is>
          <t>BLAST CHILLER, BRAISER, IMMERSION BLENDER, SPICE PORTIONING</t>
        </is>
      </c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inlineStr">
        <is>
          <t>FA-DE Oil, Olive /Öl, Olivenöl</t>
        </is>
      </c>
      <c r="X27" s="151" t="inlineStr">
        <is>
          <t>PRO-00-139277-5</t>
        </is>
      </c>
      <c r="Y27" s="153" t="inlineStr">
        <is>
          <t>8,29</t>
        </is>
      </c>
      <c r="Z27" s="149" t="inlineStr">
        <is>
          <t>8,29</t>
        </is>
      </c>
      <c r="AA27" s="151" t="inlineStr">
        <is>
          <t>grams</t>
        </is>
      </c>
      <c r="AB27" s="151" t="n"/>
      <c r="AC27" s="151" t="n"/>
      <c r="AD27" s="150" t="n">
        <v>0.88017</v>
      </c>
      <c r="AE27" s="149" t="n">
        <v>8.289999999999999</v>
      </c>
      <c r="AF27" s="151" t="inlineStr">
        <is>
          <t>grams</t>
        </is>
      </c>
      <c r="AG27" s="151" t="n"/>
      <c r="AH27" s="151" t="n"/>
    </row>
    <row r="28">
      <c r="A28" s="151" t="inlineStr">
        <is>
          <t>FV0024A - Chicken in tomato cream sauce [DE]</t>
        </is>
      </c>
      <c r="B28" s="151" t="inlineStr">
        <is>
          <t>REC-013938-4-005</t>
        </is>
      </c>
      <c r="C28" s="151" t="inlineStr">
        <is>
          <t>Sauce - Sun-Dried Tomato Sauce - Less Salt</t>
        </is>
      </c>
      <c r="D28" s="151" t="inlineStr">
        <is>
          <t>SUB-013571-4-001</t>
        </is>
      </c>
      <c r="E28" s="150" t="n">
        <v>140</v>
      </c>
      <c r="F28" s="151" t="inlineStr">
        <is>
          <t>grams</t>
        </is>
      </c>
      <c r="G28" s="151" t="inlineStr">
        <is>
          <t>BLAST CHILLER, BRAISER, IMMERSION BLENDER, SPICE PORTIONING</t>
        </is>
      </c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inlineStr">
        <is>
          <t>FA-DE Stock, Chicken, Reduced/Brühe, Huhn, Reduziert</t>
        </is>
      </c>
      <c r="X28" s="151" t="inlineStr">
        <is>
          <t>PRO-00-139288-5</t>
        </is>
      </c>
      <c r="Y28" s="151" t="inlineStr">
        <is>
          <t>1,63</t>
        </is>
      </c>
      <c r="Z28" s="149" t="inlineStr">
        <is>
          <t>1,63</t>
        </is>
      </c>
      <c r="AA28" s="151" t="inlineStr">
        <is>
          <t>grams</t>
        </is>
      </c>
      <c r="AB28" s="151" t="n"/>
      <c r="AC28" s="151" t="n"/>
      <c r="AD28" s="150" t="n">
        <v>0.88017</v>
      </c>
      <c r="AE28" s="149" t="n">
        <v>1.63</v>
      </c>
      <c r="AF28" s="151" t="inlineStr">
        <is>
          <t>grams</t>
        </is>
      </c>
      <c r="AG28" s="151" t="n"/>
      <c r="AH28" s="151" t="n"/>
    </row>
    <row r="29">
      <c r="A29" s="151" t="inlineStr">
        <is>
          <t>FV0024A - Chicken in tomato cream sauce [DE]</t>
        </is>
      </c>
      <c r="B29" s="151" t="inlineStr">
        <is>
          <t>REC-013938-4-005</t>
        </is>
      </c>
      <c r="C29" s="151" t="inlineStr">
        <is>
          <t>Sauce - Sun-Dried Tomato Sauce - Less Salt</t>
        </is>
      </c>
      <c r="D29" s="151" t="inlineStr">
        <is>
          <t>SUB-013571-4-001</t>
        </is>
      </c>
      <c r="E29" s="150" t="n">
        <v>140</v>
      </c>
      <c r="F29" s="151" t="inlineStr">
        <is>
          <t>grams</t>
        </is>
      </c>
      <c r="G29" s="151" t="inlineStr">
        <is>
          <t>BLAST CHILLER, BRAISER, IMMERSION BLENDER, SPICE PORTIONING</t>
        </is>
      </c>
      <c r="H29" s="151" t="n"/>
      <c r="I29" s="151" t="n"/>
      <c r="J29" s="151" t="n"/>
      <c r="K29" s="151" t="n"/>
      <c r="L29" s="151" t="n"/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inlineStr">
        <is>
          <t>FA-DE Garlic, IQF, Diced 4 mm /Knoblauch, IQF, gewürfelt 4 mm</t>
        </is>
      </c>
      <c r="X29" s="151" t="inlineStr">
        <is>
          <t>PHF-00-139237-1</t>
        </is>
      </c>
      <c r="Y29" s="151" t="inlineStr">
        <is>
          <t>3,31</t>
        </is>
      </c>
      <c r="Z29" s="149" t="inlineStr">
        <is>
          <t>3,31</t>
        </is>
      </c>
      <c r="AA29" s="151" t="inlineStr">
        <is>
          <t>grams</t>
        </is>
      </c>
      <c r="AB29" s="151" t="inlineStr">
        <is>
          <t>SCHWEFELDIOXIDE UND SULFITE</t>
        </is>
      </c>
      <c r="AC29" s="151" t="n"/>
      <c r="AD29" s="150" t="n">
        <v>0.88017</v>
      </c>
      <c r="AE29" s="149" t="n">
        <v>3.31</v>
      </c>
      <c r="AF29" s="151" t="inlineStr">
        <is>
          <t>grams</t>
        </is>
      </c>
      <c r="AG29" s="151" t="n"/>
      <c r="AH29" s="151" t="n"/>
    </row>
    <row r="30">
      <c r="A30" s="151" t="inlineStr">
        <is>
          <t>FV0024A - Chicken in tomato cream sauce [DE]</t>
        </is>
      </c>
      <c r="B30" s="151" t="inlineStr">
        <is>
          <t>REC-013938-4-005</t>
        </is>
      </c>
      <c r="C30" s="151" t="inlineStr">
        <is>
          <t>Sauce - Sun-Dried Tomato Sauce - Less Salt</t>
        </is>
      </c>
      <c r="D30" s="151" t="inlineStr">
        <is>
          <t>SUB-013571-4-001</t>
        </is>
      </c>
      <c r="E30" s="150" t="n">
        <v>140</v>
      </c>
      <c r="F30" s="151" t="inlineStr">
        <is>
          <t>grams</t>
        </is>
      </c>
      <c r="G30" s="151" t="inlineStr">
        <is>
          <t>BLAST CHILLER, BRAISER, IMMERSION BLENDER, SPICE PORTIONING</t>
        </is>
      </c>
      <c r="H30" s="151" t="inlineStr">
        <is>
          <t>Hydrated Sun-Dried Tomatoes</t>
        </is>
      </c>
      <c r="I30" s="151" t="inlineStr">
        <is>
          <t>SUB-013501-4-001</t>
        </is>
      </c>
      <c r="J30" s="150" t="n">
        <v>14.53</v>
      </c>
      <c r="K30" s="151" t="inlineStr">
        <is>
          <t>grams</t>
        </is>
      </c>
      <c r="L30" s="151" t="inlineStr">
        <is>
          <t>BRAISER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inlineStr">
        <is>
          <t>FA-DE Tomatoes, Sun - Dried Julienned /Tomaten, sonnengetrocknete Julienne</t>
        </is>
      </c>
      <c r="X30" s="151" t="inlineStr">
        <is>
          <t>PRO-00-139296-5</t>
        </is>
      </c>
      <c r="Y30" s="154" t="inlineStr">
        <is>
          <t>8,07</t>
        </is>
      </c>
      <c r="Z30" s="149" t="inlineStr">
        <is>
          <t>8,07</t>
        </is>
      </c>
      <c r="AA30" s="151" t="inlineStr">
        <is>
          <t>grams</t>
        </is>
      </c>
      <c r="AB30" s="151" t="n"/>
      <c r="AC30" s="151" t="n"/>
      <c r="AD30" s="150" t="n">
        <v>0.90001</v>
      </c>
      <c r="AE30" s="149" t="n">
        <v>8.07</v>
      </c>
      <c r="AF30" s="151" t="inlineStr">
        <is>
          <t>grams</t>
        </is>
      </c>
      <c r="AG30" s="151" t="n"/>
      <c r="AH30" s="151" t="n"/>
    </row>
    <row r="31">
      <c r="A31" s="151" t="inlineStr">
        <is>
          <t>FV0024A - Chicken in tomato cream sauce [DE]</t>
        </is>
      </c>
      <c r="B31" s="151" t="inlineStr">
        <is>
          <t>REC-013938-4-005</t>
        </is>
      </c>
      <c r="C31" s="151" t="inlineStr">
        <is>
          <t>Sauce - Sun-Dried Tomato Sauce - Less Salt</t>
        </is>
      </c>
      <c r="D31" s="151" t="inlineStr">
        <is>
          <t>SUB-013571-4-001</t>
        </is>
      </c>
      <c r="E31" s="150" t="n">
        <v>140</v>
      </c>
      <c r="F31" s="151" t="inlineStr">
        <is>
          <t>grams</t>
        </is>
      </c>
      <c r="G31" s="151" t="inlineStr">
        <is>
          <t>BLAST CHILLER, BRAISER, IMMERSION BLENDER, SPICE PORTIONING</t>
        </is>
      </c>
      <c r="H31" s="151" t="inlineStr">
        <is>
          <t>Hydrated Sun-Dried Tomatoes</t>
        </is>
      </c>
      <c r="I31" s="151" t="inlineStr">
        <is>
          <t>SUB-013501-4-001</t>
        </is>
      </c>
      <c r="J31" s="150" t="n">
        <v>14.53</v>
      </c>
      <c r="K31" s="151" t="inlineStr">
        <is>
          <t>grams</t>
        </is>
      </c>
      <c r="L31" s="151" t="inlineStr">
        <is>
          <t>BRAISER</t>
        </is>
      </c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inlineStr">
        <is>
          <t>FA-DE Water / Wasser</t>
        </is>
      </c>
      <c r="X31" s="151" t="inlineStr">
        <is>
          <t>OTH-00-144038-5</t>
        </is>
      </c>
      <c r="Y31" s="154" t="inlineStr">
        <is>
          <t>8,07</t>
        </is>
      </c>
      <c r="Z31" s="149" t="inlineStr">
        <is>
          <t>8,07</t>
        </is>
      </c>
      <c r="AA31" s="151" t="inlineStr">
        <is>
          <t>grams</t>
        </is>
      </c>
      <c r="AB31" s="151" t="n"/>
      <c r="AC31" s="151" t="n"/>
      <c r="AD31" s="150" t="n">
        <v>0.90001</v>
      </c>
      <c r="AE31" s="149" t="n">
        <v>8.07</v>
      </c>
      <c r="AF31" s="151" t="inlineStr">
        <is>
          <t>grams</t>
        </is>
      </c>
      <c r="AG31" s="151" t="n"/>
      <c r="AH31" s="151" t="n"/>
    </row>
    <row r="32">
      <c r="A32" s="151" t="inlineStr">
        <is>
          <t>FV0024A - Chicken in tomato cream sauce [DE]</t>
        </is>
      </c>
      <c r="B32" s="151" t="inlineStr">
        <is>
          <t>REC-013938-4-005</t>
        </is>
      </c>
      <c r="C32" s="151" t="inlineStr">
        <is>
          <t>Sauce - Sun-Dried Tomato Sauce - Less Salt</t>
        </is>
      </c>
      <c r="D32" s="151" t="inlineStr">
        <is>
          <t>SUB-013571-4-001</t>
        </is>
      </c>
      <c r="E32" s="150" t="n">
        <v>140</v>
      </c>
      <c r="F32" s="151" t="inlineStr">
        <is>
          <t>grams</t>
        </is>
      </c>
      <c r="G32" s="151" t="inlineStr">
        <is>
          <t>BLAST CHILLER, BRAISER, IMMERSION BLENDER, SPICE PORTIONING</t>
        </is>
      </c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inlineStr">
        <is>
          <t>FA-DE Spinach, Fresh, Stem Off /Spinat, frisch, ohne Stiel</t>
        </is>
      </c>
      <c r="X32" s="151" t="inlineStr">
        <is>
          <t>PHF-00-139225-3</t>
        </is>
      </c>
      <c r="Y32" s="151" t="inlineStr">
        <is>
          <t>11,64</t>
        </is>
      </c>
      <c r="Z32" s="149" t="inlineStr">
        <is>
          <t>11,64</t>
        </is>
      </c>
      <c r="AA32" s="151" t="inlineStr">
        <is>
          <t>grams</t>
        </is>
      </c>
      <c r="AB32" s="151" t="n"/>
      <c r="AC32" s="151" t="n"/>
      <c r="AD32" s="150" t="n">
        <v>0.88017</v>
      </c>
      <c r="AE32" s="149" t="n">
        <v>11.64</v>
      </c>
      <c r="AF32" s="151" t="inlineStr">
        <is>
          <t>grams</t>
        </is>
      </c>
      <c r="AG32" s="151" t="n"/>
      <c r="AH32" s="151" t="n"/>
    </row>
    <row r="33">
      <c r="A33" s="151" t="inlineStr">
        <is>
          <t>FV0024A - Chicken in tomato cream sauce [DE]</t>
        </is>
      </c>
      <c r="B33" s="151" t="inlineStr">
        <is>
          <t>REC-013938-4-005</t>
        </is>
      </c>
      <c r="C33" s="151" t="inlineStr">
        <is>
          <t>Sauce - Sun-Dried Tomato Sauce - Less Salt</t>
        </is>
      </c>
      <c r="D33" s="151" t="inlineStr">
        <is>
          <t>SUB-013571-4-001</t>
        </is>
      </c>
      <c r="E33" s="150" t="n">
        <v>140</v>
      </c>
      <c r="F33" s="151" t="inlineStr">
        <is>
          <t>grams</t>
        </is>
      </c>
      <c r="G33" s="151" t="inlineStr">
        <is>
          <t>BLAST CHILLER, BRAISER, IMMERSION BLENDER, SPICE PORTIONING</t>
        </is>
      </c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inlineStr">
        <is>
          <t>FA-DE Spice, Sea Salt /Gewürze, Meersalz</t>
        </is>
      </c>
      <c r="X33" s="151" t="inlineStr">
        <is>
          <t>SPI-00-139378-5</t>
        </is>
      </c>
      <c r="Y33" s="151" t="inlineStr">
        <is>
          <t>0,07</t>
        </is>
      </c>
      <c r="Z33" s="149" t="inlineStr">
        <is>
          <t>0,07</t>
        </is>
      </c>
      <c r="AA33" s="151" t="inlineStr">
        <is>
          <t>grams</t>
        </is>
      </c>
      <c r="AB33" s="151" t="n"/>
      <c r="AC33" s="151" t="n"/>
      <c r="AD33" s="150" t="n">
        <v>0.88017</v>
      </c>
      <c r="AE33" s="149" t="n">
        <v>0.07000000000000001</v>
      </c>
      <c r="AF33" s="151" t="inlineStr">
        <is>
          <t>grams</t>
        </is>
      </c>
      <c r="AG33" s="151" t="n"/>
      <c r="AH33" s="151" t="n"/>
    </row>
    <row r="34">
      <c r="A34" s="151" t="inlineStr">
        <is>
          <t>FV0024A - Chicken in tomato cream sauce [DE]</t>
        </is>
      </c>
      <c r="B34" s="151" t="inlineStr">
        <is>
          <t>REC-013938-4-005</t>
        </is>
      </c>
      <c r="C34" s="151" t="inlineStr">
        <is>
          <t>Sauce - Sun-Dried Tomato Sauce - Less Salt</t>
        </is>
      </c>
      <c r="D34" s="151" t="inlineStr">
        <is>
          <t>SUB-013571-4-001</t>
        </is>
      </c>
      <c r="E34" s="150" t="n">
        <v>140</v>
      </c>
      <c r="F34" s="151" t="inlineStr">
        <is>
          <t>grams</t>
        </is>
      </c>
      <c r="G34" s="151" t="inlineStr">
        <is>
          <t>BLAST CHILLER, BRAISER, IMMERSION BLENDER, SPICE PORTIONING</t>
        </is>
      </c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inlineStr">
        <is>
          <t>FA-DE Onion, Spanish, Diced 5mm /Zwiebel, Spanisch, gewürfelt 5 mm</t>
        </is>
      </c>
      <c r="X34" s="151" t="inlineStr">
        <is>
          <t>PHF-00-139212-3</t>
        </is>
      </c>
      <c r="Y34" s="151" t="inlineStr">
        <is>
          <t>14,55</t>
        </is>
      </c>
      <c r="Z34" s="149" t="inlineStr">
        <is>
          <t>14,55</t>
        </is>
      </c>
      <c r="AA34" s="151" t="inlineStr">
        <is>
          <t>grams</t>
        </is>
      </c>
      <c r="AB34" s="151" t="n"/>
      <c r="AC34" s="151" t="n"/>
      <c r="AD34" s="150" t="n">
        <v>0.88017</v>
      </c>
      <c r="AE34" s="149" t="n">
        <v>14.55</v>
      </c>
      <c r="AF34" s="151" t="inlineStr">
        <is>
          <t>grams</t>
        </is>
      </c>
      <c r="AG34" s="151" t="n"/>
      <c r="AH34" s="151" t="n"/>
    </row>
    <row r="35">
      <c r="A35" s="151" t="inlineStr">
        <is>
          <t>FV0024A - Chicken in tomato cream sauce [DE]</t>
        </is>
      </c>
      <c r="B35" s="151" t="inlineStr">
        <is>
          <t>REC-013938-4-005</t>
        </is>
      </c>
      <c r="C35" s="151" t="inlineStr">
        <is>
          <t>Sauce - Sun-Dried Tomato Sauce - Less Salt</t>
        </is>
      </c>
      <c r="D35" s="151" t="inlineStr">
        <is>
          <t>SUB-013571-4-001</t>
        </is>
      </c>
      <c r="E35" s="150" t="n">
        <v>140</v>
      </c>
      <c r="F35" s="151" t="inlineStr">
        <is>
          <t>grams</t>
        </is>
      </c>
      <c r="G35" s="151" t="inlineStr">
        <is>
          <t>BLAST CHILLER, BRAISER, IMMERSION BLENDER, SPICE PORTIONING</t>
        </is>
      </c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inlineStr">
        <is>
          <t>FA-DE Heavy Cream 20% /Sahne 20%</t>
        </is>
      </c>
      <c r="X35" s="151" t="inlineStr">
        <is>
          <t>DAI-00-139137-3</t>
        </is>
      </c>
      <c r="Y35" s="151" t="inlineStr">
        <is>
          <t>90,49</t>
        </is>
      </c>
      <c r="Z35" s="149" t="inlineStr">
        <is>
          <t>90,49</t>
        </is>
      </c>
      <c r="AA35" s="151" t="inlineStr">
        <is>
          <t>grams</t>
        </is>
      </c>
      <c r="AB35" s="151" t="inlineStr">
        <is>
          <t>MILCH (EINSCHLIESSLICH LAKTOSE)</t>
        </is>
      </c>
      <c r="AC35" s="151" t="n"/>
      <c r="AD35" s="150" t="n">
        <v>0.88017</v>
      </c>
      <c r="AE35" s="149" t="n">
        <v>90.48999999999999</v>
      </c>
      <c r="AF35" s="151" t="inlineStr">
        <is>
          <t>grams</t>
        </is>
      </c>
      <c r="AG35" s="151" t="n"/>
      <c r="AH35" s="151" t="n"/>
    </row>
    <row r="36">
      <c r="A36" s="151" t="inlineStr">
        <is>
          <t>FV0024A - Chicken in tomato cream sauce [DE]</t>
        </is>
      </c>
      <c r="B36" s="151" t="inlineStr">
        <is>
          <t>REC-013938-4-005</t>
        </is>
      </c>
      <c r="C36" s="151" t="inlineStr">
        <is>
          <t>Chicken breast - Sun-Dried Tomato Chicken Batch - Grilled 160g</t>
        </is>
      </c>
      <c r="D36" s="151" t="inlineStr">
        <is>
          <t>SUB-013572-4-001</t>
        </is>
      </c>
      <c r="E36" s="150" t="n">
        <v>1</v>
      </c>
      <c r="F36" s="151" t="inlineStr">
        <is>
          <t>each</t>
        </is>
      </c>
      <c r="G36" s="151" t="inlineStr">
        <is>
          <t>BLAST CHILLER, GRILL, MARINADE, OVEN</t>
        </is>
      </c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inlineStr">
        <is>
          <t>FA-DE Spice, Black Pepper, Ground /Gewürz, schwarzer Pfeffer, gemahlen</t>
        </is>
      </c>
      <c r="X36" s="151" t="inlineStr">
        <is>
          <t>SPI-00-139334-5</t>
        </is>
      </c>
      <c r="Y36" s="151" t="inlineStr">
        <is>
          <t>0,14</t>
        </is>
      </c>
      <c r="Z36" s="149" t="inlineStr">
        <is>
          <t>0,14</t>
        </is>
      </c>
      <c r="AA36" s="151" t="inlineStr">
        <is>
          <t>grams</t>
        </is>
      </c>
      <c r="AB36" s="151" t="n"/>
      <c r="AC36" s="151" t="n"/>
      <c r="AD36" s="150" t="n">
        <v>0.7010999999999999</v>
      </c>
      <c r="AE36" s="149" t="n">
        <v>0.14</v>
      </c>
      <c r="AF36" s="151" t="inlineStr">
        <is>
          <t>grams</t>
        </is>
      </c>
      <c r="AG36" s="151" t="n"/>
      <c r="AH36" s="151" t="n"/>
    </row>
    <row r="37">
      <c r="A37" s="151" t="inlineStr">
        <is>
          <t>FV0024A - Chicken in tomato cream sauce [DE]</t>
        </is>
      </c>
      <c r="B37" s="151" t="inlineStr">
        <is>
          <t>REC-013938-4-005</t>
        </is>
      </c>
      <c r="C37" s="151" t="inlineStr">
        <is>
          <t>Chicken breast - Sun-Dried Tomato Chicken Batch - Grilled 160g</t>
        </is>
      </c>
      <c r="D37" s="151" t="inlineStr">
        <is>
          <t>SUB-013572-4-001</t>
        </is>
      </c>
      <c r="E37" s="150" t="n">
        <v>1</v>
      </c>
      <c r="F37" s="151" t="inlineStr">
        <is>
          <t>each</t>
        </is>
      </c>
      <c r="G37" s="151" t="inlineStr">
        <is>
          <t>BLAST CHILLER, GRILL, MARINADE, OVEN</t>
        </is>
      </c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inlineStr">
        <is>
          <t>FA-DE Spice, Oregano Dry /Gewürz, Oregano trocken</t>
        </is>
      </c>
      <c r="X37" s="151" t="inlineStr">
        <is>
          <t>SPI-00-139372-5</t>
        </is>
      </c>
      <c r="Y37" s="151" t="inlineStr">
        <is>
          <t>0,14</t>
        </is>
      </c>
      <c r="Z37" s="149" t="inlineStr">
        <is>
          <t>0,14</t>
        </is>
      </c>
      <c r="AA37" s="151" t="inlineStr">
        <is>
          <t>grams</t>
        </is>
      </c>
      <c r="AB37" s="151" t="n"/>
      <c r="AC37" s="151" t="n"/>
      <c r="AD37" s="150" t="n">
        <v>0.7010999999999999</v>
      </c>
      <c r="AE37" s="149" t="n">
        <v>0.14</v>
      </c>
      <c r="AF37" s="151" t="inlineStr">
        <is>
          <t>grams</t>
        </is>
      </c>
      <c r="AG37" s="151" t="n"/>
      <c r="AH37" s="151" t="n"/>
    </row>
    <row r="38">
      <c r="A38" s="151" t="inlineStr">
        <is>
          <t>FV0024A - Chicken in tomato cream sauce [DE]</t>
        </is>
      </c>
      <c r="B38" s="151" t="inlineStr">
        <is>
          <t>REC-013938-4-005</t>
        </is>
      </c>
      <c r="C38" s="151" t="inlineStr">
        <is>
          <t>Chicken breast - Sun-Dried Tomato Chicken Batch - Grilled 160g</t>
        </is>
      </c>
      <c r="D38" s="151" t="inlineStr">
        <is>
          <t>SUB-013572-4-001</t>
        </is>
      </c>
      <c r="E38" s="150" t="n">
        <v>1</v>
      </c>
      <c r="F38" s="151" t="inlineStr">
        <is>
          <t>each</t>
        </is>
      </c>
      <c r="G38" s="151" t="inlineStr">
        <is>
          <t>BLAST CHILLER, GRILL, MARINADE, OVEN</t>
        </is>
      </c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inlineStr">
        <is>
          <t>FA-DE Spice, Onion Granulated /Gewürze, Zwiebeln granuliert</t>
        </is>
      </c>
      <c r="X38" s="151" t="inlineStr">
        <is>
          <t>SPI-00-139370-5</t>
        </is>
      </c>
      <c r="Y38" s="151" t="inlineStr">
        <is>
          <t>0,23</t>
        </is>
      </c>
      <c r="Z38" s="149" t="inlineStr">
        <is>
          <t>0,23</t>
        </is>
      </c>
      <c r="AA38" s="151" t="inlineStr">
        <is>
          <t>grams</t>
        </is>
      </c>
      <c r="AB38" s="151" t="n"/>
      <c r="AC38" s="151" t="n"/>
      <c r="AD38" s="150" t="n">
        <v>0.7010999999999999</v>
      </c>
      <c r="AE38" s="149" t="n">
        <v>0.23</v>
      </c>
      <c r="AF38" s="151" t="inlineStr">
        <is>
          <t>grams</t>
        </is>
      </c>
      <c r="AG38" s="151" t="n"/>
      <c r="AH38" s="151" t="n"/>
    </row>
    <row r="39">
      <c r="A39" s="151" t="inlineStr">
        <is>
          <t>FV0024A - Chicken in tomato cream sauce [DE]</t>
        </is>
      </c>
      <c r="B39" s="151" t="inlineStr">
        <is>
          <t>REC-013938-4-005</t>
        </is>
      </c>
      <c r="C39" s="151" t="inlineStr">
        <is>
          <t>Chicken breast - Sun-Dried Tomato Chicken Batch - Grilled 160g</t>
        </is>
      </c>
      <c r="D39" s="151" t="inlineStr">
        <is>
          <t>SUB-013572-4-001</t>
        </is>
      </c>
      <c r="E39" s="150" t="n">
        <v>1</v>
      </c>
      <c r="F39" s="151" t="inlineStr">
        <is>
          <t>each</t>
        </is>
      </c>
      <c r="G39" s="151" t="inlineStr">
        <is>
          <t>BLAST CHILLER, GRILL, MARINADE, OVEN</t>
        </is>
      </c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inlineStr">
        <is>
          <t>FA-DE Spice, Crushed Red Pepper Flakes /Gewürz, zerkleinerte rote Pfefferflocken</t>
        </is>
      </c>
      <c r="X39" s="151" t="inlineStr">
        <is>
          <t>SPI-00-139344-5</t>
        </is>
      </c>
      <c r="Y39" s="151" t="inlineStr">
        <is>
          <t>0,09</t>
        </is>
      </c>
      <c r="Z39" s="149" t="inlineStr">
        <is>
          <t>0,09</t>
        </is>
      </c>
      <c r="AA39" s="151" t="inlineStr">
        <is>
          <t>grams</t>
        </is>
      </c>
      <c r="AB39" s="151" t="n"/>
      <c r="AC39" s="151" t="n"/>
      <c r="AD39" s="150" t="n">
        <v>0.7010999999999999</v>
      </c>
      <c r="AE39" s="149" t="n">
        <v>0.09</v>
      </c>
      <c r="AF39" s="151" t="inlineStr">
        <is>
          <t>grams</t>
        </is>
      </c>
      <c r="AG39" s="151" t="n"/>
      <c r="AH39" s="151" t="n"/>
    </row>
    <row r="40">
      <c r="A40" s="151" t="inlineStr">
        <is>
          <t>FV0024A - Chicken in tomato cream sauce [DE]</t>
        </is>
      </c>
      <c r="B40" s="151" t="inlineStr">
        <is>
          <t>REC-013938-4-005</t>
        </is>
      </c>
      <c r="C40" s="151" t="inlineStr">
        <is>
          <t>Chicken breast - Sun-Dried Tomato Chicken Batch - Grilled 160g</t>
        </is>
      </c>
      <c r="D40" s="151" t="inlineStr">
        <is>
          <t>SUB-013572-4-001</t>
        </is>
      </c>
      <c r="E40" s="150" t="n">
        <v>1</v>
      </c>
      <c r="F40" s="151" t="inlineStr">
        <is>
          <t>each</t>
        </is>
      </c>
      <c r="G40" s="151" t="inlineStr">
        <is>
          <t>BLAST CHILLER, GRILL, MARINADE, OVEN</t>
        </is>
      </c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inlineStr">
        <is>
          <t>FA-DE Spice, Garlic Granulated /Gewürz, Knoblauch granuliert</t>
        </is>
      </c>
      <c r="X40" s="151" t="inlineStr">
        <is>
          <t>SPI-00-139353-5</t>
        </is>
      </c>
      <c r="Y40" s="151" t="inlineStr">
        <is>
          <t>0,43</t>
        </is>
      </c>
      <c r="Z40" s="149" t="inlineStr">
        <is>
          <t>0,43</t>
        </is>
      </c>
      <c r="AA40" s="151" t="inlineStr">
        <is>
          <t>grams</t>
        </is>
      </c>
      <c r="AB40" s="151" t="n"/>
      <c r="AC40" s="151" t="n"/>
      <c r="AD40" s="150" t="n">
        <v>0.7010999999999999</v>
      </c>
      <c r="AE40" s="149" t="n">
        <v>0.43</v>
      </c>
      <c r="AF40" s="151" t="inlineStr">
        <is>
          <t>grams</t>
        </is>
      </c>
      <c r="AG40" s="151" t="n"/>
      <c r="AH40" s="151" t="n"/>
    </row>
    <row r="41">
      <c r="A41" s="151" t="inlineStr">
        <is>
          <t>FV0024A - Chicken in tomato cream sauce [DE]</t>
        </is>
      </c>
      <c r="B41" s="151" t="inlineStr">
        <is>
          <t>REC-013938-4-005</t>
        </is>
      </c>
      <c r="C41" s="151" t="inlineStr">
        <is>
          <t>Chicken breast - Sun-Dried Tomato Chicken Batch - Grilled 160g</t>
        </is>
      </c>
      <c r="D41" s="151" t="inlineStr">
        <is>
          <t>SUB-013572-4-001</t>
        </is>
      </c>
      <c r="E41" s="150" t="n">
        <v>1</v>
      </c>
      <c r="F41" s="151" t="inlineStr">
        <is>
          <t>each</t>
        </is>
      </c>
      <c r="G41" s="151" t="inlineStr">
        <is>
          <t>BLAST CHILLER, GRILL, MARINADE, OVEN</t>
        </is>
      </c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inlineStr">
        <is>
          <t>FA-DE Vinegar, Red Wine /Essig, Rotwein</t>
        </is>
      </c>
      <c r="X41" s="151" t="inlineStr">
        <is>
          <t>PRO-00-139301-5</t>
        </is>
      </c>
      <c r="Y41" s="151" t="inlineStr">
        <is>
          <t>2,3</t>
        </is>
      </c>
      <c r="Z41" s="149" t="inlineStr">
        <is>
          <t>2,3</t>
        </is>
      </c>
      <c r="AA41" s="151" t="inlineStr">
        <is>
          <t>grams</t>
        </is>
      </c>
      <c r="AB41" s="151" t="n"/>
      <c r="AC41" s="151" t="n"/>
      <c r="AD41" s="150" t="n">
        <v>0.7010999999999999</v>
      </c>
      <c r="AE41" s="149" t="n">
        <v>2.3</v>
      </c>
      <c r="AF41" s="151" t="inlineStr">
        <is>
          <t>grams</t>
        </is>
      </c>
      <c r="AG41" s="151" t="n"/>
      <c r="AH41" s="151" t="n"/>
    </row>
    <row r="42">
      <c r="A42" s="151" t="inlineStr">
        <is>
          <t>FV0024A - Chicken in tomato cream sauce [DE]</t>
        </is>
      </c>
      <c r="B42" s="151" t="inlineStr">
        <is>
          <t>REC-013938-4-005</t>
        </is>
      </c>
      <c r="C42" s="151" t="inlineStr">
        <is>
          <t>Chicken breast - Sun-Dried Tomato Chicken Batch - Grilled 160g</t>
        </is>
      </c>
      <c r="D42" s="151" t="inlineStr">
        <is>
          <t>SUB-013572-4-001</t>
        </is>
      </c>
      <c r="E42" s="150" t="n">
        <v>1</v>
      </c>
      <c r="F42" s="151" t="inlineStr">
        <is>
          <t>each</t>
        </is>
      </c>
      <c r="G42" s="151" t="inlineStr">
        <is>
          <t>BLAST CHILLER, GRILL, MARINADE, OVEN</t>
        </is>
      </c>
      <c r="H42" s="151" t="inlineStr">
        <is>
          <t>Chicken Breast - BRINED 160g</t>
        </is>
      </c>
      <c r="I42" s="151" t="inlineStr">
        <is>
          <t>SUB-013527-4-001</t>
        </is>
      </c>
      <c r="J42" s="150" t="n">
        <v>160</v>
      </c>
      <c r="K42" s="151" t="inlineStr">
        <is>
          <t>grams</t>
        </is>
      </c>
      <c r="L42" s="151" t="inlineStr">
        <is>
          <t>BRINE</t>
        </is>
      </c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inlineStr">
        <is>
          <t>FA-DE Chicken, Breast, B/S - 160g/Hähnchen, Brust, B/S – 160 g</t>
        </is>
      </c>
      <c r="X42" s="151" t="inlineStr">
        <is>
          <t>PTN-00-139317-3</t>
        </is>
      </c>
      <c r="Y42" s="150" t="n">
        <v>160</v>
      </c>
      <c r="Z42" s="152" t="n">
        <v>160</v>
      </c>
      <c r="AA42" s="151" t="inlineStr">
        <is>
          <t>grams</t>
        </is>
      </c>
      <c r="AB42" s="151" t="n"/>
      <c r="AC42" s="151" t="n"/>
      <c r="AD42" s="150" t="n">
        <v>0.4978</v>
      </c>
      <c r="AE42" s="152" t="n">
        <v>160</v>
      </c>
      <c r="AF42" s="151" t="inlineStr">
        <is>
          <t>grams</t>
        </is>
      </c>
      <c r="AG42" s="151" t="n"/>
      <c r="AH42" s="151" t="n"/>
    </row>
    <row r="43">
      <c r="A43" s="151" t="inlineStr">
        <is>
          <t>FV0024A - Chicken in tomato cream sauce [DE]</t>
        </is>
      </c>
      <c r="B43" s="151" t="inlineStr">
        <is>
          <t>REC-013938-4-005</t>
        </is>
      </c>
      <c r="C43" s="151" t="inlineStr">
        <is>
          <t>Chicken breast - Sun-Dried Tomato Chicken Batch - Grilled 160g</t>
        </is>
      </c>
      <c r="D43" s="151" t="inlineStr">
        <is>
          <t>SUB-013572-4-001</t>
        </is>
      </c>
      <c r="E43" s="150" t="n">
        <v>1</v>
      </c>
      <c r="F43" s="151" t="inlineStr">
        <is>
          <t>each</t>
        </is>
      </c>
      <c r="G43" s="151" t="inlineStr">
        <is>
          <t>BLAST CHILLER, GRILL, MARINADE, OVEN</t>
        </is>
      </c>
      <c r="H43" s="151" t="inlineStr">
        <is>
          <t>Chicken Breast - BRINED 160g</t>
        </is>
      </c>
      <c r="I43" s="151" t="inlineStr">
        <is>
          <t>SUB-013527-4-001</t>
        </is>
      </c>
      <c r="J43" s="150" t="n">
        <v>160</v>
      </c>
      <c r="K43" s="151" t="inlineStr">
        <is>
          <t>grams</t>
        </is>
      </c>
      <c r="L43" s="151" t="inlineStr">
        <is>
          <t>BRINE</t>
        </is>
      </c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inlineStr">
        <is>
          <t>FA-DE Water / Wasser</t>
        </is>
      </c>
      <c r="X43" s="151" t="inlineStr">
        <is>
          <t>OTH-00-144038-5</t>
        </is>
      </c>
      <c r="Y43" s="150" t="n">
        <v>160</v>
      </c>
      <c r="Z43" s="152" t="n">
        <v>160</v>
      </c>
      <c r="AA43" s="151" t="inlineStr">
        <is>
          <t>grams</t>
        </is>
      </c>
      <c r="AB43" s="151" t="n"/>
      <c r="AC43" s="151" t="n"/>
      <c r="AD43" s="150" t="n">
        <v>0.4978</v>
      </c>
      <c r="AE43" s="152" t="n">
        <v>160</v>
      </c>
      <c r="AF43" s="151" t="inlineStr">
        <is>
          <t>grams</t>
        </is>
      </c>
      <c r="AG43" s="151" t="n"/>
      <c r="AH43" s="151" t="n"/>
    </row>
    <row r="44">
      <c r="A44" s="151" t="inlineStr">
        <is>
          <t>FV0024A - Chicken in tomato cream sauce [DE]</t>
        </is>
      </c>
      <c r="B44" s="151" t="inlineStr">
        <is>
          <t>REC-013938-4-005</t>
        </is>
      </c>
      <c r="C44" s="151" t="inlineStr">
        <is>
          <t>Chicken breast - Sun-Dried Tomato Chicken Batch - Grilled 160g</t>
        </is>
      </c>
      <c r="D44" s="151" t="inlineStr">
        <is>
          <t>SUB-013572-4-001</t>
        </is>
      </c>
      <c r="E44" s="150" t="n">
        <v>1</v>
      </c>
      <c r="F44" s="151" t="inlineStr">
        <is>
          <t>each</t>
        </is>
      </c>
      <c r="G44" s="151" t="inlineStr">
        <is>
          <t>BLAST CHILLER, GRILL, MARINADE, OVEN</t>
        </is>
      </c>
      <c r="H44" s="151" t="inlineStr">
        <is>
          <t>Chicken Breast - BRINED 160g</t>
        </is>
      </c>
      <c r="I44" s="151" t="inlineStr">
        <is>
          <t>SUB-013527-4-001</t>
        </is>
      </c>
      <c r="J44" s="150" t="n">
        <v>160</v>
      </c>
      <c r="K44" s="151" t="inlineStr">
        <is>
          <t>grams</t>
        </is>
      </c>
      <c r="L44" s="151" t="inlineStr">
        <is>
          <t>BRINE</t>
        </is>
      </c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inlineStr">
        <is>
          <t>FA-DE Spice, Sea Salt /Gewürze, Meersalz</t>
        </is>
      </c>
      <c r="X44" s="151" t="inlineStr">
        <is>
          <t>SPI-00-139378-5</t>
        </is>
      </c>
      <c r="Y44" s="151" t="inlineStr">
        <is>
          <t>1,41</t>
        </is>
      </c>
      <c r="Z44" s="149" t="inlineStr">
        <is>
          <t>1,41</t>
        </is>
      </c>
      <c r="AA44" s="151" t="inlineStr">
        <is>
          <t>grams</t>
        </is>
      </c>
      <c r="AB44" s="151" t="n"/>
      <c r="AC44" s="151" t="n"/>
      <c r="AD44" s="150" t="n">
        <v>0.4978</v>
      </c>
      <c r="AE44" s="149" t="n">
        <v>1.41</v>
      </c>
      <c r="AF44" s="151" t="inlineStr">
        <is>
          <t>grams</t>
        </is>
      </c>
      <c r="AG44" s="151" t="n"/>
      <c r="AH44" s="151" t="n"/>
    </row>
    <row r="45">
      <c r="A45" s="151" t="inlineStr">
        <is>
          <t>FV0024A - Chicken in tomato cream sauce [DE]</t>
        </is>
      </c>
      <c r="B45" s="151" t="inlineStr">
        <is>
          <t>REC-013938-4-005</t>
        </is>
      </c>
      <c r="C45" s="151" t="inlineStr">
        <is>
          <t>Chicken breast - Sun-Dried Tomato Chicken Batch - Grilled 160g</t>
        </is>
      </c>
      <c r="D45" s="151" t="inlineStr">
        <is>
          <t>SUB-013572-4-001</t>
        </is>
      </c>
      <c r="E45" s="150" t="n">
        <v>1</v>
      </c>
      <c r="F45" s="151" t="inlineStr">
        <is>
          <t>each</t>
        </is>
      </c>
      <c r="G45" s="151" t="inlineStr">
        <is>
          <t>BLAST CHILLER, GRILL, MARINADE, OVEN</t>
        </is>
      </c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inlineStr">
        <is>
          <t>FA-DE Parsley, Chopped /Petersilie, gehackt</t>
        </is>
      </c>
      <c r="X45" s="151" t="inlineStr">
        <is>
          <t>PHF-00-139215-3</t>
        </is>
      </c>
      <c r="Y45" s="151" t="inlineStr">
        <is>
          <t>0,46</t>
        </is>
      </c>
      <c r="Z45" s="149" t="inlineStr">
        <is>
          <t>0,46</t>
        </is>
      </c>
      <c r="AA45" s="151" t="inlineStr">
        <is>
          <t>grams</t>
        </is>
      </c>
      <c r="AB45" s="151" t="n"/>
      <c r="AC45" s="151" t="n"/>
      <c r="AD45" s="150" t="n">
        <v>0.7010999999999999</v>
      </c>
      <c r="AE45" s="149" t="n">
        <v>0.46</v>
      </c>
      <c r="AF45" s="151" t="inlineStr">
        <is>
          <t>grams</t>
        </is>
      </c>
      <c r="AG45" s="151" t="n"/>
      <c r="AH45" s="151" t="n"/>
    </row>
    <row r="46">
      <c r="A46" s="151" t="inlineStr">
        <is>
          <t>FV0024A - Chicken in tomato cream sauce [DE]</t>
        </is>
      </c>
      <c r="B46" s="151" t="inlineStr">
        <is>
          <t>REC-013938-4-005</t>
        </is>
      </c>
      <c r="C46" s="151" t="inlineStr">
        <is>
          <t>Chicken breast - Sun-Dried Tomato Chicken Batch - Grilled 160g</t>
        </is>
      </c>
      <c r="D46" s="151" t="inlineStr">
        <is>
          <t>SUB-013572-4-001</t>
        </is>
      </c>
      <c r="E46" s="150" t="n">
        <v>1</v>
      </c>
      <c r="F46" s="151" t="inlineStr">
        <is>
          <t>each</t>
        </is>
      </c>
      <c r="G46" s="151" t="inlineStr">
        <is>
          <t>BLAST CHILLER, GRILL, MARINADE, OVEN</t>
        </is>
      </c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inlineStr">
        <is>
          <t>FA-DE Oil, Olive /Öl, Olivenöl</t>
        </is>
      </c>
      <c r="X46" s="151" t="inlineStr">
        <is>
          <t>PRO-00-139277-5</t>
        </is>
      </c>
      <c r="Y46" s="154" t="inlineStr">
        <is>
          <t>6,8</t>
        </is>
      </c>
      <c r="Z46" s="149" t="inlineStr">
        <is>
          <t>6,8</t>
        </is>
      </c>
      <c r="AA46" s="151" t="inlineStr">
        <is>
          <t>grams</t>
        </is>
      </c>
      <c r="AB46" s="151" t="n"/>
      <c r="AC46" s="151" t="n"/>
      <c r="AD46" s="150" t="n">
        <v>0.7010999999999999</v>
      </c>
      <c r="AE46" s="149" t="n">
        <v>6.8</v>
      </c>
      <c r="AF46" s="151" t="inlineStr">
        <is>
          <t>grams</t>
        </is>
      </c>
      <c r="AG46" s="151" t="n"/>
      <c r="AH46" s="151" t="n"/>
    </row>
    <row r="47">
      <c r="A47" s="151" t="inlineStr">
        <is>
          <t>FV0024A - Chicken in tomato cream sauce [DE]</t>
        </is>
      </c>
      <c r="B47" s="151" t="inlineStr">
        <is>
          <t>REC-013938-4-005</t>
        </is>
      </c>
      <c r="C47" s="151" t="inlineStr">
        <is>
          <t>Chicken breast - Sun-Dried Tomato Chicken Batch - Grilled 160g</t>
        </is>
      </c>
      <c r="D47" s="151" t="inlineStr">
        <is>
          <t>SUB-013572-4-001</t>
        </is>
      </c>
      <c r="E47" s="150" t="n">
        <v>1</v>
      </c>
      <c r="F47" s="151" t="inlineStr">
        <is>
          <t>each</t>
        </is>
      </c>
      <c r="G47" s="151" t="inlineStr">
        <is>
          <t>BLAST CHILLER, GRILL, MARINADE, OVEN</t>
        </is>
      </c>
      <c r="H47" s="151" t="inlineStr">
        <is>
          <t>Basil - Picked Basil Leaves</t>
        </is>
      </c>
      <c r="I47" s="151" t="inlineStr">
        <is>
          <t>SUB-013424-4-001</t>
        </is>
      </c>
      <c r="J47" s="150" t="n">
        <v>0.57</v>
      </c>
      <c r="K47" s="151" t="inlineStr">
        <is>
          <t>grams</t>
        </is>
      </c>
      <c r="L47" s="151" t="inlineStr">
        <is>
          <t>DEBOX, STAGING</t>
        </is>
      </c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inlineStr">
        <is>
          <t>FA-DE Basil, Fresh /Basilikum, frisch</t>
        </is>
      </c>
      <c r="X47" s="151" t="inlineStr">
        <is>
          <t>PHF-00-139175-3</t>
        </is>
      </c>
      <c r="Y47" s="154" t="inlineStr">
        <is>
          <t>1,02</t>
        </is>
      </c>
      <c r="Z47" s="149" t="inlineStr">
        <is>
          <t>1,02</t>
        </is>
      </c>
      <c r="AA47" s="151" t="inlineStr">
        <is>
          <t>grams</t>
        </is>
      </c>
      <c r="AB47" s="151" t="n"/>
      <c r="AC47" s="151" t="n"/>
      <c r="AD47" s="150" t="n">
        <v>0.55986</v>
      </c>
      <c r="AE47" s="149" t="n">
        <v>1.02</v>
      </c>
      <c r="AF47" s="151" t="inlineStr">
        <is>
          <t>grams</t>
        </is>
      </c>
      <c r="AG47" s="151" t="n"/>
      <c r="AH47" s="151" t="n"/>
    </row>
    <row r="48">
      <c r="A48" s="151" t="inlineStr">
        <is>
          <t>FV0024A - Chicken in tomato cream sauce [DE]</t>
        </is>
      </c>
      <c r="B48" s="151" t="inlineStr">
        <is>
          <t>REC-013938-4-005</t>
        </is>
      </c>
      <c r="C48" s="151" t="inlineStr">
        <is>
          <t>Cooked Courgette Noodles - No Salt</t>
        </is>
      </c>
      <c r="D48" s="151" t="inlineStr">
        <is>
          <t>SUB-013573-4-001</t>
        </is>
      </c>
      <c r="E48" s="150" t="n">
        <v>100</v>
      </c>
      <c r="F48" s="151" t="inlineStr">
        <is>
          <t>grams</t>
        </is>
      </c>
      <c r="G48" s="151" t="inlineStr">
        <is>
          <t>BLAST CHILLER, HAND MARINADE, OVEN</t>
        </is>
      </c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inlineStr">
        <is>
          <t>FA-DE Oil, Olive /Öl, Olivenöl</t>
        </is>
      </c>
      <c r="X48" s="151" t="inlineStr">
        <is>
          <t>PRO-00-139277-5</t>
        </is>
      </c>
      <c r="Y48" s="154" t="inlineStr">
        <is>
          <t>8,07</t>
        </is>
      </c>
      <c r="Z48" s="149" t="inlineStr">
        <is>
          <t>8,07</t>
        </is>
      </c>
      <c r="AA48" s="151" t="inlineStr">
        <is>
          <t>grams</t>
        </is>
      </c>
      <c r="AB48" s="151" t="n"/>
      <c r="AC48" s="151" t="n"/>
      <c r="AD48" s="150" t="n">
        <v>0.68363</v>
      </c>
      <c r="AE48" s="149" t="n">
        <v>8.07</v>
      </c>
      <c r="AF48" s="151" t="inlineStr">
        <is>
          <t>grams</t>
        </is>
      </c>
      <c r="AG48" s="151" t="n"/>
      <c r="AH48" s="151" t="n"/>
    </row>
    <row r="49">
      <c r="A49" s="151" t="inlineStr">
        <is>
          <t>FV0024A - Chicken in tomato cream sauce [DE]</t>
        </is>
      </c>
      <c r="B49" s="151" t="inlineStr">
        <is>
          <t>REC-013938-4-005</t>
        </is>
      </c>
      <c r="C49" s="151" t="inlineStr">
        <is>
          <t>Cooked Courgette Noodles - No Salt</t>
        </is>
      </c>
      <c r="D49" s="151" t="inlineStr">
        <is>
          <t>SUB-013573-4-001</t>
        </is>
      </c>
      <c r="E49" s="150" t="n">
        <v>100</v>
      </c>
      <c r="F49" s="151" t="inlineStr">
        <is>
          <t>grams</t>
        </is>
      </c>
      <c r="G49" s="151" t="inlineStr">
        <is>
          <t>BLAST CHILLER, HAND MARINADE, OVEN</t>
        </is>
      </c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inlineStr">
        <is>
          <t>FA-DE Zucchini, Spiralized Noodles /Zucchini, Spiralnudeln</t>
        </is>
      </c>
      <c r="X49" s="151" t="inlineStr">
        <is>
          <t>PHF-00-139230-3</t>
        </is>
      </c>
      <c r="Y49" s="151" t="inlineStr">
        <is>
          <t>138,21</t>
        </is>
      </c>
      <c r="Z49" s="149" t="inlineStr">
        <is>
          <t>138,21</t>
        </is>
      </c>
      <c r="AA49" s="151" t="inlineStr">
        <is>
          <t>grams</t>
        </is>
      </c>
      <c r="AB49" s="151" t="n"/>
      <c r="AC49" s="151" t="n"/>
      <c r="AD49" s="150" t="n">
        <v>0.68363</v>
      </c>
      <c r="AE49" s="149" t="n">
        <v>138.21</v>
      </c>
      <c r="AF49" s="151" t="inlineStr">
        <is>
          <t>grams</t>
        </is>
      </c>
      <c r="AG49" s="151" t="n"/>
      <c r="AH49" s="151" t="n"/>
    </row>
    <row r="50">
      <c r="A50" s="151" t="inlineStr">
        <is>
          <t>FV0024A - Chicken in tomato cream sauce [DKSE]</t>
        </is>
      </c>
      <c r="B50" s="151" t="inlineStr">
        <is>
          <t>REC-013938-4-006</t>
        </is>
      </c>
      <c r="C50" s="151" t="inlineStr">
        <is>
          <t>Sauce - Sun-Dried Tomato Sauce - Less Salt</t>
        </is>
      </c>
      <c r="D50" s="151" t="inlineStr">
        <is>
          <t>SUB-013571-4-001</t>
        </is>
      </c>
      <c r="E50" s="150" t="n">
        <v>140</v>
      </c>
      <c r="F50" s="151" t="inlineStr">
        <is>
          <t>grams</t>
        </is>
      </c>
      <c r="G50" s="151" t="inlineStr">
        <is>
          <t>BLAST CHILLER, BRAISER, IMMERSION BLENDER, SPICE PORTIONING</t>
        </is>
      </c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inlineStr">
        <is>
          <t>FA-DE Cheese, Parmesan, Grated /Käse, Parmesan, gerieben</t>
        </is>
      </c>
      <c r="X50" s="151" t="inlineStr">
        <is>
          <t>DAI-00-139127-3</t>
        </is>
      </c>
      <c r="Y50" s="151" t="inlineStr">
        <is>
          <t>14,55</t>
        </is>
      </c>
      <c r="Z50" s="149" t="inlineStr">
        <is>
          <t>14,55</t>
        </is>
      </c>
      <c r="AA50" s="151" t="inlineStr">
        <is>
          <t>grams</t>
        </is>
      </c>
      <c r="AB50" s="151" t="inlineStr">
        <is>
          <t>MILCH (EINSCHLIESSLICH LAKTOSE)</t>
        </is>
      </c>
      <c r="AC50" s="151" t="n"/>
      <c r="AD50" s="150" t="n">
        <v>0.88017</v>
      </c>
      <c r="AE50" s="149" t="n">
        <v>14.55</v>
      </c>
      <c r="AF50" s="151" t="inlineStr">
        <is>
          <t>grams</t>
        </is>
      </c>
      <c r="AG50" s="151" t="n"/>
      <c r="AH50" s="151" t="n"/>
    </row>
    <row r="51">
      <c r="A51" s="151" t="inlineStr">
        <is>
          <t>FV0024A - Chicken in tomato cream sauce [DKSE]</t>
        </is>
      </c>
      <c r="B51" s="151" t="inlineStr">
        <is>
          <t>REC-013938-4-006</t>
        </is>
      </c>
      <c r="C51" s="151" t="inlineStr">
        <is>
          <t>Sauce - Sun-Dried Tomato Sauce - Less Salt</t>
        </is>
      </c>
      <c r="D51" s="151" t="inlineStr">
        <is>
          <t>SUB-013571-4-001</t>
        </is>
      </c>
      <c r="E51" s="150" t="n">
        <v>140</v>
      </c>
      <c r="F51" s="151" t="inlineStr">
        <is>
          <t>grams</t>
        </is>
      </c>
      <c r="G51" s="151" t="inlineStr">
        <is>
          <t>BLAST CHILLER, BRAISER, IMMERSION BLENDER, SPICE PORTIONING</t>
        </is>
      </c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inlineStr">
        <is>
          <t>FA-DE Oil, Olive /Öl, Olivenöl</t>
        </is>
      </c>
      <c r="X51" s="151" t="inlineStr">
        <is>
          <t>PRO-00-139277-5</t>
        </is>
      </c>
      <c r="Y51" s="153" t="inlineStr">
        <is>
          <t>8,29</t>
        </is>
      </c>
      <c r="Z51" s="149" t="inlineStr">
        <is>
          <t>8,29</t>
        </is>
      </c>
      <c r="AA51" s="151" t="inlineStr">
        <is>
          <t>grams</t>
        </is>
      </c>
      <c r="AB51" s="151" t="n"/>
      <c r="AC51" s="151" t="n"/>
      <c r="AD51" s="150" t="n">
        <v>0.88017</v>
      </c>
      <c r="AE51" s="149" t="n">
        <v>8.289999999999999</v>
      </c>
      <c r="AF51" s="151" t="inlineStr">
        <is>
          <t>grams</t>
        </is>
      </c>
      <c r="AG51" s="151" t="n"/>
      <c r="AH51" s="151" t="n"/>
    </row>
    <row r="52">
      <c r="A52" s="151" t="inlineStr">
        <is>
          <t>FV0024A - Chicken in tomato cream sauce [DKSE]</t>
        </is>
      </c>
      <c r="B52" s="151" t="inlineStr">
        <is>
          <t>REC-013938-4-006</t>
        </is>
      </c>
      <c r="C52" s="151" t="inlineStr">
        <is>
          <t>Sauce - Sun-Dried Tomato Sauce - Less Salt</t>
        </is>
      </c>
      <c r="D52" s="151" t="inlineStr">
        <is>
          <t>SUB-013571-4-001</t>
        </is>
      </c>
      <c r="E52" s="150" t="n">
        <v>140</v>
      </c>
      <c r="F52" s="151" t="inlineStr">
        <is>
          <t>grams</t>
        </is>
      </c>
      <c r="G52" s="151" t="inlineStr">
        <is>
          <t>BLAST CHILLER, BRAISER, IMMERSION BLENDER, SPICE PORTIONING</t>
        </is>
      </c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inlineStr">
        <is>
          <t>FA-DE Stock, Chicken, Reduced/Brühe, Huhn, Reduziert</t>
        </is>
      </c>
      <c r="X52" s="151" t="inlineStr">
        <is>
          <t>PRO-00-139288-5</t>
        </is>
      </c>
      <c r="Y52" s="151" t="inlineStr">
        <is>
          <t>1,63</t>
        </is>
      </c>
      <c r="Z52" s="149" t="inlineStr">
        <is>
          <t>1,63</t>
        </is>
      </c>
      <c r="AA52" s="151" t="inlineStr">
        <is>
          <t>grams</t>
        </is>
      </c>
      <c r="AB52" s="151" t="n"/>
      <c r="AC52" s="151" t="n"/>
      <c r="AD52" s="150" t="n">
        <v>0.88017</v>
      </c>
      <c r="AE52" s="149" t="n">
        <v>1.63</v>
      </c>
      <c r="AF52" s="151" t="inlineStr">
        <is>
          <t>grams</t>
        </is>
      </c>
      <c r="AG52" s="151" t="n"/>
      <c r="AH52" s="151" t="n"/>
    </row>
    <row r="53">
      <c r="A53" s="151" t="inlineStr">
        <is>
          <t>FV0024A - Chicken in tomato cream sauce [DKSE]</t>
        </is>
      </c>
      <c r="B53" s="151" t="inlineStr">
        <is>
          <t>REC-013938-4-006</t>
        </is>
      </c>
      <c r="C53" s="151" t="inlineStr">
        <is>
          <t>Sauce - Sun-Dried Tomato Sauce - Less Salt</t>
        </is>
      </c>
      <c r="D53" s="151" t="inlineStr">
        <is>
          <t>SUB-013571-4-001</t>
        </is>
      </c>
      <c r="E53" s="150" t="n">
        <v>140</v>
      </c>
      <c r="F53" s="151" t="inlineStr">
        <is>
          <t>grams</t>
        </is>
      </c>
      <c r="G53" s="151" t="inlineStr">
        <is>
          <t>BLAST CHILLER, BRAISER, IMMERSION BLENDER, SPICE PORTIONING</t>
        </is>
      </c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inlineStr">
        <is>
          <t>FA-DE Garlic, IQF, Diced 4 mm /Knoblauch, IQF, gewürfelt 4 mm</t>
        </is>
      </c>
      <c r="X53" s="151" t="inlineStr">
        <is>
          <t>PHF-00-139237-1</t>
        </is>
      </c>
      <c r="Y53" s="151" t="inlineStr">
        <is>
          <t>3,31</t>
        </is>
      </c>
      <c r="Z53" s="149" t="inlineStr">
        <is>
          <t>3,31</t>
        </is>
      </c>
      <c r="AA53" s="151" t="inlineStr">
        <is>
          <t>grams</t>
        </is>
      </c>
      <c r="AB53" s="151" t="inlineStr">
        <is>
          <t>SCHWEFELDIOXIDE UND SULFITE</t>
        </is>
      </c>
      <c r="AC53" s="151" t="n"/>
      <c r="AD53" s="150" t="n">
        <v>0.88017</v>
      </c>
      <c r="AE53" s="149" t="n">
        <v>3.31</v>
      </c>
      <c r="AF53" s="151" t="inlineStr">
        <is>
          <t>grams</t>
        </is>
      </c>
      <c r="AG53" s="151" t="n"/>
      <c r="AH53" s="151" t="n"/>
    </row>
    <row r="54">
      <c r="A54" s="151" t="inlineStr">
        <is>
          <t>FV0024A - Chicken in tomato cream sauce [DKSE]</t>
        </is>
      </c>
      <c r="B54" s="151" t="inlineStr">
        <is>
          <t>REC-013938-4-006</t>
        </is>
      </c>
      <c r="C54" s="151" t="inlineStr">
        <is>
          <t>Sauce - Sun-Dried Tomato Sauce - Less Salt</t>
        </is>
      </c>
      <c r="D54" s="151" t="inlineStr">
        <is>
          <t>SUB-013571-4-001</t>
        </is>
      </c>
      <c r="E54" s="150" t="n">
        <v>140</v>
      </c>
      <c r="F54" s="151" t="inlineStr">
        <is>
          <t>grams</t>
        </is>
      </c>
      <c r="G54" s="151" t="inlineStr">
        <is>
          <t>BLAST CHILLER, BRAISER, IMMERSION BLENDER, SPICE PORTIONING</t>
        </is>
      </c>
      <c r="H54" s="151" t="inlineStr">
        <is>
          <t>Hydrated Sun-Dried Tomatoes</t>
        </is>
      </c>
      <c r="I54" s="151" t="inlineStr">
        <is>
          <t>SUB-013501-4-001</t>
        </is>
      </c>
      <c r="J54" s="150" t="n">
        <v>14.53</v>
      </c>
      <c r="K54" s="151" t="inlineStr">
        <is>
          <t>grams</t>
        </is>
      </c>
      <c r="L54" s="151" t="inlineStr">
        <is>
          <t>BRAISER</t>
        </is>
      </c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inlineStr">
        <is>
          <t>FA-DE Tomatoes, Sun - Dried Julienned /Tomaten, sonnengetrocknete Julienne</t>
        </is>
      </c>
      <c r="X54" s="151" t="inlineStr">
        <is>
          <t>PRO-00-139296-5</t>
        </is>
      </c>
      <c r="Y54" s="154" t="inlineStr">
        <is>
          <t>8,07</t>
        </is>
      </c>
      <c r="Z54" s="149" t="inlineStr">
        <is>
          <t>8,07</t>
        </is>
      </c>
      <c r="AA54" s="151" t="inlineStr">
        <is>
          <t>grams</t>
        </is>
      </c>
      <c r="AB54" s="151" t="n"/>
      <c r="AC54" s="151" t="n"/>
      <c r="AD54" s="150" t="n">
        <v>0.90001</v>
      </c>
      <c r="AE54" s="149" t="n">
        <v>8.07</v>
      </c>
      <c r="AF54" s="151" t="inlineStr">
        <is>
          <t>grams</t>
        </is>
      </c>
      <c r="AG54" s="151" t="n"/>
      <c r="AH54" s="151" t="n"/>
    </row>
    <row r="55">
      <c r="A55" s="151" t="inlineStr">
        <is>
          <t>FV0024A - Chicken in tomato cream sauce [DKSE]</t>
        </is>
      </c>
      <c r="B55" s="151" t="inlineStr">
        <is>
          <t>REC-013938-4-006</t>
        </is>
      </c>
      <c r="C55" s="151" t="inlineStr">
        <is>
          <t>Sauce - Sun-Dried Tomato Sauce - Less Salt</t>
        </is>
      </c>
      <c r="D55" s="151" t="inlineStr">
        <is>
          <t>SUB-013571-4-001</t>
        </is>
      </c>
      <c r="E55" s="150" t="n">
        <v>140</v>
      </c>
      <c r="F55" s="151" t="inlineStr">
        <is>
          <t>grams</t>
        </is>
      </c>
      <c r="G55" s="151" t="inlineStr">
        <is>
          <t>BLAST CHILLER, BRAISER, IMMERSION BLENDER, SPICE PORTIONING</t>
        </is>
      </c>
      <c r="H55" s="151" t="inlineStr">
        <is>
          <t>Hydrated Sun-Dried Tomatoes</t>
        </is>
      </c>
      <c r="I55" s="151" t="inlineStr">
        <is>
          <t>SUB-013501-4-001</t>
        </is>
      </c>
      <c r="J55" s="150" t="n">
        <v>14.53</v>
      </c>
      <c r="K55" s="151" t="inlineStr">
        <is>
          <t>grams</t>
        </is>
      </c>
      <c r="L55" s="151" t="inlineStr">
        <is>
          <t>BRAISER</t>
        </is>
      </c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inlineStr">
        <is>
          <t>FA-DE Water / Wasser</t>
        </is>
      </c>
      <c r="X55" s="151" t="inlineStr">
        <is>
          <t>OTH-00-144038-5</t>
        </is>
      </c>
      <c r="Y55" s="154" t="inlineStr">
        <is>
          <t>8,07</t>
        </is>
      </c>
      <c r="Z55" s="149" t="inlineStr">
        <is>
          <t>8,07</t>
        </is>
      </c>
      <c r="AA55" s="151" t="inlineStr">
        <is>
          <t>grams</t>
        </is>
      </c>
      <c r="AB55" s="151" t="n"/>
      <c r="AC55" s="151" t="n"/>
      <c r="AD55" s="150" t="n">
        <v>0.90001</v>
      </c>
      <c r="AE55" s="149" t="n">
        <v>8.07</v>
      </c>
      <c r="AF55" s="151" t="inlineStr">
        <is>
          <t>grams</t>
        </is>
      </c>
      <c r="AG55" s="151" t="n"/>
      <c r="AH55" s="151" t="n"/>
    </row>
    <row r="56">
      <c r="A56" s="151" t="inlineStr">
        <is>
          <t>FV0024A - Chicken in tomato cream sauce [DKSE]</t>
        </is>
      </c>
      <c r="B56" s="151" t="inlineStr">
        <is>
          <t>REC-013938-4-006</t>
        </is>
      </c>
      <c r="C56" s="151" t="inlineStr">
        <is>
          <t>Sauce - Sun-Dried Tomato Sauce - Less Salt</t>
        </is>
      </c>
      <c r="D56" s="151" t="inlineStr">
        <is>
          <t>SUB-013571-4-001</t>
        </is>
      </c>
      <c r="E56" s="150" t="n">
        <v>140</v>
      </c>
      <c r="F56" s="151" t="inlineStr">
        <is>
          <t>grams</t>
        </is>
      </c>
      <c r="G56" s="151" t="inlineStr">
        <is>
          <t>BLAST CHILLER, BRAISER, IMMERSION BLENDER, SPICE PORTIONING</t>
        </is>
      </c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inlineStr">
        <is>
          <t>FA-DE Spinach, Fresh, Stem Off /Spinat, frisch, ohne Stiel</t>
        </is>
      </c>
      <c r="X56" s="151" t="inlineStr">
        <is>
          <t>PHF-00-139225-3</t>
        </is>
      </c>
      <c r="Y56" s="151" t="inlineStr">
        <is>
          <t>11,64</t>
        </is>
      </c>
      <c r="Z56" s="149" t="inlineStr">
        <is>
          <t>11,64</t>
        </is>
      </c>
      <c r="AA56" s="151" t="inlineStr">
        <is>
          <t>grams</t>
        </is>
      </c>
      <c r="AB56" s="151" t="n"/>
      <c r="AC56" s="151" t="n"/>
      <c r="AD56" s="150" t="n">
        <v>0.88017</v>
      </c>
      <c r="AE56" s="149" t="n">
        <v>11.64</v>
      </c>
      <c r="AF56" s="151" t="inlineStr">
        <is>
          <t>grams</t>
        </is>
      </c>
      <c r="AG56" s="151" t="n"/>
      <c r="AH56" s="151" t="n"/>
    </row>
    <row r="57">
      <c r="A57" s="151" t="inlineStr">
        <is>
          <t>FV0024A - Chicken in tomato cream sauce [DKSE]</t>
        </is>
      </c>
      <c r="B57" s="151" t="inlineStr">
        <is>
          <t>REC-013938-4-006</t>
        </is>
      </c>
      <c r="C57" s="151" t="inlineStr">
        <is>
          <t>Sauce - Sun-Dried Tomato Sauce - Less Salt</t>
        </is>
      </c>
      <c r="D57" s="151" t="inlineStr">
        <is>
          <t>SUB-013571-4-001</t>
        </is>
      </c>
      <c r="E57" s="150" t="n">
        <v>140</v>
      </c>
      <c r="F57" s="151" t="inlineStr">
        <is>
          <t>grams</t>
        </is>
      </c>
      <c r="G57" s="151" t="inlineStr">
        <is>
          <t>BLAST CHILLER, BRAISER, IMMERSION BLENDER, SPICE PORTIONING</t>
        </is>
      </c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inlineStr">
        <is>
          <t>FA-DE Spice, Sea Salt /Gewürze, Meersalz</t>
        </is>
      </c>
      <c r="X57" s="151" t="inlineStr">
        <is>
          <t>SPI-00-139378-5</t>
        </is>
      </c>
      <c r="Y57" s="151" t="inlineStr">
        <is>
          <t>0,07</t>
        </is>
      </c>
      <c r="Z57" s="149" t="inlineStr">
        <is>
          <t>0,07</t>
        </is>
      </c>
      <c r="AA57" s="151" t="inlineStr">
        <is>
          <t>grams</t>
        </is>
      </c>
      <c r="AB57" s="151" t="n"/>
      <c r="AC57" s="151" t="n"/>
      <c r="AD57" s="150" t="n">
        <v>0.88017</v>
      </c>
      <c r="AE57" s="149" t="n">
        <v>0.07000000000000001</v>
      </c>
      <c r="AF57" s="151" t="inlineStr">
        <is>
          <t>grams</t>
        </is>
      </c>
      <c r="AG57" s="151" t="n"/>
      <c r="AH57" s="151" t="n"/>
    </row>
    <row r="58">
      <c r="A58" s="151" t="inlineStr">
        <is>
          <t>FV0024A - Chicken in tomato cream sauce [DKSE]</t>
        </is>
      </c>
      <c r="B58" s="151" t="inlineStr">
        <is>
          <t>REC-013938-4-006</t>
        </is>
      </c>
      <c r="C58" s="151" t="inlineStr">
        <is>
          <t>Sauce - Sun-Dried Tomato Sauce - Less Salt</t>
        </is>
      </c>
      <c r="D58" s="151" t="inlineStr">
        <is>
          <t>SUB-013571-4-001</t>
        </is>
      </c>
      <c r="E58" s="150" t="n">
        <v>140</v>
      </c>
      <c r="F58" s="151" t="inlineStr">
        <is>
          <t>grams</t>
        </is>
      </c>
      <c r="G58" s="151" t="inlineStr">
        <is>
          <t>BLAST CHILLER, BRAISER, IMMERSION BLENDER, SPICE PORTIONING</t>
        </is>
      </c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inlineStr">
        <is>
          <t>FA-DE Onion, Spanish, Diced 5mm /Zwiebel, Spanisch, gewürfelt 5 mm</t>
        </is>
      </c>
      <c r="X58" s="151" t="inlineStr">
        <is>
          <t>PHF-00-139212-3</t>
        </is>
      </c>
      <c r="Y58" s="151" t="inlineStr">
        <is>
          <t>14,55</t>
        </is>
      </c>
      <c r="Z58" s="149" t="inlineStr">
        <is>
          <t>14,55</t>
        </is>
      </c>
      <c r="AA58" s="151" t="inlineStr">
        <is>
          <t>grams</t>
        </is>
      </c>
      <c r="AB58" s="151" t="n"/>
      <c r="AC58" s="151" t="n"/>
      <c r="AD58" s="150" t="n">
        <v>0.88017</v>
      </c>
      <c r="AE58" s="149" t="n">
        <v>14.55</v>
      </c>
      <c r="AF58" s="151" t="inlineStr">
        <is>
          <t>grams</t>
        </is>
      </c>
      <c r="AG58" s="151" t="n"/>
      <c r="AH58" s="151" t="n"/>
    </row>
    <row r="59">
      <c r="A59" s="151" t="inlineStr">
        <is>
          <t>FV0024A - Chicken in tomato cream sauce [DKSE]</t>
        </is>
      </c>
      <c r="B59" s="151" t="inlineStr">
        <is>
          <t>REC-013938-4-006</t>
        </is>
      </c>
      <c r="C59" s="151" t="inlineStr">
        <is>
          <t>Sauce - Sun-Dried Tomato Sauce - Less Salt</t>
        </is>
      </c>
      <c r="D59" s="151" t="inlineStr">
        <is>
          <t>SUB-013571-4-001</t>
        </is>
      </c>
      <c r="E59" s="150" t="n">
        <v>140</v>
      </c>
      <c r="F59" s="151" t="inlineStr">
        <is>
          <t>grams</t>
        </is>
      </c>
      <c r="G59" s="151" t="inlineStr">
        <is>
          <t>BLAST CHILLER, BRAISER, IMMERSION BLENDER, SPICE PORTIONING</t>
        </is>
      </c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inlineStr">
        <is>
          <t>FA-DE Heavy Cream 20% /Sahne 20%</t>
        </is>
      </c>
      <c r="X59" s="151" t="inlineStr">
        <is>
          <t>DAI-00-139137-3</t>
        </is>
      </c>
      <c r="Y59" s="151" t="inlineStr">
        <is>
          <t>90,49</t>
        </is>
      </c>
      <c r="Z59" s="149" t="inlineStr">
        <is>
          <t>90,49</t>
        </is>
      </c>
      <c r="AA59" s="151" t="inlineStr">
        <is>
          <t>grams</t>
        </is>
      </c>
      <c r="AB59" s="151" t="inlineStr">
        <is>
          <t>MILCH (EINSCHLIESSLICH LAKTOSE)</t>
        </is>
      </c>
      <c r="AC59" s="151" t="n"/>
      <c r="AD59" s="150" t="n">
        <v>0.88017</v>
      </c>
      <c r="AE59" s="149" t="n">
        <v>90.48999999999999</v>
      </c>
      <c r="AF59" s="151" t="inlineStr">
        <is>
          <t>grams</t>
        </is>
      </c>
      <c r="AG59" s="151" t="n"/>
      <c r="AH59" s="151" t="n"/>
    </row>
    <row r="60">
      <c r="A60" s="151" t="inlineStr">
        <is>
          <t>FV0024A - Chicken in tomato cream sauce [DKSE]</t>
        </is>
      </c>
      <c r="B60" s="151" t="inlineStr">
        <is>
          <t>REC-013938-4-006</t>
        </is>
      </c>
      <c r="C60" s="151" t="inlineStr">
        <is>
          <t>Chicken breast - Sun-Dried Tomato Chicken Batch - Grilled 160g</t>
        </is>
      </c>
      <c r="D60" s="151" t="inlineStr">
        <is>
          <t>SUB-013572-4-001</t>
        </is>
      </c>
      <c r="E60" s="150" t="n">
        <v>1</v>
      </c>
      <c r="F60" s="151" t="inlineStr">
        <is>
          <t>each</t>
        </is>
      </c>
      <c r="G60" s="151" t="inlineStr">
        <is>
          <t>BLAST CHILLER, GRILL, MARINADE, OVEN</t>
        </is>
      </c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inlineStr">
        <is>
          <t>FA-DE Spice, Black Pepper, Ground /Gewürz, schwarzer Pfeffer, gemahlen</t>
        </is>
      </c>
      <c r="X60" s="151" t="inlineStr">
        <is>
          <t>SPI-00-139334-5</t>
        </is>
      </c>
      <c r="Y60" s="151" t="inlineStr">
        <is>
          <t>0,14</t>
        </is>
      </c>
      <c r="Z60" s="149" t="inlineStr">
        <is>
          <t>0,14</t>
        </is>
      </c>
      <c r="AA60" s="151" t="inlineStr">
        <is>
          <t>grams</t>
        </is>
      </c>
      <c r="AB60" s="151" t="n"/>
      <c r="AC60" s="151" t="n"/>
      <c r="AD60" s="150" t="n">
        <v>0.7010999999999999</v>
      </c>
      <c r="AE60" s="149" t="n">
        <v>0.14</v>
      </c>
      <c r="AF60" s="151" t="inlineStr">
        <is>
          <t>grams</t>
        </is>
      </c>
      <c r="AG60" s="151" t="n"/>
      <c r="AH60" s="151" t="n"/>
    </row>
    <row r="61">
      <c r="A61" s="151" t="inlineStr">
        <is>
          <t>FV0024A - Chicken in tomato cream sauce [DKSE]</t>
        </is>
      </c>
      <c r="B61" s="151" t="inlineStr">
        <is>
          <t>REC-013938-4-006</t>
        </is>
      </c>
      <c r="C61" s="151" t="inlineStr">
        <is>
          <t>Chicken breast - Sun-Dried Tomato Chicken Batch - Grilled 160g</t>
        </is>
      </c>
      <c r="D61" s="151" t="inlineStr">
        <is>
          <t>SUB-013572-4-001</t>
        </is>
      </c>
      <c r="E61" s="150" t="n">
        <v>1</v>
      </c>
      <c r="F61" s="151" t="inlineStr">
        <is>
          <t>each</t>
        </is>
      </c>
      <c r="G61" s="151" t="inlineStr">
        <is>
          <t>BLAST CHILLER, GRILL, MARINADE, OVEN</t>
        </is>
      </c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inlineStr">
        <is>
          <t>FA-DE Spice, Oregano Dry /Gewürz, Oregano trocken</t>
        </is>
      </c>
      <c r="X61" s="151" t="inlineStr">
        <is>
          <t>SPI-00-139372-5</t>
        </is>
      </c>
      <c r="Y61" s="151" t="inlineStr">
        <is>
          <t>0,14</t>
        </is>
      </c>
      <c r="Z61" s="149" t="inlineStr">
        <is>
          <t>0,14</t>
        </is>
      </c>
      <c r="AA61" s="151" t="inlineStr">
        <is>
          <t>grams</t>
        </is>
      </c>
      <c r="AB61" s="151" t="n"/>
      <c r="AC61" s="151" t="n"/>
      <c r="AD61" s="150" t="n">
        <v>0.7010999999999999</v>
      </c>
      <c r="AE61" s="149" t="n">
        <v>0.14</v>
      </c>
      <c r="AF61" s="151" t="inlineStr">
        <is>
          <t>grams</t>
        </is>
      </c>
      <c r="AG61" s="151" t="n"/>
      <c r="AH61" s="151" t="n"/>
    </row>
    <row r="62">
      <c r="A62" s="151" t="inlineStr">
        <is>
          <t>FV0024A - Chicken in tomato cream sauce [DKSE]</t>
        </is>
      </c>
      <c r="B62" s="151" t="inlineStr">
        <is>
          <t>REC-013938-4-006</t>
        </is>
      </c>
      <c r="C62" s="151" t="inlineStr">
        <is>
          <t>Chicken breast - Sun-Dried Tomato Chicken Batch - Grilled 160g</t>
        </is>
      </c>
      <c r="D62" s="151" t="inlineStr">
        <is>
          <t>SUB-013572-4-001</t>
        </is>
      </c>
      <c r="E62" s="150" t="n">
        <v>1</v>
      </c>
      <c r="F62" s="151" t="inlineStr">
        <is>
          <t>each</t>
        </is>
      </c>
      <c r="G62" s="151" t="inlineStr">
        <is>
          <t>BLAST CHILLER, GRILL, MARINADE, OVEN</t>
        </is>
      </c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inlineStr">
        <is>
          <t>FA-DE Spice, Onion Granulated /Gewürze, Zwiebeln granuliert</t>
        </is>
      </c>
      <c r="X62" s="151" t="inlineStr">
        <is>
          <t>SPI-00-139370-5</t>
        </is>
      </c>
      <c r="Y62" s="151" t="inlineStr">
        <is>
          <t>0,23</t>
        </is>
      </c>
      <c r="Z62" s="149" t="inlineStr">
        <is>
          <t>0,23</t>
        </is>
      </c>
      <c r="AA62" s="151" t="inlineStr">
        <is>
          <t>grams</t>
        </is>
      </c>
      <c r="AB62" s="151" t="n"/>
      <c r="AC62" s="151" t="n"/>
      <c r="AD62" s="150" t="n">
        <v>0.7010999999999999</v>
      </c>
      <c r="AE62" s="149" t="n">
        <v>0.23</v>
      </c>
      <c r="AF62" s="151" t="inlineStr">
        <is>
          <t>grams</t>
        </is>
      </c>
      <c r="AG62" s="151" t="n"/>
      <c r="AH62" s="151" t="n"/>
    </row>
    <row r="63">
      <c r="A63" s="151" t="inlineStr">
        <is>
          <t>FV0024A - Chicken in tomato cream sauce [DKSE]</t>
        </is>
      </c>
      <c r="B63" s="151" t="inlineStr">
        <is>
          <t>REC-013938-4-006</t>
        </is>
      </c>
      <c r="C63" s="151" t="inlineStr">
        <is>
          <t>Chicken breast - Sun-Dried Tomato Chicken Batch - Grilled 160g</t>
        </is>
      </c>
      <c r="D63" s="151" t="inlineStr">
        <is>
          <t>SUB-013572-4-001</t>
        </is>
      </c>
      <c r="E63" s="150" t="n">
        <v>1</v>
      </c>
      <c r="F63" s="151" t="inlineStr">
        <is>
          <t>each</t>
        </is>
      </c>
      <c r="G63" s="151" t="inlineStr">
        <is>
          <t>BLAST CHILLER, GRILL, MARINADE, OVEN</t>
        </is>
      </c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inlineStr">
        <is>
          <t>FA-DE Spice, Crushed Red Pepper Flakes /Gewürz, zerkleinerte rote Pfefferflocken</t>
        </is>
      </c>
      <c r="X63" s="151" t="inlineStr">
        <is>
          <t>SPI-00-139344-5</t>
        </is>
      </c>
      <c r="Y63" s="151" t="inlineStr">
        <is>
          <t>0,09</t>
        </is>
      </c>
      <c r="Z63" s="149" t="inlineStr">
        <is>
          <t>0,09</t>
        </is>
      </c>
      <c r="AA63" s="151" t="inlineStr">
        <is>
          <t>grams</t>
        </is>
      </c>
      <c r="AB63" s="151" t="n"/>
      <c r="AC63" s="151" t="n"/>
      <c r="AD63" s="150" t="n">
        <v>0.7010999999999999</v>
      </c>
      <c r="AE63" s="149" t="n">
        <v>0.09</v>
      </c>
      <c r="AF63" s="151" t="inlineStr">
        <is>
          <t>grams</t>
        </is>
      </c>
      <c r="AG63" s="151" t="n"/>
      <c r="AH63" s="151" t="n"/>
    </row>
    <row r="64">
      <c r="A64" s="151" t="inlineStr">
        <is>
          <t>FV0024A - Chicken in tomato cream sauce [DKSE]</t>
        </is>
      </c>
      <c r="B64" s="151" t="inlineStr">
        <is>
          <t>REC-013938-4-006</t>
        </is>
      </c>
      <c r="C64" s="151" t="inlineStr">
        <is>
          <t>Chicken breast - Sun-Dried Tomato Chicken Batch - Grilled 160g</t>
        </is>
      </c>
      <c r="D64" s="151" t="inlineStr">
        <is>
          <t>SUB-013572-4-001</t>
        </is>
      </c>
      <c r="E64" s="150" t="n">
        <v>1</v>
      </c>
      <c r="F64" s="151" t="inlineStr">
        <is>
          <t>each</t>
        </is>
      </c>
      <c r="G64" s="151" t="inlineStr">
        <is>
          <t>BLAST CHILLER, GRILL, MARINADE, OVEN</t>
        </is>
      </c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inlineStr">
        <is>
          <t>FA-DE Spice, Garlic Granulated /Gewürz, Knoblauch granuliert</t>
        </is>
      </c>
      <c r="X64" s="151" t="inlineStr">
        <is>
          <t>SPI-00-139353-5</t>
        </is>
      </c>
      <c r="Y64" s="151" t="inlineStr">
        <is>
          <t>0,43</t>
        </is>
      </c>
      <c r="Z64" s="149" t="inlineStr">
        <is>
          <t>0,43</t>
        </is>
      </c>
      <c r="AA64" s="151" t="inlineStr">
        <is>
          <t>grams</t>
        </is>
      </c>
      <c r="AB64" s="151" t="n"/>
      <c r="AC64" s="151" t="n"/>
      <c r="AD64" s="150" t="n">
        <v>0.7010999999999999</v>
      </c>
      <c r="AE64" s="149" t="n">
        <v>0.43</v>
      </c>
      <c r="AF64" s="151" t="inlineStr">
        <is>
          <t>grams</t>
        </is>
      </c>
      <c r="AG64" s="151" t="n"/>
      <c r="AH64" s="151" t="n"/>
    </row>
    <row r="65">
      <c r="A65" s="151" t="inlineStr">
        <is>
          <t>FV0024A - Chicken in tomato cream sauce [DKSE]</t>
        </is>
      </c>
      <c r="B65" s="151" t="inlineStr">
        <is>
          <t>REC-013938-4-006</t>
        </is>
      </c>
      <c r="C65" s="151" t="inlineStr">
        <is>
          <t>Chicken breast - Sun-Dried Tomato Chicken Batch - Grilled 160g</t>
        </is>
      </c>
      <c r="D65" s="151" t="inlineStr">
        <is>
          <t>SUB-013572-4-001</t>
        </is>
      </c>
      <c r="E65" s="150" t="n">
        <v>1</v>
      </c>
      <c r="F65" s="151" t="inlineStr">
        <is>
          <t>each</t>
        </is>
      </c>
      <c r="G65" s="151" t="inlineStr">
        <is>
          <t>BLAST CHILLER, GRILL, MARINADE, OVEN</t>
        </is>
      </c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inlineStr">
        <is>
          <t>FA-DE Vinegar, Red Wine /Essig, Rotwein</t>
        </is>
      </c>
      <c r="X65" s="151" t="inlineStr">
        <is>
          <t>PRO-00-139301-5</t>
        </is>
      </c>
      <c r="Y65" s="151" t="inlineStr">
        <is>
          <t>2,3</t>
        </is>
      </c>
      <c r="Z65" s="149" t="inlineStr">
        <is>
          <t>2,3</t>
        </is>
      </c>
      <c r="AA65" s="151" t="inlineStr">
        <is>
          <t>grams</t>
        </is>
      </c>
      <c r="AB65" s="151" t="n"/>
      <c r="AC65" s="151" t="n"/>
      <c r="AD65" s="150" t="n">
        <v>0.7010999999999999</v>
      </c>
      <c r="AE65" s="149" t="n">
        <v>2.3</v>
      </c>
      <c r="AF65" s="151" t="inlineStr">
        <is>
          <t>grams</t>
        </is>
      </c>
      <c r="AG65" s="151" t="n"/>
      <c r="AH65" s="151" t="n"/>
    </row>
    <row r="66">
      <c r="A66" s="151" t="inlineStr">
        <is>
          <t>FV0024A - Chicken in tomato cream sauce [DKSE]</t>
        </is>
      </c>
      <c r="B66" s="151" t="inlineStr">
        <is>
          <t>REC-013938-4-006</t>
        </is>
      </c>
      <c r="C66" s="151" t="inlineStr">
        <is>
          <t>Chicken breast - Sun-Dried Tomato Chicken Batch - Grilled 160g</t>
        </is>
      </c>
      <c r="D66" s="151" t="inlineStr">
        <is>
          <t>SUB-013572-4-001</t>
        </is>
      </c>
      <c r="E66" s="150" t="n">
        <v>1</v>
      </c>
      <c r="F66" s="151" t="inlineStr">
        <is>
          <t>each</t>
        </is>
      </c>
      <c r="G66" s="151" t="inlineStr">
        <is>
          <t>BLAST CHILLER, GRILL, MARINADE, OVEN</t>
        </is>
      </c>
      <c r="H66" s="151" t="inlineStr">
        <is>
          <t>Chicken Breast - BRINED 160g</t>
        </is>
      </c>
      <c r="I66" s="151" t="inlineStr">
        <is>
          <t>SUB-013527-4-001</t>
        </is>
      </c>
      <c r="J66" s="150" t="n">
        <v>160</v>
      </c>
      <c r="K66" s="151" t="inlineStr">
        <is>
          <t>grams</t>
        </is>
      </c>
      <c r="L66" s="151" t="inlineStr">
        <is>
          <t>BRINE</t>
        </is>
      </c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inlineStr">
        <is>
          <t>FA-DE Chicken, Breast, B/S - 160g/Hähnchen, Brust, B/S – 160 g</t>
        </is>
      </c>
      <c r="X66" s="151" t="inlineStr">
        <is>
          <t>PTN-00-139317-3</t>
        </is>
      </c>
      <c r="Y66" s="150" t="n">
        <v>160</v>
      </c>
      <c r="Z66" s="152" t="n">
        <v>160</v>
      </c>
      <c r="AA66" s="151" t="inlineStr">
        <is>
          <t>grams</t>
        </is>
      </c>
      <c r="AB66" s="151" t="n"/>
      <c r="AC66" s="151" t="n"/>
      <c r="AD66" s="150" t="n">
        <v>0.4978</v>
      </c>
      <c r="AE66" s="152" t="n">
        <v>160</v>
      </c>
      <c r="AF66" s="151" t="inlineStr">
        <is>
          <t>grams</t>
        </is>
      </c>
      <c r="AG66" s="151" t="n"/>
      <c r="AH66" s="151" t="n"/>
    </row>
    <row r="67">
      <c r="A67" s="151" t="inlineStr">
        <is>
          <t>FV0024A - Chicken in tomato cream sauce [DKSE]</t>
        </is>
      </c>
      <c r="B67" s="151" t="inlineStr">
        <is>
          <t>REC-013938-4-006</t>
        </is>
      </c>
      <c r="C67" s="151" t="inlineStr">
        <is>
          <t>Chicken breast - Sun-Dried Tomato Chicken Batch - Grilled 160g</t>
        </is>
      </c>
      <c r="D67" s="151" t="inlineStr">
        <is>
          <t>SUB-013572-4-001</t>
        </is>
      </c>
      <c r="E67" s="150" t="n">
        <v>1</v>
      </c>
      <c r="F67" s="151" t="inlineStr">
        <is>
          <t>each</t>
        </is>
      </c>
      <c r="G67" s="151" t="inlineStr">
        <is>
          <t>BLAST CHILLER, GRILL, MARINADE, OVEN</t>
        </is>
      </c>
      <c r="H67" s="151" t="inlineStr">
        <is>
          <t>Chicken Breast - BRINED 160g</t>
        </is>
      </c>
      <c r="I67" s="151" t="inlineStr">
        <is>
          <t>SUB-013527-4-001</t>
        </is>
      </c>
      <c r="J67" s="150" t="n">
        <v>160</v>
      </c>
      <c r="K67" s="151" t="inlineStr">
        <is>
          <t>grams</t>
        </is>
      </c>
      <c r="L67" s="151" t="inlineStr">
        <is>
          <t>BRINE</t>
        </is>
      </c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inlineStr">
        <is>
          <t>FA-DE Water / Wasser</t>
        </is>
      </c>
      <c r="X67" s="151" t="inlineStr">
        <is>
          <t>OTH-00-144038-5</t>
        </is>
      </c>
      <c r="Y67" s="150" t="n">
        <v>160</v>
      </c>
      <c r="Z67" s="152" t="n">
        <v>160</v>
      </c>
      <c r="AA67" s="151" t="inlineStr">
        <is>
          <t>grams</t>
        </is>
      </c>
      <c r="AB67" s="151" t="n"/>
      <c r="AC67" s="151" t="n"/>
      <c r="AD67" s="150" t="n">
        <v>0.4978</v>
      </c>
      <c r="AE67" s="152" t="n">
        <v>160</v>
      </c>
      <c r="AF67" s="151" t="inlineStr">
        <is>
          <t>grams</t>
        </is>
      </c>
      <c r="AG67" s="151" t="n"/>
      <c r="AH67" s="151" t="n"/>
    </row>
    <row r="68">
      <c r="A68" s="151" t="inlineStr">
        <is>
          <t>FV0024A - Chicken in tomato cream sauce [DKSE]</t>
        </is>
      </c>
      <c r="B68" s="151" t="inlineStr">
        <is>
          <t>REC-013938-4-006</t>
        </is>
      </c>
      <c r="C68" s="151" t="inlineStr">
        <is>
          <t>Chicken breast - Sun-Dried Tomato Chicken Batch - Grilled 160g</t>
        </is>
      </c>
      <c r="D68" s="151" t="inlineStr">
        <is>
          <t>SUB-013572-4-001</t>
        </is>
      </c>
      <c r="E68" s="150" t="n">
        <v>1</v>
      </c>
      <c r="F68" s="151" t="inlineStr">
        <is>
          <t>each</t>
        </is>
      </c>
      <c r="G68" s="151" t="inlineStr">
        <is>
          <t>BLAST CHILLER, GRILL, MARINADE, OVEN</t>
        </is>
      </c>
      <c r="H68" s="151" t="inlineStr">
        <is>
          <t>Chicken Breast - BRINED 160g</t>
        </is>
      </c>
      <c r="I68" s="151" t="inlineStr">
        <is>
          <t>SUB-013527-4-001</t>
        </is>
      </c>
      <c r="J68" s="150" t="n">
        <v>160</v>
      </c>
      <c r="K68" s="151" t="inlineStr">
        <is>
          <t>grams</t>
        </is>
      </c>
      <c r="L68" s="151" t="inlineStr">
        <is>
          <t>BRINE</t>
        </is>
      </c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inlineStr">
        <is>
          <t>FA-DE Spice, Sea Salt /Gewürze, Meersalz</t>
        </is>
      </c>
      <c r="X68" s="151" t="inlineStr">
        <is>
          <t>SPI-00-139378-5</t>
        </is>
      </c>
      <c r="Y68" s="151" t="inlineStr">
        <is>
          <t>1,41</t>
        </is>
      </c>
      <c r="Z68" s="149" t="inlineStr">
        <is>
          <t>1,41</t>
        </is>
      </c>
      <c r="AA68" s="151" t="inlineStr">
        <is>
          <t>grams</t>
        </is>
      </c>
      <c r="AB68" s="151" t="n"/>
      <c r="AC68" s="151" t="n"/>
      <c r="AD68" s="150" t="n">
        <v>0.4978</v>
      </c>
      <c r="AE68" s="149" t="n">
        <v>1.41</v>
      </c>
      <c r="AF68" s="151" t="inlineStr">
        <is>
          <t>grams</t>
        </is>
      </c>
      <c r="AG68" s="151" t="n"/>
      <c r="AH68" s="151" t="n"/>
    </row>
    <row r="69">
      <c r="A69" s="151" t="inlineStr">
        <is>
          <t>FV0024A - Chicken in tomato cream sauce [DKSE]</t>
        </is>
      </c>
      <c r="B69" s="151" t="inlineStr">
        <is>
          <t>REC-013938-4-006</t>
        </is>
      </c>
      <c r="C69" s="151" t="inlineStr">
        <is>
          <t>Chicken breast - Sun-Dried Tomato Chicken Batch - Grilled 160g</t>
        </is>
      </c>
      <c r="D69" s="151" t="inlineStr">
        <is>
          <t>SUB-013572-4-001</t>
        </is>
      </c>
      <c r="E69" s="150" t="n">
        <v>1</v>
      </c>
      <c r="F69" s="151" t="inlineStr">
        <is>
          <t>each</t>
        </is>
      </c>
      <c r="G69" s="151" t="inlineStr">
        <is>
          <t>BLAST CHILLER, GRILL, MARINADE, OVEN</t>
        </is>
      </c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inlineStr">
        <is>
          <t>FA-DE Parsley, Chopped /Petersilie, gehackt</t>
        </is>
      </c>
      <c r="X69" s="151" t="inlineStr">
        <is>
          <t>PHF-00-139215-3</t>
        </is>
      </c>
      <c r="Y69" s="151" t="inlineStr">
        <is>
          <t>0,46</t>
        </is>
      </c>
      <c r="Z69" s="149" t="inlineStr">
        <is>
          <t>0,46</t>
        </is>
      </c>
      <c r="AA69" s="151" t="inlineStr">
        <is>
          <t>grams</t>
        </is>
      </c>
      <c r="AB69" s="151" t="n"/>
      <c r="AC69" s="151" t="n"/>
      <c r="AD69" s="150" t="n">
        <v>0.7010999999999999</v>
      </c>
      <c r="AE69" s="149" t="n">
        <v>0.46</v>
      </c>
      <c r="AF69" s="151" t="inlineStr">
        <is>
          <t>grams</t>
        </is>
      </c>
      <c r="AG69" s="151" t="n"/>
      <c r="AH69" s="151" t="n"/>
    </row>
    <row r="70">
      <c r="A70" s="151" t="inlineStr">
        <is>
          <t>FV0024A - Chicken in tomato cream sauce [DKSE]</t>
        </is>
      </c>
      <c r="B70" s="151" t="inlineStr">
        <is>
          <t>REC-013938-4-006</t>
        </is>
      </c>
      <c r="C70" s="151" t="inlineStr">
        <is>
          <t>Chicken breast - Sun-Dried Tomato Chicken Batch - Grilled 160g</t>
        </is>
      </c>
      <c r="D70" s="151" t="inlineStr">
        <is>
          <t>SUB-013572-4-001</t>
        </is>
      </c>
      <c r="E70" s="150" t="n">
        <v>1</v>
      </c>
      <c r="F70" s="151" t="inlineStr">
        <is>
          <t>each</t>
        </is>
      </c>
      <c r="G70" s="151" t="inlineStr">
        <is>
          <t>BLAST CHILLER, GRILL, MARINADE, OVEN</t>
        </is>
      </c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inlineStr">
        <is>
          <t>FA-DE Oil, Olive /Öl, Olivenöl</t>
        </is>
      </c>
      <c r="X70" s="151" t="inlineStr">
        <is>
          <t>PRO-00-139277-5</t>
        </is>
      </c>
      <c r="Y70" s="154" t="inlineStr">
        <is>
          <t>6,8</t>
        </is>
      </c>
      <c r="Z70" s="149" t="inlineStr">
        <is>
          <t>6,8</t>
        </is>
      </c>
      <c r="AA70" s="151" t="inlineStr">
        <is>
          <t>grams</t>
        </is>
      </c>
      <c r="AB70" s="151" t="n"/>
      <c r="AC70" s="151" t="n"/>
      <c r="AD70" s="150" t="n">
        <v>0.7010999999999999</v>
      </c>
      <c r="AE70" s="149" t="n">
        <v>6.8</v>
      </c>
      <c r="AF70" s="151" t="inlineStr">
        <is>
          <t>grams</t>
        </is>
      </c>
      <c r="AG70" s="151" t="n"/>
      <c r="AH70" s="151" t="n"/>
    </row>
    <row r="71">
      <c r="A71" s="151" t="inlineStr">
        <is>
          <t>FV0024A - Chicken in tomato cream sauce [DKSE]</t>
        </is>
      </c>
      <c r="B71" s="151" t="inlineStr">
        <is>
          <t>REC-013938-4-006</t>
        </is>
      </c>
      <c r="C71" s="151" t="inlineStr">
        <is>
          <t>Chicken breast - Sun-Dried Tomato Chicken Batch - Grilled 160g</t>
        </is>
      </c>
      <c r="D71" s="151" t="inlineStr">
        <is>
          <t>SUB-013572-4-001</t>
        </is>
      </c>
      <c r="E71" s="150" t="n">
        <v>1</v>
      </c>
      <c r="F71" s="151" t="inlineStr">
        <is>
          <t>each</t>
        </is>
      </c>
      <c r="G71" s="151" t="inlineStr">
        <is>
          <t>BLAST CHILLER, GRILL, MARINADE, OVEN</t>
        </is>
      </c>
      <c r="H71" s="151" t="inlineStr">
        <is>
          <t>Basil - Picked Basil Leaves</t>
        </is>
      </c>
      <c r="I71" s="151" t="inlineStr">
        <is>
          <t>SUB-013424-4-001</t>
        </is>
      </c>
      <c r="J71" s="150" t="n">
        <v>0.57</v>
      </c>
      <c r="K71" s="151" t="inlineStr">
        <is>
          <t>grams</t>
        </is>
      </c>
      <c r="L71" s="151" t="inlineStr">
        <is>
          <t>DEBOX, STAGING</t>
        </is>
      </c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inlineStr">
        <is>
          <t>FA-DE Basil, Fresh /Basilikum, frisch</t>
        </is>
      </c>
      <c r="X71" s="151" t="inlineStr">
        <is>
          <t>PHF-00-139175-3</t>
        </is>
      </c>
      <c r="Y71" s="154" t="inlineStr">
        <is>
          <t>1,02</t>
        </is>
      </c>
      <c r="Z71" s="149" t="inlineStr">
        <is>
          <t>1,02</t>
        </is>
      </c>
      <c r="AA71" s="151" t="inlineStr">
        <is>
          <t>grams</t>
        </is>
      </c>
      <c r="AB71" s="151" t="n"/>
      <c r="AC71" s="151" t="n"/>
      <c r="AD71" s="150" t="n">
        <v>0.55986</v>
      </c>
      <c r="AE71" s="149" t="n">
        <v>1.02</v>
      </c>
      <c r="AF71" s="151" t="inlineStr">
        <is>
          <t>grams</t>
        </is>
      </c>
      <c r="AG71" s="151" t="n"/>
      <c r="AH71" s="151" t="n"/>
    </row>
    <row r="72">
      <c r="A72" s="151" t="inlineStr">
        <is>
          <t>FV0024A - Chicken in tomato cream sauce [DKSE]</t>
        </is>
      </c>
      <c r="B72" s="151" t="inlineStr">
        <is>
          <t>REC-013938-4-006</t>
        </is>
      </c>
      <c r="C72" s="151" t="inlineStr">
        <is>
          <t>Cooked Courgette Noodles - No Salt</t>
        </is>
      </c>
      <c r="D72" s="151" t="inlineStr">
        <is>
          <t>SUB-013573-4-001</t>
        </is>
      </c>
      <c r="E72" s="150" t="n">
        <v>100</v>
      </c>
      <c r="F72" s="151" t="inlineStr">
        <is>
          <t>grams</t>
        </is>
      </c>
      <c r="G72" s="151" t="inlineStr">
        <is>
          <t>BLAST CHILLER, HAND MARINADE, OVEN</t>
        </is>
      </c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inlineStr">
        <is>
          <t>FA-DE Oil, Olive /Öl, Olivenöl</t>
        </is>
      </c>
      <c r="X72" s="151" t="inlineStr">
        <is>
          <t>PRO-00-139277-5</t>
        </is>
      </c>
      <c r="Y72" s="154" t="inlineStr">
        <is>
          <t>8,07</t>
        </is>
      </c>
      <c r="Z72" s="149" t="inlineStr">
        <is>
          <t>8,07</t>
        </is>
      </c>
      <c r="AA72" s="151" t="inlineStr">
        <is>
          <t>grams</t>
        </is>
      </c>
      <c r="AB72" s="151" t="n"/>
      <c r="AC72" s="151" t="n"/>
      <c r="AD72" s="150" t="n">
        <v>0.68363</v>
      </c>
      <c r="AE72" s="149" t="n">
        <v>8.07</v>
      </c>
      <c r="AF72" s="151" t="inlineStr">
        <is>
          <t>grams</t>
        </is>
      </c>
      <c r="AG72" s="151" t="n"/>
      <c r="AH72" s="151" t="n"/>
    </row>
    <row r="73">
      <c r="A73" s="151" t="inlineStr">
        <is>
          <t>FV0024A - Chicken in tomato cream sauce [DKSE]</t>
        </is>
      </c>
      <c r="B73" s="151" t="inlineStr">
        <is>
          <t>REC-013938-4-006</t>
        </is>
      </c>
      <c r="C73" s="151" t="inlineStr">
        <is>
          <t>Cooked Courgette Noodles - No Salt</t>
        </is>
      </c>
      <c r="D73" s="151" t="inlineStr">
        <is>
          <t>SUB-013573-4-001</t>
        </is>
      </c>
      <c r="E73" s="150" t="n">
        <v>100</v>
      </c>
      <c r="F73" s="151" t="inlineStr">
        <is>
          <t>grams</t>
        </is>
      </c>
      <c r="G73" s="151" t="inlineStr">
        <is>
          <t>BLAST CHILLER, HAND MARINADE, OVEN</t>
        </is>
      </c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inlineStr">
        <is>
          <t>FA-DE Zucchini, Spiralized Noodles /Zucchini, Spiralnudeln</t>
        </is>
      </c>
      <c r="X73" s="151" t="inlineStr">
        <is>
          <t>PHF-00-139230-3</t>
        </is>
      </c>
      <c r="Y73" s="151" t="inlineStr">
        <is>
          <t>138,21</t>
        </is>
      </c>
      <c r="Z73" s="149" t="inlineStr">
        <is>
          <t>138,21</t>
        </is>
      </c>
      <c r="AA73" s="151" t="inlineStr">
        <is>
          <t>grams</t>
        </is>
      </c>
      <c r="AB73" s="151" t="n"/>
      <c r="AC73" s="151" t="n"/>
      <c r="AD73" s="150" t="n">
        <v>0.68363</v>
      </c>
      <c r="AE73" s="149" t="n">
        <v>138.21</v>
      </c>
      <c r="AF73" s="151" t="inlineStr">
        <is>
          <t>grams</t>
        </is>
      </c>
      <c r="AG73" s="151" t="n"/>
      <c r="AH73" s="151" t="n"/>
    </row>
    <row r="74">
      <c r="A74" s="151" t="inlineStr">
        <is>
          <t>FV0035A - Salmon with pesto [BNL]</t>
        </is>
      </c>
      <c r="B74" s="151" t="inlineStr">
        <is>
          <t>REC-013940-4-007</t>
        </is>
      </c>
      <c r="C74" s="151" t="inlineStr">
        <is>
          <t>Spinach - Creamed Spinach</t>
        </is>
      </c>
      <c r="D74" s="151" t="inlineStr">
        <is>
          <t>SUB-013867-4-001</t>
        </is>
      </c>
      <c r="E74" s="150" t="n">
        <v>115</v>
      </c>
      <c r="F74" s="151" t="inlineStr">
        <is>
          <t>grams</t>
        </is>
      </c>
      <c r="G74" s="151" t="inlineStr">
        <is>
          <t>BLAST CHILLER, HAND MIX</t>
        </is>
      </c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inlineStr">
        <is>
          <t>FA-DE Spice, Sea Salt /Gewürze, Meersalz</t>
        </is>
      </c>
      <c r="X74" s="151" t="inlineStr">
        <is>
          <t>SPI-00-139378-5</t>
        </is>
      </c>
      <c r="Y74" s="151" t="inlineStr">
        <is>
          <t>0,14</t>
        </is>
      </c>
      <c r="Z74" s="149" t="inlineStr">
        <is>
          <t>0,14</t>
        </is>
      </c>
      <c r="AA74" s="151" t="inlineStr">
        <is>
          <t>grams</t>
        </is>
      </c>
      <c r="AB74" s="151" t="n"/>
      <c r="AC74" s="151" t="n"/>
      <c r="AD74" s="150" t="n">
        <v>0.84</v>
      </c>
      <c r="AE74" s="149" t="n">
        <v>0.14</v>
      </c>
      <c r="AF74" s="151" t="inlineStr">
        <is>
          <t>grams</t>
        </is>
      </c>
      <c r="AG74" s="151" t="n"/>
      <c r="AH74" s="151" t="n"/>
    </row>
    <row r="75">
      <c r="A75" s="151" t="inlineStr">
        <is>
          <t>FV0035A - Salmon with pesto [BNL]</t>
        </is>
      </c>
      <c r="B75" s="151" t="inlineStr">
        <is>
          <t>REC-013940-4-007</t>
        </is>
      </c>
      <c r="C75" s="151" t="inlineStr">
        <is>
          <t>Spinach - Creamed Spinach</t>
        </is>
      </c>
      <c r="D75" s="151" t="inlineStr">
        <is>
          <t>SUB-013867-4-001</t>
        </is>
      </c>
      <c r="E75" s="150" t="n">
        <v>115</v>
      </c>
      <c r="F75" s="151" t="inlineStr">
        <is>
          <t>grams</t>
        </is>
      </c>
      <c r="G75" s="151" t="inlineStr">
        <is>
          <t>BLAST CHILLER, HAND MIX</t>
        </is>
      </c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inlineStr">
        <is>
          <t>FA-DE Onion, Spanish, Diced 5mm /Zwiebel, Spanisch, gewürfelt 5 mm</t>
        </is>
      </c>
      <c r="X75" s="151" t="inlineStr">
        <is>
          <t>PHF-00-139212-3</t>
        </is>
      </c>
      <c r="Y75" s="155" t="inlineStr">
        <is>
          <t>12,01</t>
        </is>
      </c>
      <c r="Z75" s="149" t="inlineStr">
        <is>
          <t>12,01</t>
        </is>
      </c>
      <c r="AA75" s="151" t="inlineStr">
        <is>
          <t>grams</t>
        </is>
      </c>
      <c r="AB75" s="151" t="n"/>
      <c r="AC75" s="151" t="n"/>
      <c r="AD75" s="150" t="n">
        <v>0.84</v>
      </c>
      <c r="AE75" s="149" t="n">
        <v>12.01</v>
      </c>
      <c r="AF75" s="151" t="inlineStr">
        <is>
          <t>grams</t>
        </is>
      </c>
      <c r="AG75" s="151" t="n"/>
      <c r="AH75" s="151" t="n"/>
    </row>
    <row r="76">
      <c r="A76" s="151" t="inlineStr">
        <is>
          <t>FV0035A - Salmon with pesto [BNL]</t>
        </is>
      </c>
      <c r="B76" s="151" t="inlineStr">
        <is>
          <t>REC-013940-4-007</t>
        </is>
      </c>
      <c r="C76" s="151" t="inlineStr">
        <is>
          <t>Spinach - Creamed Spinach</t>
        </is>
      </c>
      <c r="D76" s="151" t="inlineStr">
        <is>
          <t>SUB-013867-4-001</t>
        </is>
      </c>
      <c r="E76" s="150" t="n">
        <v>115</v>
      </c>
      <c r="F76" s="151" t="inlineStr">
        <is>
          <t>grams</t>
        </is>
      </c>
      <c r="G76" s="151" t="inlineStr">
        <is>
          <t>BLAST CHILLER, HAND MIX</t>
        </is>
      </c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inlineStr">
        <is>
          <t>FA-DE Cheese, Parmesan, Grated /Käse, Parmesan, gerieben</t>
        </is>
      </c>
      <c r="X76" s="151" t="inlineStr">
        <is>
          <t>DAI-00-139127-3</t>
        </is>
      </c>
      <c r="Y76" s="154" t="inlineStr">
        <is>
          <t>9,01</t>
        </is>
      </c>
      <c r="Z76" s="149" t="inlineStr">
        <is>
          <t>9,01</t>
        </is>
      </c>
      <c r="AA76" s="151" t="inlineStr">
        <is>
          <t>grams</t>
        </is>
      </c>
      <c r="AB76" s="151" t="inlineStr">
        <is>
          <t>MILCH (EINSCHLIESSLICH LAKTOSE)</t>
        </is>
      </c>
      <c r="AC76" s="151" t="n"/>
      <c r="AD76" s="150" t="n">
        <v>0.84</v>
      </c>
      <c r="AE76" s="149" t="n">
        <v>9.01</v>
      </c>
      <c r="AF76" s="151" t="inlineStr">
        <is>
          <t>grams</t>
        </is>
      </c>
      <c r="AG76" s="151" t="n"/>
      <c r="AH76" s="151" t="n"/>
    </row>
    <row r="77">
      <c r="A77" s="151" t="inlineStr">
        <is>
          <t>FV0035A - Salmon with pesto [BNL]</t>
        </is>
      </c>
      <c r="B77" s="151" t="inlineStr">
        <is>
          <t>REC-013940-4-007</t>
        </is>
      </c>
      <c r="C77" s="151" t="inlineStr">
        <is>
          <t>Spinach - Creamed Spinach</t>
        </is>
      </c>
      <c r="D77" s="151" t="inlineStr">
        <is>
          <t>SUB-013867-4-001</t>
        </is>
      </c>
      <c r="E77" s="150" t="n">
        <v>115</v>
      </c>
      <c r="F77" s="151" t="inlineStr">
        <is>
          <t>grams</t>
        </is>
      </c>
      <c r="G77" s="151" t="inlineStr">
        <is>
          <t>BLAST CHILLER, HAND MIX</t>
        </is>
      </c>
      <c r="H77" s="151" t="inlineStr">
        <is>
          <t>Thawed &amp; Squeezed Frozen Spinach</t>
        </is>
      </c>
      <c r="I77" s="151" t="inlineStr">
        <is>
          <t>SUB-013405-4-001</t>
        </is>
      </c>
      <c r="J77" s="150" t="n">
        <v>71.01000000000001</v>
      </c>
      <c r="K77" s="151" t="inlineStr">
        <is>
          <t>grams</t>
        </is>
      </c>
      <c r="L77" s="151" t="inlineStr">
        <is>
          <t>BLAST CHILLER, HAND MIX, OVEN</t>
        </is>
      </c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inlineStr">
        <is>
          <t>FA-DE Spinach, Frozen Leaf/Spinat, gefrorener Blattspinat</t>
        </is>
      </c>
      <c r="X77" s="151" t="inlineStr">
        <is>
          <t>PHF-00-139242-1</t>
        </is>
      </c>
      <c r="Y77" s="151" t="inlineStr">
        <is>
          <t>88,66</t>
        </is>
      </c>
      <c r="Z77" s="149" t="inlineStr">
        <is>
          <t>88,66</t>
        </is>
      </c>
      <c r="AA77" s="151" t="inlineStr">
        <is>
          <t>grams</t>
        </is>
      </c>
      <c r="AB77" s="151" t="n"/>
      <c r="AC77" s="151" t="n"/>
      <c r="AD77" s="150" t="n">
        <v>0.80087</v>
      </c>
      <c r="AE77" s="149" t="n">
        <v>88.66</v>
      </c>
      <c r="AF77" s="151" t="inlineStr">
        <is>
          <t>grams</t>
        </is>
      </c>
      <c r="AG77" s="151" t="n"/>
      <c r="AH77" s="151" t="n"/>
    </row>
    <row r="78">
      <c r="A78" s="151" t="inlineStr">
        <is>
          <t>FV0035A - Salmon with pesto [BNL]</t>
        </is>
      </c>
      <c r="B78" s="151" t="inlineStr">
        <is>
          <t>REC-013940-4-007</t>
        </is>
      </c>
      <c r="C78" s="151" t="inlineStr">
        <is>
          <t>Spinach - Creamed Spinach</t>
        </is>
      </c>
      <c r="D78" s="151" t="inlineStr">
        <is>
          <t>SUB-013867-4-001</t>
        </is>
      </c>
      <c r="E78" s="150" t="n">
        <v>115</v>
      </c>
      <c r="F78" s="151" t="inlineStr">
        <is>
          <t>grams</t>
        </is>
      </c>
      <c r="G78" s="151" t="inlineStr">
        <is>
          <t>BLAST CHILLER, HAND MIX</t>
        </is>
      </c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inlineStr">
        <is>
          <t>FA-DE Oil, Olive /Öl, Olivenöl</t>
        </is>
      </c>
      <c r="X78" s="151" t="inlineStr">
        <is>
          <t>PRO-00-139277-5</t>
        </is>
      </c>
      <c r="Y78" s="154" t="inlineStr">
        <is>
          <t>3,01</t>
        </is>
      </c>
      <c r="Z78" s="149" t="inlineStr">
        <is>
          <t>3,01</t>
        </is>
      </c>
      <c r="AA78" s="151" t="inlineStr">
        <is>
          <t>grams</t>
        </is>
      </c>
      <c r="AB78" s="151" t="n"/>
      <c r="AC78" s="151" t="n"/>
      <c r="AD78" s="150" t="n">
        <v>0.84</v>
      </c>
      <c r="AE78" s="149" t="n">
        <v>3.01</v>
      </c>
      <c r="AF78" s="151" t="inlineStr">
        <is>
          <t>grams</t>
        </is>
      </c>
      <c r="AG78" s="151" t="n"/>
      <c r="AH78" s="151" t="n"/>
    </row>
    <row r="79">
      <c r="A79" s="151" t="inlineStr">
        <is>
          <t>FV0035A - Salmon with pesto [BNL]</t>
        </is>
      </c>
      <c r="B79" s="151" t="inlineStr">
        <is>
          <t>REC-013940-4-007</t>
        </is>
      </c>
      <c r="C79" s="151" t="inlineStr">
        <is>
          <t>Spinach - Creamed Spinach</t>
        </is>
      </c>
      <c r="D79" s="151" t="inlineStr">
        <is>
          <t>SUB-013867-4-001</t>
        </is>
      </c>
      <c r="E79" s="150" t="n">
        <v>115</v>
      </c>
      <c r="F79" s="151" t="inlineStr">
        <is>
          <t>grams</t>
        </is>
      </c>
      <c r="G79" s="151" t="inlineStr">
        <is>
          <t>BLAST CHILLER, HAND MIX</t>
        </is>
      </c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inlineStr">
        <is>
          <t>FA-DE Cheese, Cream, 13% Fat (Milk) /Käse, Sahne, 13% Fett</t>
        </is>
      </c>
      <c r="X79" s="151" t="inlineStr">
        <is>
          <t>DAI-00-139122-3</t>
        </is>
      </c>
      <c r="Y79" s="151" t="inlineStr">
        <is>
          <t>38,73</t>
        </is>
      </c>
      <c r="Z79" s="149" t="inlineStr">
        <is>
          <t>38,73</t>
        </is>
      </c>
      <c r="AA79" s="151" t="inlineStr">
        <is>
          <t>grams</t>
        </is>
      </c>
      <c r="AB79" s="151" t="inlineStr">
        <is>
          <t>MILCH (EINSCHLIESSLICH LAKTOSE)</t>
        </is>
      </c>
      <c r="AC79" s="151" t="n"/>
      <c r="AD79" s="150" t="n">
        <v>0.84</v>
      </c>
      <c r="AE79" s="149" t="n">
        <v>38.73</v>
      </c>
      <c r="AF79" s="151" t="inlineStr">
        <is>
          <t>grams</t>
        </is>
      </c>
      <c r="AG79" s="151" t="n"/>
      <c r="AH79" s="151" t="n"/>
    </row>
    <row r="80">
      <c r="A80" s="151" t="inlineStr">
        <is>
          <t>FV0035A - Salmon with pesto [BNL]</t>
        </is>
      </c>
      <c r="B80" s="151" t="inlineStr">
        <is>
          <t>REC-013940-4-007</t>
        </is>
      </c>
      <c r="C80" s="151" t="inlineStr">
        <is>
          <t>Spinach - Creamed Spinach</t>
        </is>
      </c>
      <c r="D80" s="151" t="inlineStr">
        <is>
          <t>SUB-013867-4-001</t>
        </is>
      </c>
      <c r="E80" s="150" t="n">
        <v>115</v>
      </c>
      <c r="F80" s="151" t="inlineStr">
        <is>
          <t>grams</t>
        </is>
      </c>
      <c r="G80" s="151" t="inlineStr">
        <is>
          <t>BLAST CHILLER, HAND MIX</t>
        </is>
      </c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inlineStr">
        <is>
          <t>FA-DE Garlic, IQF, Diced 4 mm /Knoblauch, IQF, gewürfelt 4 mm</t>
        </is>
      </c>
      <c r="X80" s="151" t="inlineStr">
        <is>
          <t>PHF-00-139237-1</t>
        </is>
      </c>
      <c r="Y80" s="154" t="inlineStr">
        <is>
          <t>3,01</t>
        </is>
      </c>
      <c r="Z80" s="149" t="inlineStr">
        <is>
          <t>3,01</t>
        </is>
      </c>
      <c r="AA80" s="151" t="inlineStr">
        <is>
          <t>grams</t>
        </is>
      </c>
      <c r="AB80" s="151" t="inlineStr">
        <is>
          <t>SCHWEFELDIOXIDE UND SULFITE</t>
        </is>
      </c>
      <c r="AC80" s="151" t="n"/>
      <c r="AD80" s="150" t="n">
        <v>0.84</v>
      </c>
      <c r="AE80" s="149" t="n">
        <v>3.01</v>
      </c>
      <c r="AF80" s="151" t="inlineStr">
        <is>
          <t>grams</t>
        </is>
      </c>
      <c r="AG80" s="151" t="n"/>
      <c r="AH80" s="151" t="n"/>
    </row>
    <row r="81">
      <c r="A81" s="151" t="inlineStr">
        <is>
          <t>FV0035A - Salmon with pesto [BNL]</t>
        </is>
      </c>
      <c r="B81" s="151" t="inlineStr">
        <is>
          <t>REC-013940-4-007</t>
        </is>
      </c>
      <c r="C81" s="151" t="inlineStr">
        <is>
          <t>Salmon - garlic seasoning</t>
        </is>
      </c>
      <c r="D81" s="151" t="inlineStr">
        <is>
          <t>SUB-013382-4-001</t>
        </is>
      </c>
      <c r="E81" s="150" t="n">
        <v>1</v>
      </c>
      <c r="F81" s="151" t="inlineStr">
        <is>
          <t>each</t>
        </is>
      </c>
      <c r="G81" s="151" t="inlineStr">
        <is>
          <t>BLAST CHILLER, HAND MARINADE, OVEN, THAW</t>
        </is>
      </c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inlineStr">
        <is>
          <t>FA-DE Salmon, Skinless, Boneless, Filet/Lachs, ohne Haut, ohne Knochen, Filet - IQF</t>
        </is>
      </c>
      <c r="X81" s="151" t="inlineStr">
        <is>
          <t>PTN-00-139968-1</t>
        </is>
      </c>
      <c r="Y81" s="150" t="n">
        <v>140</v>
      </c>
      <c r="Z81" s="152" t="n">
        <v>140</v>
      </c>
      <c r="AA81" s="151" t="inlineStr">
        <is>
          <t>grams</t>
        </is>
      </c>
      <c r="AB81" s="151" t="inlineStr">
        <is>
          <t>FISCH</t>
        </is>
      </c>
      <c r="AC81" s="151" t="n"/>
      <c r="AD81" s="150" t="n">
        <v>0.81816</v>
      </c>
      <c r="AE81" s="152" t="n">
        <v>140</v>
      </c>
      <c r="AF81" s="151" t="inlineStr">
        <is>
          <t>grams</t>
        </is>
      </c>
      <c r="AG81" s="151" t="n"/>
      <c r="AH81" s="151" t="n"/>
    </row>
    <row r="82">
      <c r="A82" s="151" t="inlineStr">
        <is>
          <t>FV0035A - Salmon with pesto [BNL]</t>
        </is>
      </c>
      <c r="B82" s="151" t="inlineStr">
        <is>
          <t>REC-013940-4-007</t>
        </is>
      </c>
      <c r="C82" s="151" t="inlineStr">
        <is>
          <t>Salmon - garlic seasoning</t>
        </is>
      </c>
      <c r="D82" s="151" t="inlineStr">
        <is>
          <t>SUB-013382-4-001</t>
        </is>
      </c>
      <c r="E82" s="150" t="n">
        <v>1</v>
      </c>
      <c r="F82" s="151" t="inlineStr">
        <is>
          <t>each</t>
        </is>
      </c>
      <c r="G82" s="151" t="inlineStr">
        <is>
          <t>BLAST CHILLER, HAND MARINADE, OVEN, THAW</t>
        </is>
      </c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inlineStr">
        <is>
          <t>FA-DE Spice, Sea Salt /Gewürze, Meersalz</t>
        </is>
      </c>
      <c r="X82" s="151" t="inlineStr">
        <is>
          <t>SPI-00-139378-5</t>
        </is>
      </c>
      <c r="Y82" s="151" t="inlineStr">
        <is>
          <t>0,42</t>
        </is>
      </c>
      <c r="Z82" s="149" t="inlineStr">
        <is>
          <t>0,42</t>
        </is>
      </c>
      <c r="AA82" s="151" t="inlineStr">
        <is>
          <t>grams</t>
        </is>
      </c>
      <c r="AB82" s="151" t="n"/>
      <c r="AC82" s="151" t="n"/>
      <c r="AD82" s="150" t="n">
        <v>0.81816</v>
      </c>
      <c r="AE82" s="149" t="n">
        <v>0.42</v>
      </c>
      <c r="AF82" s="151" t="inlineStr">
        <is>
          <t>grams</t>
        </is>
      </c>
      <c r="AG82" s="151" t="n"/>
      <c r="AH82" s="151" t="n"/>
    </row>
    <row r="83">
      <c r="A83" s="151" t="inlineStr">
        <is>
          <t>FV0035A - Salmon with pesto [BNL]</t>
        </is>
      </c>
      <c r="B83" s="151" t="inlineStr">
        <is>
          <t>REC-013940-4-007</t>
        </is>
      </c>
      <c r="C83" s="151" t="inlineStr">
        <is>
          <t>Salmon - garlic seasoning</t>
        </is>
      </c>
      <c r="D83" s="151" t="inlineStr">
        <is>
          <t>SUB-013382-4-001</t>
        </is>
      </c>
      <c r="E83" s="150" t="n">
        <v>1</v>
      </c>
      <c r="F83" s="151" t="inlineStr">
        <is>
          <t>each</t>
        </is>
      </c>
      <c r="G83" s="151" t="inlineStr">
        <is>
          <t>BLAST CHILLER, HAND MARINADE, OVEN, THAW</t>
        </is>
      </c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inlineStr">
        <is>
          <t>FA-DE Spice, Garlic Granulated /Gewürz, Knoblauch granuliert</t>
        </is>
      </c>
      <c r="X83" s="151" t="inlineStr">
        <is>
          <t>SPI-00-139353-5</t>
        </is>
      </c>
      <c r="Y83" s="151" t="inlineStr">
        <is>
          <t>0,14</t>
        </is>
      </c>
      <c r="Z83" s="149" t="inlineStr">
        <is>
          <t>0,14</t>
        </is>
      </c>
      <c r="AA83" s="151" t="inlineStr">
        <is>
          <t>grams</t>
        </is>
      </c>
      <c r="AB83" s="151" t="n"/>
      <c r="AC83" s="151" t="n"/>
      <c r="AD83" s="150" t="n">
        <v>0.81816</v>
      </c>
      <c r="AE83" s="149" t="n">
        <v>0.14</v>
      </c>
      <c r="AF83" s="151" t="inlineStr">
        <is>
          <t>grams</t>
        </is>
      </c>
      <c r="AG83" s="151" t="n"/>
      <c r="AH83" s="151" t="n"/>
    </row>
    <row r="84">
      <c r="A84" s="151" t="inlineStr">
        <is>
          <t>FV0035A - Salmon with pesto [BNL]</t>
        </is>
      </c>
      <c r="B84" s="151" t="inlineStr">
        <is>
          <t>REC-013940-4-007</t>
        </is>
      </c>
      <c r="C84" s="151" t="inlineStr">
        <is>
          <t>Sauce - Pesto</t>
        </is>
      </c>
      <c r="D84" s="151" t="inlineStr">
        <is>
          <t>SUB-013665-4-001</t>
        </is>
      </c>
      <c r="E84" s="150" t="n">
        <v>30</v>
      </c>
      <c r="F84" s="151" t="inlineStr">
        <is>
          <t>grams</t>
        </is>
      </c>
      <c r="G84" s="151" t="inlineStr">
        <is>
          <t>BLAST CHILLER, IMMERSION BLENDER</t>
        </is>
      </c>
      <c r="H84" s="151" t="inlineStr">
        <is>
          <t>Toasted Sliced Almonds</t>
        </is>
      </c>
      <c r="I84" s="151" t="inlineStr">
        <is>
          <t>SUB-013495-4-001</t>
        </is>
      </c>
      <c r="J84" s="150" t="n">
        <v>2.91</v>
      </c>
      <c r="K84" s="151" t="inlineStr">
        <is>
          <t>grams</t>
        </is>
      </c>
      <c r="L84" s="151" t="inlineStr">
        <is>
          <t>BLAST CHILLER, HAND MARINADE, OVEN</t>
        </is>
      </c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inlineStr">
        <is>
          <t>FA-DE Almond, Sliced, Blanched /Mandeln, geschnitten, blanchiert</t>
        </is>
      </c>
      <c r="X84" s="151" t="inlineStr">
        <is>
          <t>SPI-00-139147-5</t>
        </is>
      </c>
      <c r="Y84" s="151" t="inlineStr">
        <is>
          <t>3,03</t>
        </is>
      </c>
      <c r="Z84" s="149" t="inlineStr">
        <is>
          <t>3,03</t>
        </is>
      </c>
      <c r="AA84" s="151" t="inlineStr">
        <is>
          <t>grams</t>
        </is>
      </c>
      <c r="AB84" s="151" t="inlineStr">
        <is>
          <t>MANDELN, SCHALENFRÜCHTE</t>
        </is>
      </c>
      <c r="AC84" s="151" t="n"/>
      <c r="AD84" s="150" t="n">
        <v>0.96089</v>
      </c>
      <c r="AE84" s="149" t="n">
        <v>3.03</v>
      </c>
      <c r="AF84" s="151" t="inlineStr">
        <is>
          <t>grams</t>
        </is>
      </c>
      <c r="AG84" s="151" t="n"/>
      <c r="AH84" s="151" t="n"/>
    </row>
    <row r="85">
      <c r="A85" s="151" t="inlineStr">
        <is>
          <t>FV0035A - Salmon with pesto [BNL]</t>
        </is>
      </c>
      <c r="B85" s="151" t="inlineStr">
        <is>
          <t>REC-013940-4-007</t>
        </is>
      </c>
      <c r="C85" s="151" t="inlineStr">
        <is>
          <t>Sauce - Pesto</t>
        </is>
      </c>
      <c r="D85" s="151" t="inlineStr">
        <is>
          <t>SUB-013665-4-001</t>
        </is>
      </c>
      <c r="E85" s="150" t="n">
        <v>30</v>
      </c>
      <c r="F85" s="151" t="inlineStr">
        <is>
          <t>grams</t>
        </is>
      </c>
      <c r="G85" s="151" t="inlineStr">
        <is>
          <t>BLAST CHILLER, IMMERSION BLENDER</t>
        </is>
      </c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inlineStr">
        <is>
          <t>FA-DE Cheese, Parmesan, Grated /Käse, Parmesan, gerieben</t>
        </is>
      </c>
      <c r="X85" s="151" t="inlineStr">
        <is>
          <t>DAI-00-139127-3</t>
        </is>
      </c>
      <c r="Y85" s="151" t="inlineStr">
        <is>
          <t>3,72</t>
        </is>
      </c>
      <c r="Z85" s="149" t="inlineStr">
        <is>
          <t>3,72</t>
        </is>
      </c>
      <c r="AA85" s="151" t="inlineStr">
        <is>
          <t>grams</t>
        </is>
      </c>
      <c r="AB85" s="151" t="inlineStr">
        <is>
          <t>MILCH (EINSCHLIESSLICH LAKTOSE)</t>
        </is>
      </c>
      <c r="AC85" s="151" t="n"/>
      <c r="AD85" s="150" t="n">
        <v>0.95726</v>
      </c>
      <c r="AE85" s="149" t="n">
        <v>3.72</v>
      </c>
      <c r="AF85" s="151" t="inlineStr">
        <is>
          <t>grams</t>
        </is>
      </c>
      <c r="AG85" s="151" t="n"/>
      <c r="AH85" s="151" t="n"/>
    </row>
    <row r="86">
      <c r="A86" s="151" t="inlineStr">
        <is>
          <t>FV0035A - Salmon with pesto [BNL]</t>
        </is>
      </c>
      <c r="B86" s="151" t="inlineStr">
        <is>
          <t>REC-013940-4-007</t>
        </is>
      </c>
      <c r="C86" s="151" t="inlineStr">
        <is>
          <t>Sauce - Pesto</t>
        </is>
      </c>
      <c r="D86" s="151" t="inlineStr">
        <is>
          <t>SUB-013665-4-001</t>
        </is>
      </c>
      <c r="E86" s="150" t="n">
        <v>30</v>
      </c>
      <c r="F86" s="151" t="inlineStr">
        <is>
          <t>grams</t>
        </is>
      </c>
      <c r="G86" s="151" t="inlineStr">
        <is>
          <t>BLAST CHILLER, IMMERSION BLENDER</t>
        </is>
      </c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inlineStr">
        <is>
          <t>FA-DE Spice, Sea Salt /Gewürze, Meersalz</t>
        </is>
      </c>
      <c r="X86" s="151" t="inlineStr">
        <is>
          <t>SPI-00-139378-5</t>
        </is>
      </c>
      <c r="Y86" s="151" t="inlineStr">
        <is>
          <t>0,15</t>
        </is>
      </c>
      <c r="Z86" s="149" t="inlineStr">
        <is>
          <t>0,15</t>
        </is>
      </c>
      <c r="AA86" s="151" t="inlineStr">
        <is>
          <t>grams</t>
        </is>
      </c>
      <c r="AB86" s="151" t="n"/>
      <c r="AC86" s="151" t="n"/>
      <c r="AD86" s="150" t="n">
        <v>0.95726</v>
      </c>
      <c r="AE86" s="149" t="n">
        <v>0.15</v>
      </c>
      <c r="AF86" s="151" t="inlineStr">
        <is>
          <t>grams</t>
        </is>
      </c>
      <c r="AG86" s="151" t="n"/>
      <c r="AH86" s="151" t="n"/>
    </row>
    <row r="87">
      <c r="A87" s="151" t="inlineStr">
        <is>
          <t>FV0035A - Salmon with pesto [BNL]</t>
        </is>
      </c>
      <c r="B87" s="151" t="inlineStr">
        <is>
          <t>REC-013940-4-007</t>
        </is>
      </c>
      <c r="C87" s="151" t="inlineStr">
        <is>
          <t>Sauce - Pesto</t>
        </is>
      </c>
      <c r="D87" s="151" t="inlineStr">
        <is>
          <t>SUB-013665-4-001</t>
        </is>
      </c>
      <c r="E87" s="150" t="n">
        <v>30</v>
      </c>
      <c r="F87" s="151" t="inlineStr">
        <is>
          <t>grams</t>
        </is>
      </c>
      <c r="G87" s="151" t="inlineStr">
        <is>
          <t>BLAST CHILLER, IMMERSION BLENDER</t>
        </is>
      </c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inlineStr">
        <is>
          <t>FA-DE Oil, Olive /Öl, Olivenöl</t>
        </is>
      </c>
      <c r="X87" s="151" t="inlineStr">
        <is>
          <t>PRO-00-139277-5</t>
        </is>
      </c>
      <c r="Y87" s="151" t="inlineStr">
        <is>
          <t>17,24</t>
        </is>
      </c>
      <c r="Z87" s="149" t="inlineStr">
        <is>
          <t>17,24</t>
        </is>
      </c>
      <c r="AA87" s="151" t="inlineStr">
        <is>
          <t>grams</t>
        </is>
      </c>
      <c r="AB87" s="151" t="n"/>
      <c r="AC87" s="151" t="n"/>
      <c r="AD87" s="150" t="n">
        <v>0.95726</v>
      </c>
      <c r="AE87" s="149" t="n">
        <v>17.24</v>
      </c>
      <c r="AF87" s="151" t="inlineStr">
        <is>
          <t>grams</t>
        </is>
      </c>
      <c r="AG87" s="151" t="n"/>
      <c r="AH87" s="151" t="n"/>
    </row>
    <row r="88">
      <c r="A88" s="151" t="inlineStr">
        <is>
          <t>FV0035A - Salmon with pesto [BNL]</t>
        </is>
      </c>
      <c r="B88" s="151" t="inlineStr">
        <is>
          <t>REC-013940-4-007</t>
        </is>
      </c>
      <c r="C88" s="151" t="inlineStr">
        <is>
          <t>Sauce - Pesto</t>
        </is>
      </c>
      <c r="D88" s="151" t="inlineStr">
        <is>
          <t>SUB-013665-4-001</t>
        </is>
      </c>
      <c r="E88" s="150" t="n">
        <v>30</v>
      </c>
      <c r="F88" s="151" t="inlineStr">
        <is>
          <t>grams</t>
        </is>
      </c>
      <c r="G88" s="151" t="inlineStr">
        <is>
          <t>BLAST CHILLER, IMMERSION BLENDER</t>
        </is>
      </c>
      <c r="H88" s="151" t="inlineStr">
        <is>
          <t>Basil Kill Step</t>
        </is>
      </c>
      <c r="I88" s="151" t="inlineStr">
        <is>
          <t>SUB-024331-4-001</t>
        </is>
      </c>
      <c r="J88" s="150" t="n">
        <v>3.55</v>
      </c>
      <c r="K88" s="151" t="inlineStr">
        <is>
          <t>grams</t>
        </is>
      </c>
      <c r="L88" s="151" t="inlineStr">
        <is>
          <t>BLAST CHILLER, OVEN</t>
        </is>
      </c>
      <c r="M88" s="151" t="inlineStr">
        <is>
          <t>Basil - Picked Basil Leaves</t>
        </is>
      </c>
      <c r="N88" s="151" t="inlineStr">
        <is>
          <t>SUB-013424-4-001</t>
        </is>
      </c>
      <c r="O88" s="150" t="n">
        <v>3.94</v>
      </c>
      <c r="P88" s="151" t="inlineStr">
        <is>
          <t>grams</t>
        </is>
      </c>
      <c r="Q88" s="151" t="inlineStr">
        <is>
          <t>DEBOX, STAGING</t>
        </is>
      </c>
      <c r="R88" s="151" t="n"/>
      <c r="S88" s="151" t="n"/>
      <c r="T88" s="151" t="n"/>
      <c r="U88" s="151" t="n"/>
      <c r="V88" s="151" t="n"/>
      <c r="W88" s="151" t="inlineStr">
        <is>
          <t>FA-DE Basil, Fresh /Basilikum, frisch</t>
        </is>
      </c>
      <c r="X88" s="151" t="inlineStr">
        <is>
          <t>PHF-00-139175-3</t>
        </is>
      </c>
      <c r="Y88" s="154" t="inlineStr">
        <is>
          <t>7,04</t>
        </is>
      </c>
      <c r="Z88" s="149" t="inlineStr">
        <is>
          <t>7,04</t>
        </is>
      </c>
      <c r="AA88" s="151" t="inlineStr">
        <is>
          <t>grams</t>
        </is>
      </c>
      <c r="AB88" s="151" t="n"/>
      <c r="AC88" s="151" t="n"/>
      <c r="AD88" s="150" t="n">
        <v>0.55986</v>
      </c>
      <c r="AE88" s="149" t="n">
        <v>7.04</v>
      </c>
      <c r="AF88" s="151" t="inlineStr">
        <is>
          <t>grams</t>
        </is>
      </c>
      <c r="AG88" s="151" t="n"/>
      <c r="AH88" s="151" t="n"/>
    </row>
    <row r="89">
      <c r="A89" s="151" t="inlineStr">
        <is>
          <t>FV0035A - Salmon with pesto [BNL]</t>
        </is>
      </c>
      <c r="B89" s="151" t="inlineStr">
        <is>
          <t>REC-013940-4-007</t>
        </is>
      </c>
      <c r="C89" s="151" t="inlineStr">
        <is>
          <t>Sauce - Pesto</t>
        </is>
      </c>
      <c r="D89" s="151" t="inlineStr">
        <is>
          <t>SUB-013665-4-001</t>
        </is>
      </c>
      <c r="E89" s="150" t="n">
        <v>30</v>
      </c>
      <c r="F89" s="151" t="inlineStr">
        <is>
          <t>grams</t>
        </is>
      </c>
      <c r="G89" s="151" t="inlineStr">
        <is>
          <t>BLAST CHILLER, IMMERSION BLENDER</t>
        </is>
      </c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inlineStr">
        <is>
          <t>FA-DE Spice, Garlic Granulated /Gewürz, Knoblauch granuliert</t>
        </is>
      </c>
      <c r="X89" s="151" t="inlineStr">
        <is>
          <t>SPI-00-139353-5</t>
        </is>
      </c>
      <c r="Y89" s="151" t="inlineStr">
        <is>
          <t>0,15</t>
        </is>
      </c>
      <c r="Z89" s="149" t="inlineStr">
        <is>
          <t>0,15</t>
        </is>
      </c>
      <c r="AA89" s="151" t="inlineStr">
        <is>
          <t>grams</t>
        </is>
      </c>
      <c r="AB89" s="151" t="n"/>
      <c r="AC89" s="151" t="n"/>
      <c r="AD89" s="150" t="n">
        <v>0.95726</v>
      </c>
      <c r="AE89" s="149" t="n">
        <v>0.15</v>
      </c>
      <c r="AF89" s="151" t="inlineStr">
        <is>
          <t>grams</t>
        </is>
      </c>
      <c r="AG89" s="151" t="n"/>
      <c r="AH89" s="151" t="n"/>
    </row>
    <row r="90">
      <c r="A90" s="151" t="inlineStr">
        <is>
          <t>FV0035A - Salmon with pesto [BNL]</t>
        </is>
      </c>
      <c r="B90" s="151" t="inlineStr">
        <is>
          <t>REC-013940-4-007</t>
        </is>
      </c>
      <c r="C90" s="151" t="inlineStr">
        <is>
          <t>Sauce - Pesto</t>
        </is>
      </c>
      <c r="D90" s="151" t="inlineStr">
        <is>
          <t>SUB-013665-4-001</t>
        </is>
      </c>
      <c r="E90" s="150" t="n">
        <v>30</v>
      </c>
      <c r="F90" s="151" t="inlineStr">
        <is>
          <t>grams</t>
        </is>
      </c>
      <c r="G90" s="151" t="inlineStr">
        <is>
          <t>BLAST CHILLER, IMMERSION BLENDER</t>
        </is>
      </c>
      <c r="H90" s="151" t="inlineStr">
        <is>
          <t>Fresh Spinach Kill Step</t>
        </is>
      </c>
      <c r="I90" s="151" t="inlineStr">
        <is>
          <t>SUB-024333-4-001</t>
        </is>
      </c>
      <c r="J90" s="150" t="n">
        <v>3.63</v>
      </c>
      <c r="K90" s="151" t="inlineStr">
        <is>
          <t>grams</t>
        </is>
      </c>
      <c r="L90" s="151" t="inlineStr">
        <is>
          <t>BLAST CHILLER, OVEN</t>
        </is>
      </c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inlineStr">
        <is>
          <t>FA-DE Spinach, Fresh, Stem Off /Spinat, frisch, ohne Stiel</t>
        </is>
      </c>
      <c r="X90" s="151" t="inlineStr">
        <is>
          <t>PHF-00-139225-3</t>
        </is>
      </c>
      <c r="Y90" s="151" t="inlineStr">
        <is>
          <t>4,03</t>
        </is>
      </c>
      <c r="Z90" s="149" t="inlineStr">
        <is>
          <t>4,03</t>
        </is>
      </c>
      <c r="AA90" s="151" t="inlineStr">
        <is>
          <t>grams</t>
        </is>
      </c>
      <c r="AB90" s="151" t="n"/>
      <c r="AC90" s="151" t="n"/>
      <c r="AD90" s="150" t="n">
        <v>0.9</v>
      </c>
      <c r="AE90" s="149" t="n">
        <v>4.03</v>
      </c>
      <c r="AF90" s="151" t="inlineStr">
        <is>
          <t>grams</t>
        </is>
      </c>
      <c r="AG90" s="151" t="n"/>
      <c r="AH90" s="151" t="n"/>
    </row>
    <row r="91">
      <c r="A91" s="151" t="inlineStr">
        <is>
          <t>FV0035A - Salmon with pesto [BNL]</t>
        </is>
      </c>
      <c r="B91" s="151" t="inlineStr">
        <is>
          <t>REC-013940-4-007</t>
        </is>
      </c>
      <c r="C91" s="151" t="inlineStr">
        <is>
          <t>S&amp;P Roasted Green Beans 1</t>
        </is>
      </c>
      <c r="D91" s="151" t="inlineStr">
        <is>
          <t>SUB-014184-4-001</t>
        </is>
      </c>
      <c r="E91" s="150" t="n">
        <v>90</v>
      </c>
      <c r="F91" s="151" t="inlineStr">
        <is>
          <t>grams</t>
        </is>
      </c>
      <c r="G91" s="151" t="inlineStr">
        <is>
          <t>BLAST CHILLER, OVEN</t>
        </is>
      </c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inlineStr">
        <is>
          <t>FA-DE Oil, Olive /Öl, Olivenöl</t>
        </is>
      </c>
      <c r="X91" s="151" t="inlineStr">
        <is>
          <t>PRO-00-139277-5</t>
        </is>
      </c>
      <c r="Y91" s="151" t="inlineStr">
        <is>
          <t>7,62</t>
        </is>
      </c>
      <c r="Z91" s="149" t="inlineStr">
        <is>
          <t>7,62</t>
        </is>
      </c>
      <c r="AA91" s="151" t="inlineStr">
        <is>
          <t>grams</t>
        </is>
      </c>
      <c r="AB91" s="151" t="n"/>
      <c r="AC91" s="151" t="n"/>
      <c r="AD91" s="150" t="n">
        <v>0.74605</v>
      </c>
      <c r="AE91" s="149" t="n">
        <v>7.62</v>
      </c>
      <c r="AF91" s="151" t="inlineStr">
        <is>
          <t>grams</t>
        </is>
      </c>
      <c r="AG91" s="151" t="n"/>
      <c r="AH91" s="151" t="n"/>
    </row>
    <row r="92">
      <c r="A92" s="151" t="inlineStr">
        <is>
          <t>FV0035A - Salmon with pesto [BNL]</t>
        </is>
      </c>
      <c r="B92" s="151" t="inlineStr">
        <is>
          <t>REC-013940-4-007</t>
        </is>
      </c>
      <c r="C92" s="151" t="inlineStr">
        <is>
          <t>S&amp;P Roasted Green Beans 1</t>
        </is>
      </c>
      <c r="D92" s="151" t="inlineStr">
        <is>
          <t>SUB-014184-4-001</t>
        </is>
      </c>
      <c r="E92" s="150" t="n">
        <v>90</v>
      </c>
      <c r="F92" s="151" t="inlineStr">
        <is>
          <t>grams</t>
        </is>
      </c>
      <c r="G92" s="151" t="inlineStr">
        <is>
          <t>BLAST CHILLER, OVEN</t>
        </is>
      </c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inlineStr">
        <is>
          <t>FA-DE Spice, Sea Salt /Gewürze, Meersalz</t>
        </is>
      </c>
      <c r="X92" s="151" t="inlineStr">
        <is>
          <t>SPI-00-139378-5</t>
        </is>
      </c>
      <c r="Y92" s="151" t="inlineStr">
        <is>
          <t>0,45</t>
        </is>
      </c>
      <c r="Z92" s="149" t="inlineStr">
        <is>
          <t>0,45</t>
        </is>
      </c>
      <c r="AA92" s="151" t="inlineStr">
        <is>
          <t>grams</t>
        </is>
      </c>
      <c r="AB92" s="151" t="n"/>
      <c r="AC92" s="151" t="n"/>
      <c r="AD92" s="150" t="n">
        <v>0.74605</v>
      </c>
      <c r="AE92" s="149" t="n">
        <v>0.45</v>
      </c>
      <c r="AF92" s="151" t="inlineStr">
        <is>
          <t>grams</t>
        </is>
      </c>
      <c r="AG92" s="151" t="n"/>
      <c r="AH92" s="151" t="n"/>
    </row>
    <row r="93">
      <c r="A93" s="151" t="inlineStr">
        <is>
          <t>FV0035A - Salmon with pesto [BNL]</t>
        </is>
      </c>
      <c r="B93" s="151" t="inlineStr">
        <is>
          <t>REC-013940-4-007</t>
        </is>
      </c>
      <c r="C93" s="151" t="inlineStr">
        <is>
          <t>S&amp;P Roasted Green Beans 1</t>
        </is>
      </c>
      <c r="D93" s="151" t="inlineStr">
        <is>
          <t>SUB-014184-4-001</t>
        </is>
      </c>
      <c r="E93" s="150" t="n">
        <v>90</v>
      </c>
      <c r="F93" s="151" t="inlineStr">
        <is>
          <t>grams</t>
        </is>
      </c>
      <c r="G93" s="151" t="inlineStr">
        <is>
          <t>BLAST CHILLER, OVEN</t>
        </is>
      </c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inlineStr">
        <is>
          <t>FA-DE Spice, Black Pepper, Ground /Gewürz, schwarzer Pfeffer, gemahlen</t>
        </is>
      </c>
      <c r="X93" s="151" t="inlineStr">
        <is>
          <t>SPI-00-139334-5</t>
        </is>
      </c>
      <c r="Y93" s="151" t="inlineStr">
        <is>
          <t>0,22</t>
        </is>
      </c>
      <c r="Z93" s="149" t="inlineStr">
        <is>
          <t>0,22</t>
        </is>
      </c>
      <c r="AA93" s="151" t="inlineStr">
        <is>
          <t>grams</t>
        </is>
      </c>
      <c r="AB93" s="151" t="n"/>
      <c r="AC93" s="151" t="n"/>
      <c r="AD93" s="150" t="n">
        <v>0.74605</v>
      </c>
      <c r="AE93" s="149" t="n">
        <v>0.22</v>
      </c>
      <c r="AF93" s="151" t="inlineStr">
        <is>
          <t>grams</t>
        </is>
      </c>
      <c r="AG93" s="151" t="n"/>
      <c r="AH93" s="151" t="n"/>
    </row>
    <row r="94">
      <c r="A94" s="151" t="inlineStr">
        <is>
          <t>FV0035A - Salmon with pesto [BNL]</t>
        </is>
      </c>
      <c r="B94" s="151" t="inlineStr">
        <is>
          <t>REC-013940-4-007</t>
        </is>
      </c>
      <c r="C94" s="151" t="inlineStr">
        <is>
          <t>S&amp;P Roasted Green Beans 1</t>
        </is>
      </c>
      <c r="D94" s="151" t="inlineStr">
        <is>
          <t>SUB-014184-4-001</t>
        </is>
      </c>
      <c r="E94" s="150" t="n">
        <v>90</v>
      </c>
      <c r="F94" s="151" t="inlineStr">
        <is>
          <t>grams</t>
        </is>
      </c>
      <c r="G94" s="151" t="inlineStr">
        <is>
          <t>BLAST CHILLER, OVEN</t>
        </is>
      </c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inlineStr">
        <is>
          <t>FA-DE Green Beans, Fresh and Trimmed/Grüne Bohnen, frisch und geschnitten</t>
        </is>
      </c>
      <c r="X94" s="151" t="inlineStr">
        <is>
          <t>PHF-00-139198-3</t>
        </is>
      </c>
      <c r="Y94" s="151" t="inlineStr">
        <is>
          <t>112,35</t>
        </is>
      </c>
      <c r="Z94" s="149" t="inlineStr">
        <is>
          <t>112,35</t>
        </is>
      </c>
      <c r="AA94" s="151" t="inlineStr">
        <is>
          <t>grams</t>
        </is>
      </c>
      <c r="AB94" s="151" t="n"/>
      <c r="AC94" s="151" t="n"/>
      <c r="AD94" s="150" t="n">
        <v>0.74605</v>
      </c>
      <c r="AE94" s="149" t="n">
        <v>112.35</v>
      </c>
      <c r="AF94" s="151" t="inlineStr">
        <is>
          <t>grams</t>
        </is>
      </c>
      <c r="AG94" s="151" t="n"/>
      <c r="AH94" s="151" t="n"/>
    </row>
    <row r="95">
      <c r="A95" s="151" t="inlineStr">
        <is>
          <t>FV0035A - Salmon with pesto [BNL]</t>
        </is>
      </c>
      <c r="B95" s="151" t="inlineStr">
        <is>
          <t>REC-013940-4-007</t>
        </is>
      </c>
      <c r="C95" s="151" t="inlineStr">
        <is>
          <t>Compound butter - Sun-Dried Tomato</t>
        </is>
      </c>
      <c r="D95" s="151" t="inlineStr">
        <is>
          <t>SUB-013608-4-001</t>
        </is>
      </c>
      <c r="E95" s="150" t="n">
        <v>14</v>
      </c>
      <c r="F95" s="151" t="inlineStr">
        <is>
          <t>grams</t>
        </is>
      </c>
      <c r="G95" s="151" t="inlineStr">
        <is>
          <t>BLAST CHILLER, PLANETARY MIXER, SCOOPER (BUTTER)</t>
        </is>
      </c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inlineStr">
        <is>
          <t>FA-DE Spice, Garlic Granulated /Gewürz, Knoblauch granuliert</t>
        </is>
      </c>
      <c r="X95" s="151" t="inlineStr">
        <is>
          <t>SPI-00-139353-5</t>
        </is>
      </c>
      <c r="Y95" s="151" t="inlineStr">
        <is>
          <t>0,04</t>
        </is>
      </c>
      <c r="Z95" s="149" t="inlineStr">
        <is>
          <t>0,04</t>
        </is>
      </c>
      <c r="AA95" s="151" t="inlineStr">
        <is>
          <t>grams</t>
        </is>
      </c>
      <c r="AB95" s="151" t="n"/>
      <c r="AC95" s="151" t="n"/>
      <c r="AD95" s="150" t="n">
        <v>1</v>
      </c>
      <c r="AE95" s="149" t="n">
        <v>0.04</v>
      </c>
      <c r="AF95" s="151" t="inlineStr">
        <is>
          <t>grams</t>
        </is>
      </c>
      <c r="AG95" s="151" t="n"/>
      <c r="AH95" s="151" t="n"/>
    </row>
    <row r="96">
      <c r="A96" s="151" t="inlineStr">
        <is>
          <t>FV0035A - Salmon with pesto [BNL]</t>
        </is>
      </c>
      <c r="B96" s="151" t="inlineStr">
        <is>
          <t>REC-013940-4-007</t>
        </is>
      </c>
      <c r="C96" s="151" t="inlineStr">
        <is>
          <t>Compound butter - Sun-Dried Tomato</t>
        </is>
      </c>
      <c r="D96" s="151" t="inlineStr">
        <is>
          <t>SUB-013608-4-001</t>
        </is>
      </c>
      <c r="E96" s="150" t="n">
        <v>14</v>
      </c>
      <c r="F96" s="151" t="inlineStr">
        <is>
          <t>grams</t>
        </is>
      </c>
      <c r="G96" s="151" t="inlineStr">
        <is>
          <t>BLAST CHILLER, PLANETARY MIXER, SCOOPER (BUTTER)</t>
        </is>
      </c>
      <c r="H96" s="151" t="inlineStr">
        <is>
          <t>Roasted Garlic (use)</t>
        </is>
      </c>
      <c r="I96" s="151" t="inlineStr">
        <is>
          <t>SUB-013367-4-001</t>
        </is>
      </c>
      <c r="J96" s="156" t="n">
        <v>1.16</v>
      </c>
      <c r="K96" s="151" t="inlineStr">
        <is>
          <t>grams</t>
        </is>
      </c>
      <c r="L96" s="151" t="inlineStr">
        <is>
          <t>BLAST CHILLER, OVEN</t>
        </is>
      </c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inlineStr">
        <is>
          <t>FA-DE Garlic, Peeled, Whole Cloves [10kg] /Knoblauch, geschält, ganze Nelken [10kg]</t>
        </is>
      </c>
      <c r="X96" s="151" t="inlineStr">
        <is>
          <t>PHF-00-139197-3</t>
        </is>
      </c>
      <c r="Y96" s="153" t="inlineStr">
        <is>
          <t>1,17</t>
        </is>
      </c>
      <c r="Z96" s="149" t="inlineStr">
        <is>
          <t>1,17</t>
        </is>
      </c>
      <c r="AA96" s="151" t="inlineStr">
        <is>
          <t>grams</t>
        </is>
      </c>
      <c r="AB96" s="151" t="n"/>
      <c r="AC96" s="151" t="n"/>
      <c r="AD96" s="150" t="n">
        <v>0.56691</v>
      </c>
      <c r="AE96" s="149" t="n">
        <v>1.17</v>
      </c>
      <c r="AF96" s="151" t="inlineStr">
        <is>
          <t>grams</t>
        </is>
      </c>
      <c r="AG96" s="151" t="n"/>
      <c r="AH96" s="151" t="n"/>
    </row>
    <row r="97">
      <c r="A97" s="151" t="inlineStr">
        <is>
          <t>FV0035A - Salmon with pesto [BNL]</t>
        </is>
      </c>
      <c r="B97" s="151" t="inlineStr">
        <is>
          <t>REC-013940-4-007</t>
        </is>
      </c>
      <c r="C97" s="151" t="inlineStr">
        <is>
          <t>Compound butter - Sun-Dried Tomato</t>
        </is>
      </c>
      <c r="D97" s="151" t="inlineStr">
        <is>
          <t>SUB-013608-4-001</t>
        </is>
      </c>
      <c r="E97" s="150" t="n">
        <v>14</v>
      </c>
      <c r="F97" s="151" t="inlineStr">
        <is>
          <t>grams</t>
        </is>
      </c>
      <c r="G97" s="151" t="inlineStr">
        <is>
          <t>BLAST CHILLER, PLANETARY MIXER, SCOOPER (BUTTER)</t>
        </is>
      </c>
      <c r="H97" s="151" t="inlineStr">
        <is>
          <t>Roasted Garlic (use)</t>
        </is>
      </c>
      <c r="I97" s="151" t="inlineStr">
        <is>
          <t>SUB-013367-4-001</t>
        </is>
      </c>
      <c r="J97" s="156" t="n">
        <v>1.16</v>
      </c>
      <c r="K97" s="151" t="inlineStr">
        <is>
          <t>grams</t>
        </is>
      </c>
      <c r="L97" s="151" t="inlineStr">
        <is>
          <t>BLAST CHILLER, OVEN</t>
        </is>
      </c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inlineStr">
        <is>
          <t>FA-DE Oil, Olive /Öl, Olivenöl</t>
        </is>
      </c>
      <c r="X97" s="151" t="inlineStr">
        <is>
          <t>PRO-00-139277-5</t>
        </is>
      </c>
      <c r="Y97" s="151" t="inlineStr">
        <is>
          <t>0,88</t>
        </is>
      </c>
      <c r="Z97" s="149" t="inlineStr">
        <is>
          <t>0,88</t>
        </is>
      </c>
      <c r="AA97" s="151" t="inlineStr">
        <is>
          <t>grams</t>
        </is>
      </c>
      <c r="AB97" s="151" t="n"/>
      <c r="AC97" s="151" t="n"/>
      <c r="AD97" s="150" t="n">
        <v>0.56691</v>
      </c>
      <c r="AE97" s="149" t="n">
        <v>0.88</v>
      </c>
      <c r="AF97" s="151" t="inlineStr">
        <is>
          <t>grams</t>
        </is>
      </c>
      <c r="AG97" s="151" t="n"/>
      <c r="AH97" s="151" t="n"/>
    </row>
    <row r="98">
      <c r="A98" s="151" t="inlineStr">
        <is>
          <t>FV0035A - Salmon with pesto [BNL]</t>
        </is>
      </c>
      <c r="B98" s="151" t="inlineStr">
        <is>
          <t>REC-013940-4-007</t>
        </is>
      </c>
      <c r="C98" s="151" t="inlineStr">
        <is>
          <t>Compound butter - Sun-Dried Tomato</t>
        </is>
      </c>
      <c r="D98" s="151" t="inlineStr">
        <is>
          <t>SUB-013608-4-001</t>
        </is>
      </c>
      <c r="E98" s="150" t="n">
        <v>14</v>
      </c>
      <c r="F98" s="151" t="inlineStr">
        <is>
          <t>grams</t>
        </is>
      </c>
      <c r="G98" s="151" t="inlineStr">
        <is>
          <t>BLAST CHILLER, PLANETARY MIXER, SCOOPER (BUTTER)</t>
        </is>
      </c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inlineStr">
        <is>
          <t>FA-DE Butter, Unsalted /Butter, ungesalzen</t>
        </is>
      </c>
      <c r="X98" s="151" t="inlineStr">
        <is>
          <t>DAI-00-139146-3</t>
        </is>
      </c>
      <c r="Y98" s="151" t="inlineStr">
        <is>
          <t>9,32</t>
        </is>
      </c>
      <c r="Z98" s="149" t="inlineStr">
        <is>
          <t>9,32</t>
        </is>
      </c>
      <c r="AA98" s="151" t="inlineStr">
        <is>
          <t>grams</t>
        </is>
      </c>
      <c r="AB98" s="151" t="inlineStr">
        <is>
          <t>MILCH (EINSCHLIESSLICH LAKTOSE)</t>
        </is>
      </c>
      <c r="AC98" s="151" t="n"/>
      <c r="AD98" s="150" t="n">
        <v>1</v>
      </c>
      <c r="AE98" s="149" t="n">
        <v>9.32</v>
      </c>
      <c r="AF98" s="151" t="inlineStr">
        <is>
          <t>grams</t>
        </is>
      </c>
      <c r="AG98" s="151" t="n"/>
      <c r="AH98" s="151" t="n"/>
    </row>
    <row r="99">
      <c r="A99" s="151" t="inlineStr">
        <is>
          <t>FV0035A - Salmon with pesto [BNL]</t>
        </is>
      </c>
      <c r="B99" s="151" t="inlineStr">
        <is>
          <t>REC-013940-4-007</t>
        </is>
      </c>
      <c r="C99" s="151" t="inlineStr">
        <is>
          <t>Compound butter - Sun-Dried Tomato</t>
        </is>
      </c>
      <c r="D99" s="151" t="inlineStr">
        <is>
          <t>SUB-013608-4-001</t>
        </is>
      </c>
      <c r="E99" s="150" t="n">
        <v>14</v>
      </c>
      <c r="F99" s="151" t="inlineStr">
        <is>
          <t>grams</t>
        </is>
      </c>
      <c r="G99" s="151" t="inlineStr">
        <is>
          <t>BLAST CHILLER, PLANETARY MIXER, SCOOPER (BUTTER)</t>
        </is>
      </c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inlineStr">
        <is>
          <t>FA-DE Spice, Sea Salt /Gewürze, Meersalz</t>
        </is>
      </c>
      <c r="X99" s="151" t="inlineStr">
        <is>
          <t>SPI-00-139378-5</t>
        </is>
      </c>
      <c r="Y99" s="151" t="inlineStr">
        <is>
          <t>0,19</t>
        </is>
      </c>
      <c r="Z99" s="149" t="inlineStr">
        <is>
          <t>0,19</t>
        </is>
      </c>
      <c r="AA99" s="151" t="inlineStr">
        <is>
          <t>grams</t>
        </is>
      </c>
      <c r="AB99" s="151" t="n"/>
      <c r="AC99" s="151" t="n"/>
      <c r="AD99" s="150" t="n">
        <v>1</v>
      </c>
      <c r="AE99" s="149" t="n">
        <v>0.19</v>
      </c>
      <c r="AF99" s="151" t="inlineStr">
        <is>
          <t>grams</t>
        </is>
      </c>
      <c r="AG99" s="151" t="n"/>
      <c r="AH99" s="151" t="n"/>
    </row>
    <row r="100">
      <c r="A100" s="151" t="inlineStr">
        <is>
          <t>FV0035A - Salmon with pesto [BNL]</t>
        </is>
      </c>
      <c r="B100" s="151" t="inlineStr">
        <is>
          <t>REC-013940-4-007</t>
        </is>
      </c>
      <c r="C100" s="151" t="inlineStr">
        <is>
          <t>Compound butter - Sun-Dried Tomato</t>
        </is>
      </c>
      <c r="D100" s="151" t="inlineStr">
        <is>
          <t>SUB-013608-4-001</t>
        </is>
      </c>
      <c r="E100" s="150" t="n">
        <v>14</v>
      </c>
      <c r="F100" s="151" t="inlineStr">
        <is>
          <t>grams</t>
        </is>
      </c>
      <c r="G100" s="151" t="inlineStr">
        <is>
          <t>BLAST CHILLER, PLANETARY MIXER, SCOOPER (BUTTER)</t>
        </is>
      </c>
      <c r="H100" s="151" t="inlineStr">
        <is>
          <t>Sun-Dried Tomato + Basil Puree</t>
        </is>
      </c>
      <c r="I100" s="151" t="inlineStr">
        <is>
          <t>SUB-029076-4-001</t>
        </is>
      </c>
      <c r="J100" s="150" t="n">
        <v>3.29</v>
      </c>
      <c r="K100" s="151" t="inlineStr">
        <is>
          <t>grams</t>
        </is>
      </c>
      <c r="L100" s="151" t="inlineStr">
        <is>
          <t>BRAISER</t>
        </is>
      </c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inlineStr">
        <is>
          <t>FA-DE Water / Wasser</t>
        </is>
      </c>
      <c r="X100" s="151" t="inlineStr">
        <is>
          <t>OTH-00-144038-5</t>
        </is>
      </c>
      <c r="Y100" s="151" t="inlineStr">
        <is>
          <t>1,74</t>
        </is>
      </c>
      <c r="Z100" s="149" t="inlineStr">
        <is>
          <t>1,74</t>
        </is>
      </c>
      <c r="AA100" s="151" t="inlineStr">
        <is>
          <t>grams</t>
        </is>
      </c>
      <c r="AB100" s="151" t="n"/>
      <c r="AC100" s="151" t="n"/>
      <c r="AD100" s="150" t="n">
        <v>0.90035</v>
      </c>
      <c r="AE100" s="149" t="n">
        <v>1.74</v>
      </c>
      <c r="AF100" s="151" t="inlineStr">
        <is>
          <t>grams</t>
        </is>
      </c>
      <c r="AG100" s="151" t="n"/>
      <c r="AH100" s="151" t="n"/>
    </row>
    <row r="101">
      <c r="A101" s="151" t="inlineStr">
        <is>
          <t>FV0035A - Salmon with pesto [BNL]</t>
        </is>
      </c>
      <c r="B101" s="151" t="inlineStr">
        <is>
          <t>REC-013940-4-007</t>
        </is>
      </c>
      <c r="C101" s="151" t="inlineStr">
        <is>
          <t>Compound butter - Sun-Dried Tomato</t>
        </is>
      </c>
      <c r="D101" s="151" t="inlineStr">
        <is>
          <t>SUB-013608-4-001</t>
        </is>
      </c>
      <c r="E101" s="150" t="n">
        <v>14</v>
      </c>
      <c r="F101" s="151" t="inlineStr">
        <is>
          <t>grams</t>
        </is>
      </c>
      <c r="G101" s="151" t="inlineStr">
        <is>
          <t>BLAST CHILLER, PLANETARY MIXER, SCOOPER (BUTTER)</t>
        </is>
      </c>
      <c r="H101" s="151" t="inlineStr">
        <is>
          <t>Sun-Dried Tomato + Basil Puree</t>
        </is>
      </c>
      <c r="I101" s="151" t="inlineStr">
        <is>
          <t>SUB-029076-4-001</t>
        </is>
      </c>
      <c r="J101" s="150" t="n">
        <v>3.29</v>
      </c>
      <c r="K101" s="151" t="inlineStr">
        <is>
          <t>grams</t>
        </is>
      </c>
      <c r="L101" s="151" t="inlineStr">
        <is>
          <t>BRAISER</t>
        </is>
      </c>
      <c r="M101" s="151" t="inlineStr">
        <is>
          <t>Basil - Picked Basil Leaves</t>
        </is>
      </c>
      <c r="N101" s="151" t="inlineStr">
        <is>
          <t>SUB-013424-4-001</t>
        </is>
      </c>
      <c r="O101" s="150" t="n">
        <v>0.18</v>
      </c>
      <c r="P101" s="151" t="inlineStr">
        <is>
          <t>grams</t>
        </is>
      </c>
      <c r="Q101" s="151" t="inlineStr">
        <is>
          <t>DEBOX, STAGING</t>
        </is>
      </c>
      <c r="R101" s="151" t="n"/>
      <c r="S101" s="151" t="n"/>
      <c r="T101" s="151" t="n"/>
      <c r="U101" s="151" t="n"/>
      <c r="V101" s="151" t="n"/>
      <c r="W101" s="151" t="inlineStr">
        <is>
          <t>FA-DE Basil, Fresh /Basilikum, frisch</t>
        </is>
      </c>
      <c r="X101" s="151" t="inlineStr">
        <is>
          <t>PHF-00-139175-3</t>
        </is>
      </c>
      <c r="Y101" s="151" t="inlineStr">
        <is>
          <t>0,32</t>
        </is>
      </c>
      <c r="Z101" s="149" t="inlineStr">
        <is>
          <t>0,32</t>
        </is>
      </c>
      <c r="AA101" s="151" t="inlineStr">
        <is>
          <t>grams</t>
        </is>
      </c>
      <c r="AB101" s="151" t="n"/>
      <c r="AC101" s="151" t="n"/>
      <c r="AD101" s="150" t="n">
        <v>0.55986</v>
      </c>
      <c r="AE101" s="149" t="n">
        <v>0.32</v>
      </c>
      <c r="AF101" s="151" t="inlineStr">
        <is>
          <t>grams</t>
        </is>
      </c>
      <c r="AG101" s="151" t="n"/>
      <c r="AH101" s="151" t="n"/>
    </row>
    <row r="102">
      <c r="A102" s="151" t="inlineStr">
        <is>
          <t>FV0035A - Salmon with pesto [BNL]</t>
        </is>
      </c>
      <c r="B102" s="151" t="inlineStr">
        <is>
          <t>REC-013940-4-007</t>
        </is>
      </c>
      <c r="C102" s="151" t="inlineStr">
        <is>
          <t>Compound butter - Sun-Dried Tomato</t>
        </is>
      </c>
      <c r="D102" s="151" t="inlineStr">
        <is>
          <t>SUB-013608-4-001</t>
        </is>
      </c>
      <c r="E102" s="150" t="n">
        <v>14</v>
      </c>
      <c r="F102" s="151" t="inlineStr">
        <is>
          <t>grams</t>
        </is>
      </c>
      <c r="G102" s="151" t="inlineStr">
        <is>
          <t>BLAST CHILLER, PLANETARY MIXER, SCOOPER (BUTTER)</t>
        </is>
      </c>
      <c r="H102" s="151" t="inlineStr">
        <is>
          <t>Sun-Dried Tomato + Basil Puree</t>
        </is>
      </c>
      <c r="I102" s="151" t="inlineStr">
        <is>
          <t>SUB-029076-4-001</t>
        </is>
      </c>
      <c r="J102" s="150" t="n">
        <v>3.29</v>
      </c>
      <c r="K102" s="151" t="inlineStr">
        <is>
          <t>grams</t>
        </is>
      </c>
      <c r="L102" s="151" t="inlineStr">
        <is>
          <t>BRAISER</t>
        </is>
      </c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inlineStr">
        <is>
          <t>FA-DE Tomatoes, Sun - Dried Julienned /Tomaten, sonnengetrocknete Julienne</t>
        </is>
      </c>
      <c r="X102" s="151" t="inlineStr">
        <is>
          <t>PRO-00-139296-5</t>
        </is>
      </c>
      <c r="Y102" s="151" t="inlineStr">
        <is>
          <t>1,74</t>
        </is>
      </c>
      <c r="Z102" s="149" t="inlineStr">
        <is>
          <t>1,74</t>
        </is>
      </c>
      <c r="AA102" s="151" t="inlineStr">
        <is>
          <t>grams</t>
        </is>
      </c>
      <c r="AB102" s="151" t="n"/>
      <c r="AC102" s="151" t="n"/>
      <c r="AD102" s="150" t="n">
        <v>0.90035</v>
      </c>
      <c r="AE102" s="149" t="n">
        <v>1.74</v>
      </c>
      <c r="AF102" s="151" t="inlineStr">
        <is>
          <t>grams</t>
        </is>
      </c>
      <c r="AG102" s="151" t="n"/>
      <c r="AH102" s="151" t="n"/>
    </row>
    <row r="103">
      <c r="A103" s="151" t="inlineStr">
        <is>
          <t>FV0035A - Salmon with pesto [DE]</t>
        </is>
      </c>
      <c r="B103" s="151" t="inlineStr">
        <is>
          <t>REC-013940-4-006</t>
        </is>
      </c>
      <c r="C103" s="151" t="inlineStr">
        <is>
          <t>Spinach - Creamed Spinach</t>
        </is>
      </c>
      <c r="D103" s="151" t="inlineStr">
        <is>
          <t>SUB-013867-4-001</t>
        </is>
      </c>
      <c r="E103" s="150" t="n">
        <v>115</v>
      </c>
      <c r="F103" s="151" t="inlineStr">
        <is>
          <t>grams</t>
        </is>
      </c>
      <c r="G103" s="151" t="inlineStr">
        <is>
          <t>BLAST CHILLER, HAND MIX</t>
        </is>
      </c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inlineStr">
        <is>
          <t>FA-DE Spice, Sea Salt /Gewürze, Meersalz</t>
        </is>
      </c>
      <c r="X103" s="151" t="inlineStr">
        <is>
          <t>SPI-00-139378-5</t>
        </is>
      </c>
      <c r="Y103" s="151" t="inlineStr">
        <is>
          <t>0,14</t>
        </is>
      </c>
      <c r="Z103" s="149" t="inlineStr">
        <is>
          <t>0,14</t>
        </is>
      </c>
      <c r="AA103" s="151" t="inlineStr">
        <is>
          <t>grams</t>
        </is>
      </c>
      <c r="AB103" s="151" t="n"/>
      <c r="AC103" s="151" t="n"/>
      <c r="AD103" s="150" t="n">
        <v>0.84</v>
      </c>
      <c r="AE103" s="149" t="n">
        <v>0.14</v>
      </c>
      <c r="AF103" s="151" t="inlineStr">
        <is>
          <t>grams</t>
        </is>
      </c>
      <c r="AG103" s="151" t="n"/>
      <c r="AH103" s="151" t="n"/>
    </row>
    <row r="104">
      <c r="A104" s="151" t="inlineStr">
        <is>
          <t>FV0035A - Salmon with pesto [DE]</t>
        </is>
      </c>
      <c r="B104" s="151" t="inlineStr">
        <is>
          <t>REC-013940-4-006</t>
        </is>
      </c>
      <c r="C104" s="151" t="inlineStr">
        <is>
          <t>Spinach - Creamed Spinach</t>
        </is>
      </c>
      <c r="D104" s="151" t="inlineStr">
        <is>
          <t>SUB-013867-4-001</t>
        </is>
      </c>
      <c r="E104" s="150" t="n">
        <v>115</v>
      </c>
      <c r="F104" s="151" t="inlineStr">
        <is>
          <t>grams</t>
        </is>
      </c>
      <c r="G104" s="151" t="inlineStr">
        <is>
          <t>BLAST CHILLER, HAND MIX</t>
        </is>
      </c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inlineStr">
        <is>
          <t>FA-DE Onion, Spanish, Diced 5mm /Zwiebel, Spanisch, gewürfelt 5 mm</t>
        </is>
      </c>
      <c r="X104" s="151" t="inlineStr">
        <is>
          <t>PHF-00-139212-3</t>
        </is>
      </c>
      <c r="Y104" s="155" t="inlineStr">
        <is>
          <t>12,01</t>
        </is>
      </c>
      <c r="Z104" s="149" t="inlineStr">
        <is>
          <t>12,01</t>
        </is>
      </c>
      <c r="AA104" s="151" t="inlineStr">
        <is>
          <t>grams</t>
        </is>
      </c>
      <c r="AB104" s="151" t="n"/>
      <c r="AC104" s="151" t="n"/>
      <c r="AD104" s="150" t="n">
        <v>0.84</v>
      </c>
      <c r="AE104" s="149" t="n">
        <v>12.01</v>
      </c>
      <c r="AF104" s="151" t="inlineStr">
        <is>
          <t>grams</t>
        </is>
      </c>
      <c r="AG104" s="151" t="n"/>
      <c r="AH104" s="151" t="n"/>
    </row>
    <row r="105">
      <c r="A105" s="151" t="inlineStr">
        <is>
          <t>FV0035A - Salmon with pesto [DE]</t>
        </is>
      </c>
      <c r="B105" s="151" t="inlineStr">
        <is>
          <t>REC-013940-4-006</t>
        </is>
      </c>
      <c r="C105" s="151" t="inlineStr">
        <is>
          <t>Spinach - Creamed Spinach</t>
        </is>
      </c>
      <c r="D105" s="151" t="inlineStr">
        <is>
          <t>SUB-013867-4-001</t>
        </is>
      </c>
      <c r="E105" s="150" t="n">
        <v>115</v>
      </c>
      <c r="F105" s="151" t="inlineStr">
        <is>
          <t>grams</t>
        </is>
      </c>
      <c r="G105" s="151" t="inlineStr">
        <is>
          <t>BLAST CHILLER, HAND MIX</t>
        </is>
      </c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inlineStr">
        <is>
          <t>FA-DE Cheese, Parmesan, Grated /Käse, Parmesan, gerieben</t>
        </is>
      </c>
      <c r="X105" s="151" t="inlineStr">
        <is>
          <t>DAI-00-139127-3</t>
        </is>
      </c>
      <c r="Y105" s="154" t="inlineStr">
        <is>
          <t>9,01</t>
        </is>
      </c>
      <c r="Z105" s="149" t="inlineStr">
        <is>
          <t>9,01</t>
        </is>
      </c>
      <c r="AA105" s="151" t="inlineStr">
        <is>
          <t>grams</t>
        </is>
      </c>
      <c r="AB105" s="151" t="inlineStr">
        <is>
          <t>MILCH (EINSCHLIESSLICH LAKTOSE)</t>
        </is>
      </c>
      <c r="AC105" s="151" t="n"/>
      <c r="AD105" s="150" t="n">
        <v>0.84</v>
      </c>
      <c r="AE105" s="149" t="n">
        <v>9.01</v>
      </c>
      <c r="AF105" s="151" t="inlineStr">
        <is>
          <t>grams</t>
        </is>
      </c>
      <c r="AG105" s="151" t="n"/>
      <c r="AH105" s="151" t="n"/>
    </row>
    <row r="106">
      <c r="A106" s="151" t="inlineStr">
        <is>
          <t>FV0035A - Salmon with pesto [DE]</t>
        </is>
      </c>
      <c r="B106" s="151" t="inlineStr">
        <is>
          <t>REC-013940-4-006</t>
        </is>
      </c>
      <c r="C106" s="151" t="inlineStr">
        <is>
          <t>Spinach - Creamed Spinach</t>
        </is>
      </c>
      <c r="D106" s="151" t="inlineStr">
        <is>
          <t>SUB-013867-4-001</t>
        </is>
      </c>
      <c r="E106" s="150" t="n">
        <v>115</v>
      </c>
      <c r="F106" s="151" t="inlineStr">
        <is>
          <t>grams</t>
        </is>
      </c>
      <c r="G106" s="151" t="inlineStr">
        <is>
          <t>BLAST CHILLER, HAND MIX</t>
        </is>
      </c>
      <c r="H106" s="151" t="inlineStr">
        <is>
          <t>Thawed &amp; Squeezed Frozen Spinach</t>
        </is>
      </c>
      <c r="I106" s="151" t="inlineStr">
        <is>
          <t>SUB-013405-4-001</t>
        </is>
      </c>
      <c r="J106" s="150" t="n">
        <v>71.01000000000001</v>
      </c>
      <c r="K106" s="151" t="inlineStr">
        <is>
          <t>grams</t>
        </is>
      </c>
      <c r="L106" s="151" t="inlineStr">
        <is>
          <t>BLAST CHILLER, HAND MIX, OVEN</t>
        </is>
      </c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inlineStr">
        <is>
          <t>FA-DE Spinach, Frozen Leaf/Spinat, gefrorener Blattspinat</t>
        </is>
      </c>
      <c r="X106" s="151" t="inlineStr">
        <is>
          <t>PHF-00-139242-1</t>
        </is>
      </c>
      <c r="Y106" s="151" t="inlineStr">
        <is>
          <t>88,66</t>
        </is>
      </c>
      <c r="Z106" s="149" t="inlineStr">
        <is>
          <t>88,66</t>
        </is>
      </c>
      <c r="AA106" s="151" t="inlineStr">
        <is>
          <t>grams</t>
        </is>
      </c>
      <c r="AB106" s="151" t="n"/>
      <c r="AC106" s="151" t="n"/>
      <c r="AD106" s="150" t="n">
        <v>0.80087</v>
      </c>
      <c r="AE106" s="149" t="n">
        <v>88.66</v>
      </c>
      <c r="AF106" s="151" t="inlineStr">
        <is>
          <t>grams</t>
        </is>
      </c>
      <c r="AG106" s="151" t="n"/>
      <c r="AH106" s="151" t="n"/>
    </row>
    <row r="107">
      <c r="A107" s="151" t="inlineStr">
        <is>
          <t>FV0035A - Salmon with pesto [DE]</t>
        </is>
      </c>
      <c r="B107" s="151" t="inlineStr">
        <is>
          <t>REC-013940-4-006</t>
        </is>
      </c>
      <c r="C107" s="151" t="inlineStr">
        <is>
          <t>Spinach - Creamed Spinach</t>
        </is>
      </c>
      <c r="D107" s="151" t="inlineStr">
        <is>
          <t>SUB-013867-4-001</t>
        </is>
      </c>
      <c r="E107" s="150" t="n">
        <v>115</v>
      </c>
      <c r="F107" s="151" t="inlineStr">
        <is>
          <t>grams</t>
        </is>
      </c>
      <c r="G107" s="151" t="inlineStr">
        <is>
          <t>BLAST CHILLER, HAND MIX</t>
        </is>
      </c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inlineStr">
        <is>
          <t>FA-DE Oil, Olive /Öl, Olivenöl</t>
        </is>
      </c>
      <c r="X107" s="151" t="inlineStr">
        <is>
          <t>PRO-00-139277-5</t>
        </is>
      </c>
      <c r="Y107" s="154" t="inlineStr">
        <is>
          <t>3,01</t>
        </is>
      </c>
      <c r="Z107" s="149" t="inlineStr">
        <is>
          <t>3,01</t>
        </is>
      </c>
      <c r="AA107" s="151" t="inlineStr">
        <is>
          <t>grams</t>
        </is>
      </c>
      <c r="AB107" s="151" t="n"/>
      <c r="AC107" s="151" t="n"/>
      <c r="AD107" s="150" t="n">
        <v>0.84</v>
      </c>
      <c r="AE107" s="149" t="n">
        <v>3.01</v>
      </c>
      <c r="AF107" s="151" t="inlineStr">
        <is>
          <t>grams</t>
        </is>
      </c>
      <c r="AG107" s="151" t="n"/>
      <c r="AH107" s="151" t="n"/>
    </row>
    <row r="108">
      <c r="A108" s="151" t="inlineStr">
        <is>
          <t>FV0035A - Salmon with pesto [DE]</t>
        </is>
      </c>
      <c r="B108" s="151" t="inlineStr">
        <is>
          <t>REC-013940-4-006</t>
        </is>
      </c>
      <c r="C108" s="151" t="inlineStr">
        <is>
          <t>Spinach - Creamed Spinach</t>
        </is>
      </c>
      <c r="D108" s="151" t="inlineStr">
        <is>
          <t>SUB-013867-4-001</t>
        </is>
      </c>
      <c r="E108" s="150" t="n">
        <v>115</v>
      </c>
      <c r="F108" s="151" t="inlineStr">
        <is>
          <t>grams</t>
        </is>
      </c>
      <c r="G108" s="151" t="inlineStr">
        <is>
          <t>BLAST CHILLER, HAND MIX</t>
        </is>
      </c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inlineStr">
        <is>
          <t>FA-DE Cheese, Cream, 13% Fat (Milk) /Käse, Sahne, 13% Fett</t>
        </is>
      </c>
      <c r="X108" s="151" t="inlineStr">
        <is>
          <t>DAI-00-139122-3</t>
        </is>
      </c>
      <c r="Y108" s="151" t="inlineStr">
        <is>
          <t>38,73</t>
        </is>
      </c>
      <c r="Z108" s="149" t="inlineStr">
        <is>
          <t>38,73</t>
        </is>
      </c>
      <c r="AA108" s="151" t="inlineStr">
        <is>
          <t>grams</t>
        </is>
      </c>
      <c r="AB108" s="151" t="inlineStr">
        <is>
          <t>MILCH (EINSCHLIESSLICH LAKTOSE)</t>
        </is>
      </c>
      <c r="AC108" s="151" t="n"/>
      <c r="AD108" s="150" t="n">
        <v>0.84</v>
      </c>
      <c r="AE108" s="149" t="n">
        <v>38.73</v>
      </c>
      <c r="AF108" s="151" t="inlineStr">
        <is>
          <t>grams</t>
        </is>
      </c>
      <c r="AG108" s="151" t="n"/>
      <c r="AH108" s="151" t="n"/>
    </row>
    <row r="109">
      <c r="A109" s="151" t="inlineStr">
        <is>
          <t>FV0035A - Salmon with pesto [DE]</t>
        </is>
      </c>
      <c r="B109" s="151" t="inlineStr">
        <is>
          <t>REC-013940-4-006</t>
        </is>
      </c>
      <c r="C109" s="151" t="inlineStr">
        <is>
          <t>Spinach - Creamed Spinach</t>
        </is>
      </c>
      <c r="D109" s="151" t="inlineStr">
        <is>
          <t>SUB-013867-4-001</t>
        </is>
      </c>
      <c r="E109" s="150" t="n">
        <v>115</v>
      </c>
      <c r="F109" s="151" t="inlineStr">
        <is>
          <t>grams</t>
        </is>
      </c>
      <c r="G109" s="151" t="inlineStr">
        <is>
          <t>BLAST CHILLER, HAND MIX</t>
        </is>
      </c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inlineStr">
        <is>
          <t>FA-DE Garlic, IQF, Diced 4 mm /Knoblauch, IQF, gewürfelt 4 mm</t>
        </is>
      </c>
      <c r="X109" s="151" t="inlineStr">
        <is>
          <t>PHF-00-139237-1</t>
        </is>
      </c>
      <c r="Y109" s="154" t="inlineStr">
        <is>
          <t>3,01</t>
        </is>
      </c>
      <c r="Z109" s="149" t="inlineStr">
        <is>
          <t>3,01</t>
        </is>
      </c>
      <c r="AA109" s="151" t="inlineStr">
        <is>
          <t>grams</t>
        </is>
      </c>
      <c r="AB109" s="151" t="inlineStr">
        <is>
          <t>SCHWEFELDIOXIDE UND SULFITE</t>
        </is>
      </c>
      <c r="AC109" s="151" t="n"/>
      <c r="AD109" s="150" t="n">
        <v>0.84</v>
      </c>
      <c r="AE109" s="149" t="n">
        <v>3.01</v>
      </c>
      <c r="AF109" s="151" t="inlineStr">
        <is>
          <t>grams</t>
        </is>
      </c>
      <c r="AG109" s="151" t="n"/>
      <c r="AH109" s="151" t="n"/>
    </row>
    <row r="110">
      <c r="A110" s="151" t="inlineStr">
        <is>
          <t>FV0035A - Salmon with pesto [DE]</t>
        </is>
      </c>
      <c r="B110" s="151" t="inlineStr">
        <is>
          <t>REC-013940-4-006</t>
        </is>
      </c>
      <c r="C110" s="151" t="inlineStr">
        <is>
          <t>Salmon - garlic seasoning</t>
        </is>
      </c>
      <c r="D110" s="151" t="inlineStr">
        <is>
          <t>SUB-013382-4-001</t>
        </is>
      </c>
      <c r="E110" s="150" t="n">
        <v>1</v>
      </c>
      <c r="F110" s="151" t="inlineStr">
        <is>
          <t>each</t>
        </is>
      </c>
      <c r="G110" s="151" t="inlineStr">
        <is>
          <t>BLAST CHILLER, HAND MARINADE, OVEN, THAW</t>
        </is>
      </c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inlineStr">
        <is>
          <t>FA-DE Salmon, Skinless, Boneless, Filet/Lachs, ohne Haut, ohne Knochen, Filet - IQF</t>
        </is>
      </c>
      <c r="X110" s="151" t="inlineStr">
        <is>
          <t>PTN-00-139968-1</t>
        </is>
      </c>
      <c r="Y110" s="150" t="n">
        <v>140</v>
      </c>
      <c r="Z110" s="152" t="n">
        <v>140</v>
      </c>
      <c r="AA110" s="151" t="inlineStr">
        <is>
          <t>grams</t>
        </is>
      </c>
      <c r="AB110" s="151" t="inlineStr">
        <is>
          <t>FISCH</t>
        </is>
      </c>
      <c r="AC110" s="151" t="n"/>
      <c r="AD110" s="150" t="n">
        <v>0.81816</v>
      </c>
      <c r="AE110" s="152" t="n">
        <v>140</v>
      </c>
      <c r="AF110" s="151" t="inlineStr">
        <is>
          <t>grams</t>
        </is>
      </c>
      <c r="AG110" s="151" t="n"/>
      <c r="AH110" s="151" t="n"/>
    </row>
    <row r="111">
      <c r="A111" s="151" t="inlineStr">
        <is>
          <t>FV0035A - Salmon with pesto [DE]</t>
        </is>
      </c>
      <c r="B111" s="151" t="inlineStr">
        <is>
          <t>REC-013940-4-006</t>
        </is>
      </c>
      <c r="C111" s="151" t="inlineStr">
        <is>
          <t>Salmon - garlic seasoning</t>
        </is>
      </c>
      <c r="D111" s="151" t="inlineStr">
        <is>
          <t>SUB-013382-4-001</t>
        </is>
      </c>
      <c r="E111" s="150" t="n">
        <v>1</v>
      </c>
      <c r="F111" s="151" t="inlineStr">
        <is>
          <t>each</t>
        </is>
      </c>
      <c r="G111" s="151" t="inlineStr">
        <is>
          <t>BLAST CHILLER, HAND MARINADE, OVEN, THAW</t>
        </is>
      </c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inlineStr">
        <is>
          <t>FA-DE Spice, Sea Salt /Gewürze, Meersalz</t>
        </is>
      </c>
      <c r="X111" s="151" t="inlineStr">
        <is>
          <t>SPI-00-139378-5</t>
        </is>
      </c>
      <c r="Y111" s="151" t="inlineStr">
        <is>
          <t>0,42</t>
        </is>
      </c>
      <c r="Z111" s="149" t="inlineStr">
        <is>
          <t>0,42</t>
        </is>
      </c>
      <c r="AA111" s="151" t="inlineStr">
        <is>
          <t>grams</t>
        </is>
      </c>
      <c r="AB111" s="151" t="n"/>
      <c r="AC111" s="151" t="n"/>
      <c r="AD111" s="150" t="n">
        <v>0.81816</v>
      </c>
      <c r="AE111" s="149" t="n">
        <v>0.42</v>
      </c>
      <c r="AF111" s="151" t="inlineStr">
        <is>
          <t>grams</t>
        </is>
      </c>
      <c r="AG111" s="151" t="n"/>
      <c r="AH111" s="151" t="n"/>
    </row>
    <row r="112">
      <c r="A112" s="151" t="inlineStr">
        <is>
          <t>FV0035A - Salmon with pesto [DE]</t>
        </is>
      </c>
      <c r="B112" s="151" t="inlineStr">
        <is>
          <t>REC-013940-4-006</t>
        </is>
      </c>
      <c r="C112" s="151" t="inlineStr">
        <is>
          <t>Salmon - garlic seasoning</t>
        </is>
      </c>
      <c r="D112" s="151" t="inlineStr">
        <is>
          <t>SUB-013382-4-001</t>
        </is>
      </c>
      <c r="E112" s="150" t="n">
        <v>1</v>
      </c>
      <c r="F112" s="151" t="inlineStr">
        <is>
          <t>each</t>
        </is>
      </c>
      <c r="G112" s="151" t="inlineStr">
        <is>
          <t>BLAST CHILLER, HAND MARINADE, OVEN, THAW</t>
        </is>
      </c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inlineStr">
        <is>
          <t>FA-DE Spice, Garlic Granulated /Gewürz, Knoblauch granuliert</t>
        </is>
      </c>
      <c r="X112" s="151" t="inlineStr">
        <is>
          <t>SPI-00-139353-5</t>
        </is>
      </c>
      <c r="Y112" s="151" t="inlineStr">
        <is>
          <t>0,14</t>
        </is>
      </c>
      <c r="Z112" s="149" t="inlineStr">
        <is>
          <t>0,14</t>
        </is>
      </c>
      <c r="AA112" s="151" t="inlineStr">
        <is>
          <t>grams</t>
        </is>
      </c>
      <c r="AB112" s="151" t="n"/>
      <c r="AC112" s="151" t="n"/>
      <c r="AD112" s="150" t="n">
        <v>0.81816</v>
      </c>
      <c r="AE112" s="149" t="n">
        <v>0.14</v>
      </c>
      <c r="AF112" s="151" t="inlineStr">
        <is>
          <t>grams</t>
        </is>
      </c>
      <c r="AG112" s="151" t="n"/>
      <c r="AH112" s="151" t="n"/>
    </row>
    <row r="113">
      <c r="A113" s="151" t="inlineStr">
        <is>
          <t>FV0035A - Salmon with pesto [DE]</t>
        </is>
      </c>
      <c r="B113" s="151" t="inlineStr">
        <is>
          <t>REC-013940-4-006</t>
        </is>
      </c>
      <c r="C113" s="151" t="inlineStr">
        <is>
          <t>Sauce - Pesto</t>
        </is>
      </c>
      <c r="D113" s="151" t="inlineStr">
        <is>
          <t>SUB-013665-4-001</t>
        </is>
      </c>
      <c r="E113" s="150" t="n">
        <v>30</v>
      </c>
      <c r="F113" s="151" t="inlineStr">
        <is>
          <t>grams</t>
        </is>
      </c>
      <c r="G113" s="151" t="inlineStr">
        <is>
          <t>BLAST CHILLER, IMMERSION BLENDER</t>
        </is>
      </c>
      <c r="H113" s="151" t="inlineStr">
        <is>
          <t>Toasted Sliced Almonds</t>
        </is>
      </c>
      <c r="I113" s="151" t="inlineStr">
        <is>
          <t>SUB-013495-4-001</t>
        </is>
      </c>
      <c r="J113" s="150" t="n">
        <v>2.91</v>
      </c>
      <c r="K113" s="151" t="inlineStr">
        <is>
          <t>grams</t>
        </is>
      </c>
      <c r="L113" s="151" t="inlineStr">
        <is>
          <t>BLAST CHILLER, HAND MARINADE, OVEN</t>
        </is>
      </c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inlineStr">
        <is>
          <t>FA-DE Almond, Sliced, Blanched /Mandeln, geschnitten, blanchiert</t>
        </is>
      </c>
      <c r="X113" s="151" t="inlineStr">
        <is>
          <t>SPI-00-139147-5</t>
        </is>
      </c>
      <c r="Y113" s="151" t="inlineStr">
        <is>
          <t>3,03</t>
        </is>
      </c>
      <c r="Z113" s="149" t="inlineStr">
        <is>
          <t>3,03</t>
        </is>
      </c>
      <c r="AA113" s="151" t="inlineStr">
        <is>
          <t>grams</t>
        </is>
      </c>
      <c r="AB113" s="151" t="inlineStr">
        <is>
          <t>MANDELN, SCHALENFRÜCHTE</t>
        </is>
      </c>
      <c r="AC113" s="151" t="n"/>
      <c r="AD113" s="150" t="n">
        <v>0.96089</v>
      </c>
      <c r="AE113" s="149" t="n">
        <v>3.03</v>
      </c>
      <c r="AF113" s="151" t="inlineStr">
        <is>
          <t>grams</t>
        </is>
      </c>
      <c r="AG113" s="151" t="n"/>
      <c r="AH113" s="151" t="n"/>
    </row>
    <row r="114">
      <c r="A114" s="151" t="inlineStr">
        <is>
          <t>FV0035A - Salmon with pesto [DE]</t>
        </is>
      </c>
      <c r="B114" s="151" t="inlineStr">
        <is>
          <t>REC-013940-4-006</t>
        </is>
      </c>
      <c r="C114" s="151" t="inlineStr">
        <is>
          <t>Sauce - Pesto</t>
        </is>
      </c>
      <c r="D114" s="151" t="inlineStr">
        <is>
          <t>SUB-013665-4-001</t>
        </is>
      </c>
      <c r="E114" s="150" t="n">
        <v>30</v>
      </c>
      <c r="F114" s="151" t="inlineStr">
        <is>
          <t>grams</t>
        </is>
      </c>
      <c r="G114" s="151" t="inlineStr">
        <is>
          <t>BLAST CHILLER, IMMERSION BLENDER</t>
        </is>
      </c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inlineStr">
        <is>
          <t>FA-DE Cheese, Parmesan, Grated /Käse, Parmesan, gerieben</t>
        </is>
      </c>
      <c r="X114" s="151" t="inlineStr">
        <is>
          <t>DAI-00-139127-3</t>
        </is>
      </c>
      <c r="Y114" s="151" t="inlineStr">
        <is>
          <t>3,72</t>
        </is>
      </c>
      <c r="Z114" s="149" t="inlineStr">
        <is>
          <t>3,72</t>
        </is>
      </c>
      <c r="AA114" s="151" t="inlineStr">
        <is>
          <t>grams</t>
        </is>
      </c>
      <c r="AB114" s="151" t="inlineStr">
        <is>
          <t>MILCH (EINSCHLIESSLICH LAKTOSE)</t>
        </is>
      </c>
      <c r="AC114" s="151" t="n"/>
      <c r="AD114" s="150" t="n">
        <v>0.95726</v>
      </c>
      <c r="AE114" s="149" t="n">
        <v>3.72</v>
      </c>
      <c r="AF114" s="151" t="inlineStr">
        <is>
          <t>grams</t>
        </is>
      </c>
      <c r="AG114" s="151" t="n"/>
      <c r="AH114" s="151" t="n"/>
    </row>
    <row r="115">
      <c r="A115" s="151" t="inlineStr">
        <is>
          <t>FV0035A - Salmon with pesto [DE]</t>
        </is>
      </c>
      <c r="B115" s="151" t="inlineStr">
        <is>
          <t>REC-013940-4-006</t>
        </is>
      </c>
      <c r="C115" s="151" t="inlineStr">
        <is>
          <t>Sauce - Pesto</t>
        </is>
      </c>
      <c r="D115" s="151" t="inlineStr">
        <is>
          <t>SUB-013665-4-001</t>
        </is>
      </c>
      <c r="E115" s="150" t="n">
        <v>30</v>
      </c>
      <c r="F115" s="151" t="inlineStr">
        <is>
          <t>grams</t>
        </is>
      </c>
      <c r="G115" s="151" t="inlineStr">
        <is>
          <t>BLAST CHILLER, IMMERSION BLENDER</t>
        </is>
      </c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inlineStr">
        <is>
          <t>FA-DE Spice, Sea Salt /Gewürze, Meersalz</t>
        </is>
      </c>
      <c r="X115" s="151" t="inlineStr">
        <is>
          <t>SPI-00-139378-5</t>
        </is>
      </c>
      <c r="Y115" s="151" t="inlineStr">
        <is>
          <t>0,15</t>
        </is>
      </c>
      <c r="Z115" s="149" t="inlineStr">
        <is>
          <t>0,15</t>
        </is>
      </c>
      <c r="AA115" s="151" t="inlineStr">
        <is>
          <t>grams</t>
        </is>
      </c>
      <c r="AB115" s="151" t="n"/>
      <c r="AC115" s="151" t="n"/>
      <c r="AD115" s="150" t="n">
        <v>0.95726</v>
      </c>
      <c r="AE115" s="149" t="n">
        <v>0.15</v>
      </c>
      <c r="AF115" s="151" t="inlineStr">
        <is>
          <t>grams</t>
        </is>
      </c>
      <c r="AG115" s="151" t="n"/>
      <c r="AH115" s="151" t="n"/>
    </row>
    <row r="116">
      <c r="A116" s="151" t="inlineStr">
        <is>
          <t>FV0035A - Salmon with pesto [DE]</t>
        </is>
      </c>
      <c r="B116" s="151" t="inlineStr">
        <is>
          <t>REC-013940-4-006</t>
        </is>
      </c>
      <c r="C116" s="151" t="inlineStr">
        <is>
          <t>Sauce - Pesto</t>
        </is>
      </c>
      <c r="D116" s="151" t="inlineStr">
        <is>
          <t>SUB-013665-4-001</t>
        </is>
      </c>
      <c r="E116" s="150" t="n">
        <v>30</v>
      </c>
      <c r="F116" s="151" t="inlineStr">
        <is>
          <t>grams</t>
        </is>
      </c>
      <c r="G116" s="151" t="inlineStr">
        <is>
          <t>BLAST CHILLER, IMMERSION BLENDER</t>
        </is>
      </c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inlineStr">
        <is>
          <t>FA-DE Oil, Olive /Öl, Olivenöl</t>
        </is>
      </c>
      <c r="X116" s="151" t="inlineStr">
        <is>
          <t>PRO-00-139277-5</t>
        </is>
      </c>
      <c r="Y116" s="151" t="inlineStr">
        <is>
          <t>17,24</t>
        </is>
      </c>
      <c r="Z116" s="149" t="inlineStr">
        <is>
          <t>17,24</t>
        </is>
      </c>
      <c r="AA116" s="151" t="inlineStr">
        <is>
          <t>grams</t>
        </is>
      </c>
      <c r="AB116" s="151" t="n"/>
      <c r="AC116" s="151" t="n"/>
      <c r="AD116" s="150" t="n">
        <v>0.95726</v>
      </c>
      <c r="AE116" s="149" t="n">
        <v>17.24</v>
      </c>
      <c r="AF116" s="151" t="inlineStr">
        <is>
          <t>grams</t>
        </is>
      </c>
      <c r="AG116" s="151" t="n"/>
      <c r="AH116" s="151" t="n"/>
    </row>
    <row r="117">
      <c r="A117" s="151" t="inlineStr">
        <is>
          <t>FV0035A - Salmon with pesto [DE]</t>
        </is>
      </c>
      <c r="B117" s="151" t="inlineStr">
        <is>
          <t>REC-013940-4-006</t>
        </is>
      </c>
      <c r="C117" s="151" t="inlineStr">
        <is>
          <t>Sauce - Pesto</t>
        </is>
      </c>
      <c r="D117" s="151" t="inlineStr">
        <is>
          <t>SUB-013665-4-001</t>
        </is>
      </c>
      <c r="E117" s="150" t="n">
        <v>30</v>
      </c>
      <c r="F117" s="151" t="inlineStr">
        <is>
          <t>grams</t>
        </is>
      </c>
      <c r="G117" s="151" t="inlineStr">
        <is>
          <t>BLAST CHILLER, IMMERSION BLENDER</t>
        </is>
      </c>
      <c r="H117" s="151" t="inlineStr">
        <is>
          <t>Basil Kill Step</t>
        </is>
      </c>
      <c r="I117" s="151" t="inlineStr">
        <is>
          <t>SUB-024331-4-001</t>
        </is>
      </c>
      <c r="J117" s="150" t="n">
        <v>3.55</v>
      </c>
      <c r="K117" s="151" t="inlineStr">
        <is>
          <t>grams</t>
        </is>
      </c>
      <c r="L117" s="151" t="inlineStr">
        <is>
          <t>BLAST CHILLER, OVEN</t>
        </is>
      </c>
      <c r="M117" s="151" t="inlineStr">
        <is>
          <t>Basil - Picked Basil Leaves</t>
        </is>
      </c>
      <c r="N117" s="151" t="inlineStr">
        <is>
          <t>SUB-013424-4-001</t>
        </is>
      </c>
      <c r="O117" s="150" t="n">
        <v>3.94</v>
      </c>
      <c r="P117" s="151" t="inlineStr">
        <is>
          <t>grams</t>
        </is>
      </c>
      <c r="Q117" s="151" t="inlineStr">
        <is>
          <t>DEBOX, STAGING</t>
        </is>
      </c>
      <c r="R117" s="151" t="n"/>
      <c r="S117" s="151" t="n"/>
      <c r="T117" s="151" t="n"/>
      <c r="U117" s="151" t="n"/>
      <c r="V117" s="151" t="n"/>
      <c r="W117" s="151" t="inlineStr">
        <is>
          <t>FA-DE Basil, Fresh /Basilikum, frisch</t>
        </is>
      </c>
      <c r="X117" s="151" t="inlineStr">
        <is>
          <t>PHF-00-139175-3</t>
        </is>
      </c>
      <c r="Y117" s="154" t="inlineStr">
        <is>
          <t>7,04</t>
        </is>
      </c>
      <c r="Z117" s="149" t="inlineStr">
        <is>
          <t>7,04</t>
        </is>
      </c>
      <c r="AA117" s="151" t="inlineStr">
        <is>
          <t>grams</t>
        </is>
      </c>
      <c r="AB117" s="151" t="n"/>
      <c r="AC117" s="151" t="n"/>
      <c r="AD117" s="150" t="n">
        <v>0.55986</v>
      </c>
      <c r="AE117" s="149" t="n">
        <v>7.04</v>
      </c>
      <c r="AF117" s="151" t="inlineStr">
        <is>
          <t>grams</t>
        </is>
      </c>
      <c r="AG117" s="151" t="n"/>
      <c r="AH117" s="151" t="n"/>
    </row>
    <row r="118">
      <c r="A118" s="151" t="inlineStr">
        <is>
          <t>FV0035A - Salmon with pesto [DE]</t>
        </is>
      </c>
      <c r="B118" s="151" t="inlineStr">
        <is>
          <t>REC-013940-4-006</t>
        </is>
      </c>
      <c r="C118" s="151" t="inlineStr">
        <is>
          <t>Sauce - Pesto</t>
        </is>
      </c>
      <c r="D118" s="151" t="inlineStr">
        <is>
          <t>SUB-013665-4-001</t>
        </is>
      </c>
      <c r="E118" s="150" t="n">
        <v>30</v>
      </c>
      <c r="F118" s="151" t="inlineStr">
        <is>
          <t>grams</t>
        </is>
      </c>
      <c r="G118" s="151" t="inlineStr">
        <is>
          <t>BLAST CHILLER, IMMERSION BLENDER</t>
        </is>
      </c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inlineStr">
        <is>
          <t>FA-DE Spice, Garlic Granulated /Gewürz, Knoblauch granuliert</t>
        </is>
      </c>
      <c r="X118" s="151" t="inlineStr">
        <is>
          <t>SPI-00-139353-5</t>
        </is>
      </c>
      <c r="Y118" s="151" t="inlineStr">
        <is>
          <t>0,15</t>
        </is>
      </c>
      <c r="Z118" s="149" t="inlineStr">
        <is>
          <t>0,15</t>
        </is>
      </c>
      <c r="AA118" s="151" t="inlineStr">
        <is>
          <t>grams</t>
        </is>
      </c>
      <c r="AB118" s="151" t="n"/>
      <c r="AC118" s="151" t="n"/>
      <c r="AD118" s="150" t="n">
        <v>0.95726</v>
      </c>
      <c r="AE118" s="149" t="n">
        <v>0.15</v>
      </c>
      <c r="AF118" s="151" t="inlineStr">
        <is>
          <t>grams</t>
        </is>
      </c>
      <c r="AG118" s="151" t="n"/>
      <c r="AH118" s="151" t="n"/>
    </row>
    <row r="119">
      <c r="A119" s="151" t="inlineStr">
        <is>
          <t>FV0035A - Salmon with pesto [DE]</t>
        </is>
      </c>
      <c r="B119" s="151" t="inlineStr">
        <is>
          <t>REC-013940-4-006</t>
        </is>
      </c>
      <c r="C119" s="151" t="inlineStr">
        <is>
          <t>Sauce - Pesto</t>
        </is>
      </c>
      <c r="D119" s="151" t="inlineStr">
        <is>
          <t>SUB-013665-4-001</t>
        </is>
      </c>
      <c r="E119" s="150" t="n">
        <v>30</v>
      </c>
      <c r="F119" s="151" t="inlineStr">
        <is>
          <t>grams</t>
        </is>
      </c>
      <c r="G119" s="151" t="inlineStr">
        <is>
          <t>BLAST CHILLER, IMMERSION BLENDER</t>
        </is>
      </c>
      <c r="H119" s="151" t="inlineStr">
        <is>
          <t>Fresh Spinach Kill Step</t>
        </is>
      </c>
      <c r="I119" s="151" t="inlineStr">
        <is>
          <t>SUB-024333-4-001</t>
        </is>
      </c>
      <c r="J119" s="150" t="n">
        <v>3.63</v>
      </c>
      <c r="K119" s="151" t="inlineStr">
        <is>
          <t>grams</t>
        </is>
      </c>
      <c r="L119" s="151" t="inlineStr">
        <is>
          <t>BLAST CHILLER, OVEN</t>
        </is>
      </c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inlineStr">
        <is>
          <t>FA-DE Spinach, Fresh, Stem Off /Spinat, frisch, ohne Stiel</t>
        </is>
      </c>
      <c r="X119" s="151" t="inlineStr">
        <is>
          <t>PHF-00-139225-3</t>
        </is>
      </c>
      <c r="Y119" s="151" t="inlineStr">
        <is>
          <t>4,03</t>
        </is>
      </c>
      <c r="Z119" s="149" t="inlineStr">
        <is>
          <t>4,03</t>
        </is>
      </c>
      <c r="AA119" s="151" t="inlineStr">
        <is>
          <t>grams</t>
        </is>
      </c>
      <c r="AB119" s="151" t="n"/>
      <c r="AC119" s="151" t="n"/>
      <c r="AD119" s="150" t="n">
        <v>0.9</v>
      </c>
      <c r="AE119" s="149" t="n">
        <v>4.03</v>
      </c>
      <c r="AF119" s="151" t="inlineStr">
        <is>
          <t>grams</t>
        </is>
      </c>
      <c r="AG119" s="151" t="n"/>
      <c r="AH119" s="151" t="n"/>
    </row>
    <row r="120">
      <c r="A120" s="151" t="inlineStr">
        <is>
          <t>FV0035A - Salmon with pesto [DE]</t>
        </is>
      </c>
      <c r="B120" s="151" t="inlineStr">
        <is>
          <t>REC-013940-4-006</t>
        </is>
      </c>
      <c r="C120" s="151" t="inlineStr">
        <is>
          <t>S&amp;P Roasted Green Beans 1</t>
        </is>
      </c>
      <c r="D120" s="151" t="inlineStr">
        <is>
          <t>SUB-014184-4-001</t>
        </is>
      </c>
      <c r="E120" s="150" t="n">
        <v>90</v>
      </c>
      <c r="F120" s="151" t="inlineStr">
        <is>
          <t>grams</t>
        </is>
      </c>
      <c r="G120" s="151" t="inlineStr">
        <is>
          <t>BLAST CHILLER, OVEN</t>
        </is>
      </c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inlineStr">
        <is>
          <t>FA-DE Oil, Olive /Öl, Olivenöl</t>
        </is>
      </c>
      <c r="X120" s="151" t="inlineStr">
        <is>
          <t>PRO-00-139277-5</t>
        </is>
      </c>
      <c r="Y120" s="151" t="inlineStr">
        <is>
          <t>7,62</t>
        </is>
      </c>
      <c r="Z120" s="149" t="inlineStr">
        <is>
          <t>7,62</t>
        </is>
      </c>
      <c r="AA120" s="151" t="inlineStr">
        <is>
          <t>grams</t>
        </is>
      </c>
      <c r="AB120" s="151" t="n"/>
      <c r="AC120" s="151" t="n"/>
      <c r="AD120" s="150" t="n">
        <v>0.74605</v>
      </c>
      <c r="AE120" s="149" t="n">
        <v>7.62</v>
      </c>
      <c r="AF120" s="151" t="inlineStr">
        <is>
          <t>grams</t>
        </is>
      </c>
      <c r="AG120" s="151" t="n"/>
      <c r="AH120" s="151" t="n"/>
    </row>
    <row r="121">
      <c r="A121" s="151" t="inlineStr">
        <is>
          <t>FV0035A - Salmon with pesto [DE]</t>
        </is>
      </c>
      <c r="B121" s="151" t="inlineStr">
        <is>
          <t>REC-013940-4-006</t>
        </is>
      </c>
      <c r="C121" s="151" t="inlineStr">
        <is>
          <t>S&amp;P Roasted Green Beans 1</t>
        </is>
      </c>
      <c r="D121" s="151" t="inlineStr">
        <is>
          <t>SUB-014184-4-001</t>
        </is>
      </c>
      <c r="E121" s="150" t="n">
        <v>90</v>
      </c>
      <c r="F121" s="151" t="inlineStr">
        <is>
          <t>grams</t>
        </is>
      </c>
      <c r="G121" s="151" t="inlineStr">
        <is>
          <t>BLAST CHILLER, OVEN</t>
        </is>
      </c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inlineStr">
        <is>
          <t>FA-DE Spice, Sea Salt /Gewürze, Meersalz</t>
        </is>
      </c>
      <c r="X121" s="151" t="inlineStr">
        <is>
          <t>SPI-00-139378-5</t>
        </is>
      </c>
      <c r="Y121" s="151" t="inlineStr">
        <is>
          <t>0,45</t>
        </is>
      </c>
      <c r="Z121" s="149" t="inlineStr">
        <is>
          <t>0,45</t>
        </is>
      </c>
      <c r="AA121" s="151" t="inlineStr">
        <is>
          <t>grams</t>
        </is>
      </c>
      <c r="AB121" s="151" t="n"/>
      <c r="AC121" s="151" t="n"/>
      <c r="AD121" s="150" t="n">
        <v>0.74605</v>
      </c>
      <c r="AE121" s="149" t="n">
        <v>0.45</v>
      </c>
      <c r="AF121" s="151" t="inlineStr">
        <is>
          <t>grams</t>
        </is>
      </c>
      <c r="AG121" s="151" t="n"/>
      <c r="AH121" s="151" t="n"/>
    </row>
    <row r="122">
      <c r="A122" s="151" t="inlineStr">
        <is>
          <t>FV0035A - Salmon with pesto [DE]</t>
        </is>
      </c>
      <c r="B122" s="151" t="inlineStr">
        <is>
          <t>REC-013940-4-006</t>
        </is>
      </c>
      <c r="C122" s="151" t="inlineStr">
        <is>
          <t>S&amp;P Roasted Green Beans 1</t>
        </is>
      </c>
      <c r="D122" s="151" t="inlineStr">
        <is>
          <t>SUB-014184-4-001</t>
        </is>
      </c>
      <c r="E122" s="150" t="n">
        <v>90</v>
      </c>
      <c r="F122" s="151" t="inlineStr">
        <is>
          <t>grams</t>
        </is>
      </c>
      <c r="G122" s="151" t="inlineStr">
        <is>
          <t>BLAST CHILLER, OVEN</t>
        </is>
      </c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inlineStr">
        <is>
          <t>FA-DE Spice, Black Pepper, Ground /Gewürz, schwarzer Pfeffer, gemahlen</t>
        </is>
      </c>
      <c r="X122" s="151" t="inlineStr">
        <is>
          <t>SPI-00-139334-5</t>
        </is>
      </c>
      <c r="Y122" s="151" t="inlineStr">
        <is>
          <t>0,22</t>
        </is>
      </c>
      <c r="Z122" s="149" t="inlineStr">
        <is>
          <t>0,22</t>
        </is>
      </c>
      <c r="AA122" s="151" t="inlineStr">
        <is>
          <t>grams</t>
        </is>
      </c>
      <c r="AB122" s="151" t="n"/>
      <c r="AC122" s="151" t="n"/>
      <c r="AD122" s="150" t="n">
        <v>0.74605</v>
      </c>
      <c r="AE122" s="149" t="n">
        <v>0.22</v>
      </c>
      <c r="AF122" s="151" t="inlineStr">
        <is>
          <t>grams</t>
        </is>
      </c>
      <c r="AG122" s="151" t="n"/>
      <c r="AH122" s="151" t="n"/>
    </row>
    <row r="123">
      <c r="A123" s="151" t="inlineStr">
        <is>
          <t>FV0035A - Salmon with pesto [DE]</t>
        </is>
      </c>
      <c r="B123" s="151" t="inlineStr">
        <is>
          <t>REC-013940-4-006</t>
        </is>
      </c>
      <c r="C123" s="151" t="inlineStr">
        <is>
          <t>S&amp;P Roasted Green Beans 1</t>
        </is>
      </c>
      <c r="D123" s="151" t="inlineStr">
        <is>
          <t>SUB-014184-4-001</t>
        </is>
      </c>
      <c r="E123" s="150" t="n">
        <v>90</v>
      </c>
      <c r="F123" s="151" t="inlineStr">
        <is>
          <t>grams</t>
        </is>
      </c>
      <c r="G123" s="151" t="inlineStr">
        <is>
          <t>BLAST CHILLER, OVEN</t>
        </is>
      </c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inlineStr">
        <is>
          <t>FA-DE Green Beans, Fresh and Trimmed/Grüne Bohnen, frisch und geschnitten</t>
        </is>
      </c>
      <c r="X123" s="151" t="inlineStr">
        <is>
          <t>PHF-00-139198-3</t>
        </is>
      </c>
      <c r="Y123" s="151" t="inlineStr">
        <is>
          <t>112,35</t>
        </is>
      </c>
      <c r="Z123" s="149" t="inlineStr">
        <is>
          <t>112,35</t>
        </is>
      </c>
      <c r="AA123" s="151" t="inlineStr">
        <is>
          <t>grams</t>
        </is>
      </c>
      <c r="AB123" s="151" t="n"/>
      <c r="AC123" s="151" t="n"/>
      <c r="AD123" s="150" t="n">
        <v>0.74605</v>
      </c>
      <c r="AE123" s="149" t="n">
        <v>112.35</v>
      </c>
      <c r="AF123" s="151" t="inlineStr">
        <is>
          <t>grams</t>
        </is>
      </c>
      <c r="AG123" s="151" t="n"/>
      <c r="AH123" s="151" t="n"/>
    </row>
    <row r="124">
      <c r="A124" s="151" t="inlineStr">
        <is>
          <t>FV0035A - Salmon with pesto [DE]</t>
        </is>
      </c>
      <c r="B124" s="151" t="inlineStr">
        <is>
          <t>REC-013940-4-006</t>
        </is>
      </c>
      <c r="C124" s="151" t="inlineStr">
        <is>
          <t>Compound butter - Sun-Dried Tomato</t>
        </is>
      </c>
      <c r="D124" s="151" t="inlineStr">
        <is>
          <t>SUB-013608-4-001</t>
        </is>
      </c>
      <c r="E124" s="150" t="n">
        <v>14</v>
      </c>
      <c r="F124" s="151" t="inlineStr">
        <is>
          <t>grams</t>
        </is>
      </c>
      <c r="G124" s="151" t="inlineStr">
        <is>
          <t>BLAST CHILLER, PLANETARY MIXER, SCOOPER (BUTTER)</t>
        </is>
      </c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inlineStr">
        <is>
          <t>FA-DE Spice, Garlic Granulated /Gewürz, Knoblauch granuliert</t>
        </is>
      </c>
      <c r="X124" s="151" t="inlineStr">
        <is>
          <t>SPI-00-139353-5</t>
        </is>
      </c>
      <c r="Y124" s="151" t="inlineStr">
        <is>
          <t>0,04</t>
        </is>
      </c>
      <c r="Z124" s="149" t="inlineStr">
        <is>
          <t>0,04</t>
        </is>
      </c>
      <c r="AA124" s="151" t="inlineStr">
        <is>
          <t>grams</t>
        </is>
      </c>
      <c r="AB124" s="151" t="n"/>
      <c r="AC124" s="151" t="n"/>
      <c r="AD124" s="150" t="n">
        <v>1</v>
      </c>
      <c r="AE124" s="149" t="n">
        <v>0.04</v>
      </c>
      <c r="AF124" s="151" t="inlineStr">
        <is>
          <t>grams</t>
        </is>
      </c>
      <c r="AG124" s="151" t="n"/>
      <c r="AH124" s="151" t="n"/>
    </row>
    <row r="125">
      <c r="A125" s="151" t="inlineStr">
        <is>
          <t>FV0035A - Salmon with pesto [DE]</t>
        </is>
      </c>
      <c r="B125" s="151" t="inlineStr">
        <is>
          <t>REC-013940-4-006</t>
        </is>
      </c>
      <c r="C125" s="151" t="inlineStr">
        <is>
          <t>Compound butter - Sun-Dried Tomato</t>
        </is>
      </c>
      <c r="D125" s="151" t="inlineStr">
        <is>
          <t>SUB-013608-4-001</t>
        </is>
      </c>
      <c r="E125" s="150" t="n">
        <v>14</v>
      </c>
      <c r="F125" s="151" t="inlineStr">
        <is>
          <t>grams</t>
        </is>
      </c>
      <c r="G125" s="151" t="inlineStr">
        <is>
          <t>BLAST CHILLER, PLANETARY MIXER, SCOOPER (BUTTER)</t>
        </is>
      </c>
      <c r="H125" s="151" t="inlineStr">
        <is>
          <t>Roasted Garlic (use)</t>
        </is>
      </c>
      <c r="I125" s="151" t="inlineStr">
        <is>
          <t>SUB-013367-4-001</t>
        </is>
      </c>
      <c r="J125" s="156" t="n">
        <v>1.16</v>
      </c>
      <c r="K125" s="151" t="inlineStr">
        <is>
          <t>grams</t>
        </is>
      </c>
      <c r="L125" s="151" t="inlineStr">
        <is>
          <t>BLAST CHILLER, OVEN</t>
        </is>
      </c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inlineStr">
        <is>
          <t>FA-DE Garlic, Peeled, Whole Cloves [10kg] /Knoblauch, geschält, ganze Nelken [10kg]</t>
        </is>
      </c>
      <c r="X125" s="151" t="inlineStr">
        <is>
          <t>PHF-00-139197-3</t>
        </is>
      </c>
      <c r="Y125" s="153" t="inlineStr">
        <is>
          <t>1,17</t>
        </is>
      </c>
      <c r="Z125" s="149" t="inlineStr">
        <is>
          <t>1,17</t>
        </is>
      </c>
      <c r="AA125" s="151" t="inlineStr">
        <is>
          <t>grams</t>
        </is>
      </c>
      <c r="AB125" s="151" t="n"/>
      <c r="AC125" s="151" t="n"/>
      <c r="AD125" s="150" t="n">
        <v>0.56691</v>
      </c>
      <c r="AE125" s="149" t="n">
        <v>1.17</v>
      </c>
      <c r="AF125" s="151" t="inlineStr">
        <is>
          <t>grams</t>
        </is>
      </c>
      <c r="AG125" s="151" t="n"/>
      <c r="AH125" s="151" t="n"/>
    </row>
    <row r="126">
      <c r="A126" s="151" t="inlineStr">
        <is>
          <t>FV0035A - Salmon with pesto [DE]</t>
        </is>
      </c>
      <c r="B126" s="151" t="inlineStr">
        <is>
          <t>REC-013940-4-006</t>
        </is>
      </c>
      <c r="C126" s="151" t="inlineStr">
        <is>
          <t>Compound butter - Sun-Dried Tomato</t>
        </is>
      </c>
      <c r="D126" s="151" t="inlineStr">
        <is>
          <t>SUB-013608-4-001</t>
        </is>
      </c>
      <c r="E126" s="150" t="n">
        <v>14</v>
      </c>
      <c r="F126" s="151" t="inlineStr">
        <is>
          <t>grams</t>
        </is>
      </c>
      <c r="G126" s="151" t="inlineStr">
        <is>
          <t>BLAST CHILLER, PLANETARY MIXER, SCOOPER (BUTTER)</t>
        </is>
      </c>
      <c r="H126" s="151" t="inlineStr">
        <is>
          <t>Roasted Garlic (use)</t>
        </is>
      </c>
      <c r="I126" s="151" t="inlineStr">
        <is>
          <t>SUB-013367-4-001</t>
        </is>
      </c>
      <c r="J126" s="156" t="n">
        <v>1.16</v>
      </c>
      <c r="K126" s="151" t="inlineStr">
        <is>
          <t>grams</t>
        </is>
      </c>
      <c r="L126" s="151" t="inlineStr">
        <is>
          <t>BLAST CHILLER, OVEN</t>
        </is>
      </c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inlineStr">
        <is>
          <t>FA-DE Oil, Olive /Öl, Olivenöl</t>
        </is>
      </c>
      <c r="X126" s="151" t="inlineStr">
        <is>
          <t>PRO-00-139277-5</t>
        </is>
      </c>
      <c r="Y126" s="151" t="inlineStr">
        <is>
          <t>0,88</t>
        </is>
      </c>
      <c r="Z126" s="149" t="inlineStr">
        <is>
          <t>0,88</t>
        </is>
      </c>
      <c r="AA126" s="151" t="inlineStr">
        <is>
          <t>grams</t>
        </is>
      </c>
      <c r="AB126" s="151" t="n"/>
      <c r="AC126" s="151" t="n"/>
      <c r="AD126" s="150" t="n">
        <v>0.56691</v>
      </c>
      <c r="AE126" s="149" t="n">
        <v>0.88</v>
      </c>
      <c r="AF126" s="151" t="inlineStr">
        <is>
          <t>grams</t>
        </is>
      </c>
      <c r="AG126" s="151" t="n"/>
      <c r="AH126" s="151" t="n"/>
    </row>
    <row r="127">
      <c r="A127" s="151" t="inlineStr">
        <is>
          <t>FV0035A - Salmon with pesto [DE]</t>
        </is>
      </c>
      <c r="B127" s="151" t="inlineStr">
        <is>
          <t>REC-013940-4-006</t>
        </is>
      </c>
      <c r="C127" s="151" t="inlineStr">
        <is>
          <t>Compound butter - Sun-Dried Tomato</t>
        </is>
      </c>
      <c r="D127" s="151" t="inlineStr">
        <is>
          <t>SUB-013608-4-001</t>
        </is>
      </c>
      <c r="E127" s="150" t="n">
        <v>14</v>
      </c>
      <c r="F127" s="151" t="inlineStr">
        <is>
          <t>grams</t>
        </is>
      </c>
      <c r="G127" s="151" t="inlineStr">
        <is>
          <t>BLAST CHILLER, PLANETARY MIXER, SCOOPER (BUTTER)</t>
        </is>
      </c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inlineStr">
        <is>
          <t>FA-DE Butter, Unsalted /Butter, ungesalzen</t>
        </is>
      </c>
      <c r="X127" s="151" t="inlineStr">
        <is>
          <t>DAI-00-139146-3</t>
        </is>
      </c>
      <c r="Y127" s="151" t="inlineStr">
        <is>
          <t>9,32</t>
        </is>
      </c>
      <c r="Z127" s="149" t="inlineStr">
        <is>
          <t>9,32</t>
        </is>
      </c>
      <c r="AA127" s="151" t="inlineStr">
        <is>
          <t>grams</t>
        </is>
      </c>
      <c r="AB127" s="151" t="inlineStr">
        <is>
          <t>MILCH (EINSCHLIESSLICH LAKTOSE)</t>
        </is>
      </c>
      <c r="AC127" s="151" t="n"/>
      <c r="AD127" s="150" t="n">
        <v>1</v>
      </c>
      <c r="AE127" s="149" t="n">
        <v>9.32</v>
      </c>
      <c r="AF127" s="151" t="inlineStr">
        <is>
          <t>grams</t>
        </is>
      </c>
      <c r="AG127" s="151" t="n"/>
      <c r="AH127" s="151" t="n"/>
    </row>
    <row r="128">
      <c r="A128" s="151" t="inlineStr">
        <is>
          <t>FV0035A - Salmon with pesto [DE]</t>
        </is>
      </c>
      <c r="B128" s="151" t="inlineStr">
        <is>
          <t>REC-013940-4-006</t>
        </is>
      </c>
      <c r="C128" s="151" t="inlineStr">
        <is>
          <t>Compound butter - Sun-Dried Tomato</t>
        </is>
      </c>
      <c r="D128" s="151" t="inlineStr">
        <is>
          <t>SUB-013608-4-001</t>
        </is>
      </c>
      <c r="E128" s="150" t="n">
        <v>14</v>
      </c>
      <c r="F128" s="151" t="inlineStr">
        <is>
          <t>grams</t>
        </is>
      </c>
      <c r="G128" s="151" t="inlineStr">
        <is>
          <t>BLAST CHILLER, PLANETARY MIXER, SCOOPER (BUTTER)</t>
        </is>
      </c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inlineStr">
        <is>
          <t>FA-DE Spice, Sea Salt /Gewürze, Meersalz</t>
        </is>
      </c>
      <c r="X128" s="151" t="inlineStr">
        <is>
          <t>SPI-00-139378-5</t>
        </is>
      </c>
      <c r="Y128" s="151" t="inlineStr">
        <is>
          <t>0,19</t>
        </is>
      </c>
      <c r="Z128" s="149" t="inlineStr">
        <is>
          <t>0,19</t>
        </is>
      </c>
      <c r="AA128" s="151" t="inlineStr">
        <is>
          <t>grams</t>
        </is>
      </c>
      <c r="AB128" s="151" t="n"/>
      <c r="AC128" s="151" t="n"/>
      <c r="AD128" s="150" t="n">
        <v>1</v>
      </c>
      <c r="AE128" s="149" t="n">
        <v>0.19</v>
      </c>
      <c r="AF128" s="151" t="inlineStr">
        <is>
          <t>grams</t>
        </is>
      </c>
      <c r="AG128" s="151" t="n"/>
      <c r="AH128" s="151" t="n"/>
    </row>
    <row r="129">
      <c r="A129" s="151" t="inlineStr">
        <is>
          <t>FV0035A - Salmon with pesto [DE]</t>
        </is>
      </c>
      <c r="B129" s="151" t="inlineStr">
        <is>
          <t>REC-013940-4-006</t>
        </is>
      </c>
      <c r="C129" s="151" t="inlineStr">
        <is>
          <t>Compound butter - Sun-Dried Tomato</t>
        </is>
      </c>
      <c r="D129" s="151" t="inlineStr">
        <is>
          <t>SUB-013608-4-001</t>
        </is>
      </c>
      <c r="E129" s="150" t="n">
        <v>14</v>
      </c>
      <c r="F129" s="151" t="inlineStr">
        <is>
          <t>grams</t>
        </is>
      </c>
      <c r="G129" s="151" t="inlineStr">
        <is>
          <t>BLAST CHILLER, PLANETARY MIXER, SCOOPER (BUTTER)</t>
        </is>
      </c>
      <c r="H129" s="151" t="inlineStr">
        <is>
          <t>Sun-Dried Tomato + Basil Puree</t>
        </is>
      </c>
      <c r="I129" s="151" t="inlineStr">
        <is>
          <t>SUB-029076-4-001</t>
        </is>
      </c>
      <c r="J129" s="150" t="n">
        <v>3.29</v>
      </c>
      <c r="K129" s="151" t="inlineStr">
        <is>
          <t>grams</t>
        </is>
      </c>
      <c r="L129" s="151" t="inlineStr">
        <is>
          <t>BRAISER</t>
        </is>
      </c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inlineStr">
        <is>
          <t>FA-DE Water / Wasser</t>
        </is>
      </c>
      <c r="X129" s="151" t="inlineStr">
        <is>
          <t>OTH-00-144038-5</t>
        </is>
      </c>
      <c r="Y129" s="151" t="inlineStr">
        <is>
          <t>1,74</t>
        </is>
      </c>
      <c r="Z129" s="149" t="inlineStr">
        <is>
          <t>1,74</t>
        </is>
      </c>
      <c r="AA129" s="151" t="inlineStr">
        <is>
          <t>grams</t>
        </is>
      </c>
      <c r="AB129" s="151" t="n"/>
      <c r="AC129" s="151" t="n"/>
      <c r="AD129" s="150" t="n">
        <v>0.90035</v>
      </c>
      <c r="AE129" s="149" t="n">
        <v>1.74</v>
      </c>
      <c r="AF129" s="151" t="inlineStr">
        <is>
          <t>grams</t>
        </is>
      </c>
      <c r="AG129" s="151" t="n"/>
      <c r="AH129" s="151" t="n"/>
    </row>
    <row r="130">
      <c r="A130" s="151" t="inlineStr">
        <is>
          <t>FV0035A - Salmon with pesto [DE]</t>
        </is>
      </c>
      <c r="B130" s="151" t="inlineStr">
        <is>
          <t>REC-013940-4-006</t>
        </is>
      </c>
      <c r="C130" s="151" t="inlineStr">
        <is>
          <t>Compound butter - Sun-Dried Tomato</t>
        </is>
      </c>
      <c r="D130" s="151" t="inlineStr">
        <is>
          <t>SUB-013608-4-001</t>
        </is>
      </c>
      <c r="E130" s="150" t="n">
        <v>14</v>
      </c>
      <c r="F130" s="151" t="inlineStr">
        <is>
          <t>grams</t>
        </is>
      </c>
      <c r="G130" s="151" t="inlineStr">
        <is>
          <t>BLAST CHILLER, PLANETARY MIXER, SCOOPER (BUTTER)</t>
        </is>
      </c>
      <c r="H130" s="151" t="inlineStr">
        <is>
          <t>Sun-Dried Tomato + Basil Puree</t>
        </is>
      </c>
      <c r="I130" s="151" t="inlineStr">
        <is>
          <t>SUB-029076-4-001</t>
        </is>
      </c>
      <c r="J130" s="150" t="n">
        <v>3.29</v>
      </c>
      <c r="K130" s="151" t="inlineStr">
        <is>
          <t>grams</t>
        </is>
      </c>
      <c r="L130" s="151" t="inlineStr">
        <is>
          <t>BRAISER</t>
        </is>
      </c>
      <c r="M130" s="151" t="inlineStr">
        <is>
          <t>Basil - Picked Basil Leaves</t>
        </is>
      </c>
      <c r="N130" s="151" t="inlineStr">
        <is>
          <t>SUB-013424-4-001</t>
        </is>
      </c>
      <c r="O130" s="150" t="n">
        <v>0.18</v>
      </c>
      <c r="P130" s="151" t="inlineStr">
        <is>
          <t>grams</t>
        </is>
      </c>
      <c r="Q130" s="151" t="inlineStr">
        <is>
          <t>DEBOX, STAGING</t>
        </is>
      </c>
      <c r="R130" s="151" t="n"/>
      <c r="S130" s="151" t="n"/>
      <c r="T130" s="151" t="n"/>
      <c r="U130" s="151" t="n"/>
      <c r="V130" s="151" t="n"/>
      <c r="W130" s="151" t="inlineStr">
        <is>
          <t>FA-DE Basil, Fresh /Basilikum, frisch</t>
        </is>
      </c>
      <c r="X130" s="151" t="inlineStr">
        <is>
          <t>PHF-00-139175-3</t>
        </is>
      </c>
      <c r="Y130" s="151" t="inlineStr">
        <is>
          <t>0,32</t>
        </is>
      </c>
      <c r="Z130" s="149" t="inlineStr">
        <is>
          <t>0,32</t>
        </is>
      </c>
      <c r="AA130" s="151" t="inlineStr">
        <is>
          <t>grams</t>
        </is>
      </c>
      <c r="AB130" s="151" t="n"/>
      <c r="AC130" s="151" t="n"/>
      <c r="AD130" s="150" t="n">
        <v>0.55986</v>
      </c>
      <c r="AE130" s="149" t="n">
        <v>0.32</v>
      </c>
      <c r="AF130" s="151" t="inlineStr">
        <is>
          <t>grams</t>
        </is>
      </c>
      <c r="AG130" s="151" t="n"/>
      <c r="AH130" s="151" t="n"/>
    </row>
    <row r="131">
      <c r="A131" s="151" t="inlineStr">
        <is>
          <t>FV0035A - Salmon with pesto [DE]</t>
        </is>
      </c>
      <c r="B131" s="151" t="inlineStr">
        <is>
          <t>REC-013940-4-006</t>
        </is>
      </c>
      <c r="C131" s="151" t="inlineStr">
        <is>
          <t>Compound butter - Sun-Dried Tomato</t>
        </is>
      </c>
      <c r="D131" s="151" t="inlineStr">
        <is>
          <t>SUB-013608-4-001</t>
        </is>
      </c>
      <c r="E131" s="150" t="n">
        <v>14</v>
      </c>
      <c r="F131" s="151" t="inlineStr">
        <is>
          <t>grams</t>
        </is>
      </c>
      <c r="G131" s="151" t="inlineStr">
        <is>
          <t>BLAST CHILLER, PLANETARY MIXER, SCOOPER (BUTTER)</t>
        </is>
      </c>
      <c r="H131" s="151" t="inlineStr">
        <is>
          <t>Sun-Dried Tomato + Basil Puree</t>
        </is>
      </c>
      <c r="I131" s="151" t="inlineStr">
        <is>
          <t>SUB-029076-4-001</t>
        </is>
      </c>
      <c r="J131" s="150" t="n">
        <v>3.29</v>
      </c>
      <c r="K131" s="151" t="inlineStr">
        <is>
          <t>grams</t>
        </is>
      </c>
      <c r="L131" s="151" t="inlineStr">
        <is>
          <t>BRAISER</t>
        </is>
      </c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inlineStr">
        <is>
          <t>FA-DE Tomatoes, Sun - Dried Julienned /Tomaten, sonnengetrocknete Julienne</t>
        </is>
      </c>
      <c r="X131" s="151" t="inlineStr">
        <is>
          <t>PRO-00-139296-5</t>
        </is>
      </c>
      <c r="Y131" s="151" t="inlineStr">
        <is>
          <t>1,74</t>
        </is>
      </c>
      <c r="Z131" s="149" t="inlineStr">
        <is>
          <t>1,74</t>
        </is>
      </c>
      <c r="AA131" s="151" t="inlineStr">
        <is>
          <t>grams</t>
        </is>
      </c>
      <c r="AB131" s="151" t="n"/>
      <c r="AC131" s="151" t="n"/>
      <c r="AD131" s="150" t="n">
        <v>0.90035</v>
      </c>
      <c r="AE131" s="149" t="n">
        <v>1.74</v>
      </c>
      <c r="AF131" s="151" t="inlineStr">
        <is>
          <t>grams</t>
        </is>
      </c>
      <c r="AG131" s="151" t="n"/>
      <c r="AH131" s="151" t="n"/>
    </row>
    <row r="132">
      <c r="A132" s="151" t="inlineStr">
        <is>
          <t>FV0035A - Salmon with pesto [DKSE]</t>
        </is>
      </c>
      <c r="B132" s="151" t="inlineStr">
        <is>
          <t>REC-013940-4-004</t>
        </is>
      </c>
      <c r="C132" s="151" t="inlineStr">
        <is>
          <t>Spinach - Creamed Spinach</t>
        </is>
      </c>
      <c r="D132" s="151" t="inlineStr">
        <is>
          <t>SUB-013867-4-001</t>
        </is>
      </c>
      <c r="E132" s="150" t="n">
        <v>115</v>
      </c>
      <c r="F132" s="151" t="inlineStr">
        <is>
          <t>grams</t>
        </is>
      </c>
      <c r="G132" s="151" t="inlineStr">
        <is>
          <t>BLAST CHILLER, HAND MIX</t>
        </is>
      </c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inlineStr">
        <is>
          <t>FA-DE Spice, Sea Salt /Gewürze, Meersalz</t>
        </is>
      </c>
      <c r="X132" s="151" t="inlineStr">
        <is>
          <t>SPI-00-139378-5</t>
        </is>
      </c>
      <c r="Y132" s="151" t="inlineStr">
        <is>
          <t>0,14</t>
        </is>
      </c>
      <c r="Z132" s="149" t="inlineStr">
        <is>
          <t>0,14</t>
        </is>
      </c>
      <c r="AA132" s="151" t="inlineStr">
        <is>
          <t>grams</t>
        </is>
      </c>
      <c r="AB132" s="151" t="n"/>
      <c r="AC132" s="151" t="n"/>
      <c r="AD132" s="150" t="n">
        <v>0.84</v>
      </c>
      <c r="AE132" s="149" t="n">
        <v>0.14</v>
      </c>
      <c r="AF132" s="151" t="inlineStr">
        <is>
          <t>grams</t>
        </is>
      </c>
      <c r="AG132" s="151" t="n"/>
      <c r="AH132" s="151" t="n"/>
    </row>
    <row r="133">
      <c r="A133" s="151" t="inlineStr">
        <is>
          <t>FV0035A - Salmon with pesto [DKSE]</t>
        </is>
      </c>
      <c r="B133" s="151" t="inlineStr">
        <is>
          <t>REC-013940-4-004</t>
        </is>
      </c>
      <c r="C133" s="151" t="inlineStr">
        <is>
          <t>Spinach - Creamed Spinach</t>
        </is>
      </c>
      <c r="D133" s="151" t="inlineStr">
        <is>
          <t>SUB-013867-4-001</t>
        </is>
      </c>
      <c r="E133" s="150" t="n">
        <v>115</v>
      </c>
      <c r="F133" s="151" t="inlineStr">
        <is>
          <t>grams</t>
        </is>
      </c>
      <c r="G133" s="151" t="inlineStr">
        <is>
          <t>BLAST CHILLER, HAND MIX</t>
        </is>
      </c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inlineStr">
        <is>
          <t>FA-DE Onion, Spanish, Diced 5mm /Zwiebel, Spanisch, gewürfelt 5 mm</t>
        </is>
      </c>
      <c r="X133" s="151" t="inlineStr">
        <is>
          <t>PHF-00-139212-3</t>
        </is>
      </c>
      <c r="Y133" s="155" t="inlineStr">
        <is>
          <t>12,01</t>
        </is>
      </c>
      <c r="Z133" s="149" t="inlineStr">
        <is>
          <t>12,01</t>
        </is>
      </c>
      <c r="AA133" s="151" t="inlineStr">
        <is>
          <t>grams</t>
        </is>
      </c>
      <c r="AB133" s="151" t="n"/>
      <c r="AC133" s="151" t="n"/>
      <c r="AD133" s="150" t="n">
        <v>0.84</v>
      </c>
      <c r="AE133" s="149" t="n">
        <v>12.01</v>
      </c>
      <c r="AF133" s="151" t="inlineStr">
        <is>
          <t>grams</t>
        </is>
      </c>
      <c r="AG133" s="151" t="n"/>
      <c r="AH133" s="151" t="n"/>
    </row>
    <row r="134">
      <c r="A134" s="151" t="inlineStr">
        <is>
          <t>FV0035A - Salmon with pesto [DKSE]</t>
        </is>
      </c>
      <c r="B134" s="151" t="inlineStr">
        <is>
          <t>REC-013940-4-004</t>
        </is>
      </c>
      <c r="C134" s="151" t="inlineStr">
        <is>
          <t>Spinach - Creamed Spinach</t>
        </is>
      </c>
      <c r="D134" s="151" t="inlineStr">
        <is>
          <t>SUB-013867-4-001</t>
        </is>
      </c>
      <c r="E134" s="150" t="n">
        <v>115</v>
      </c>
      <c r="F134" s="151" t="inlineStr">
        <is>
          <t>grams</t>
        </is>
      </c>
      <c r="G134" s="151" t="inlineStr">
        <is>
          <t>BLAST CHILLER, HAND MIX</t>
        </is>
      </c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inlineStr">
        <is>
          <t>FA-DE Cheese, Parmesan, Grated /Käse, Parmesan, gerieben</t>
        </is>
      </c>
      <c r="X134" s="151" t="inlineStr">
        <is>
          <t>DAI-00-139127-3</t>
        </is>
      </c>
      <c r="Y134" s="154" t="inlineStr">
        <is>
          <t>9,01</t>
        </is>
      </c>
      <c r="Z134" s="149" t="inlineStr">
        <is>
          <t>9,01</t>
        </is>
      </c>
      <c r="AA134" s="151" t="inlineStr">
        <is>
          <t>grams</t>
        </is>
      </c>
      <c r="AB134" s="151" t="inlineStr">
        <is>
          <t>MILCH (EINSCHLIESSLICH LAKTOSE)</t>
        </is>
      </c>
      <c r="AC134" s="151" t="n"/>
      <c r="AD134" s="150" t="n">
        <v>0.84</v>
      </c>
      <c r="AE134" s="149" t="n">
        <v>9.01</v>
      </c>
      <c r="AF134" s="151" t="inlineStr">
        <is>
          <t>grams</t>
        </is>
      </c>
      <c r="AG134" s="151" t="n"/>
      <c r="AH134" s="151" t="n"/>
    </row>
    <row r="135">
      <c r="A135" s="151" t="inlineStr">
        <is>
          <t>FV0035A - Salmon with pesto [DKSE]</t>
        </is>
      </c>
      <c r="B135" s="151" t="inlineStr">
        <is>
          <t>REC-013940-4-004</t>
        </is>
      </c>
      <c r="C135" s="151" t="inlineStr">
        <is>
          <t>Spinach - Creamed Spinach</t>
        </is>
      </c>
      <c r="D135" s="151" t="inlineStr">
        <is>
          <t>SUB-013867-4-001</t>
        </is>
      </c>
      <c r="E135" s="150" t="n">
        <v>115</v>
      </c>
      <c r="F135" s="151" t="inlineStr">
        <is>
          <t>grams</t>
        </is>
      </c>
      <c r="G135" s="151" t="inlineStr">
        <is>
          <t>BLAST CHILLER, HAND MIX</t>
        </is>
      </c>
      <c r="H135" s="151" t="inlineStr">
        <is>
          <t>Thawed &amp; Squeezed Frozen Spinach</t>
        </is>
      </c>
      <c r="I135" s="151" t="inlineStr">
        <is>
          <t>SUB-013405-4-001</t>
        </is>
      </c>
      <c r="J135" s="150" t="n">
        <v>71.01000000000001</v>
      </c>
      <c r="K135" s="151" t="inlineStr">
        <is>
          <t>grams</t>
        </is>
      </c>
      <c r="L135" s="151" t="inlineStr">
        <is>
          <t>BLAST CHILLER, HAND MIX, OVEN</t>
        </is>
      </c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inlineStr">
        <is>
          <t>FA-DE Spinach, Frozen Leaf/Spinat, gefrorener Blattspinat</t>
        </is>
      </c>
      <c r="X135" s="151" t="inlineStr">
        <is>
          <t>PHF-00-139242-1</t>
        </is>
      </c>
      <c r="Y135" s="151" t="inlineStr">
        <is>
          <t>88,66</t>
        </is>
      </c>
      <c r="Z135" s="149" t="inlineStr">
        <is>
          <t>88,66</t>
        </is>
      </c>
      <c r="AA135" s="151" t="inlineStr">
        <is>
          <t>grams</t>
        </is>
      </c>
      <c r="AB135" s="151" t="n"/>
      <c r="AC135" s="151" t="n"/>
      <c r="AD135" s="150" t="n">
        <v>0.80087</v>
      </c>
      <c r="AE135" s="149" t="n">
        <v>88.66</v>
      </c>
      <c r="AF135" s="151" t="inlineStr">
        <is>
          <t>grams</t>
        </is>
      </c>
      <c r="AG135" s="151" t="n"/>
      <c r="AH135" s="151" t="n"/>
    </row>
    <row r="136">
      <c r="A136" s="151" t="inlineStr">
        <is>
          <t>FV0035A - Salmon with pesto [DKSE]</t>
        </is>
      </c>
      <c r="B136" s="151" t="inlineStr">
        <is>
          <t>REC-013940-4-004</t>
        </is>
      </c>
      <c r="C136" s="151" t="inlineStr">
        <is>
          <t>Spinach - Creamed Spinach</t>
        </is>
      </c>
      <c r="D136" s="151" t="inlineStr">
        <is>
          <t>SUB-013867-4-001</t>
        </is>
      </c>
      <c r="E136" s="150" t="n">
        <v>115</v>
      </c>
      <c r="F136" s="151" t="inlineStr">
        <is>
          <t>grams</t>
        </is>
      </c>
      <c r="G136" s="151" t="inlineStr">
        <is>
          <t>BLAST CHILLER, HAND MIX</t>
        </is>
      </c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inlineStr">
        <is>
          <t>FA-DE Oil, Olive /Öl, Olivenöl</t>
        </is>
      </c>
      <c r="X136" s="151" t="inlineStr">
        <is>
          <t>PRO-00-139277-5</t>
        </is>
      </c>
      <c r="Y136" s="154" t="inlineStr">
        <is>
          <t>3,01</t>
        </is>
      </c>
      <c r="Z136" s="149" t="inlineStr">
        <is>
          <t>3,01</t>
        </is>
      </c>
      <c r="AA136" s="151" t="inlineStr">
        <is>
          <t>grams</t>
        </is>
      </c>
      <c r="AB136" s="151" t="n"/>
      <c r="AC136" s="151" t="n"/>
      <c r="AD136" s="150" t="n">
        <v>0.84</v>
      </c>
      <c r="AE136" s="149" t="n">
        <v>3.01</v>
      </c>
      <c r="AF136" s="151" t="inlineStr">
        <is>
          <t>grams</t>
        </is>
      </c>
      <c r="AG136" s="151" t="n"/>
      <c r="AH136" s="151" t="n"/>
    </row>
    <row r="137">
      <c r="A137" s="151" t="inlineStr">
        <is>
          <t>FV0035A - Salmon with pesto [DKSE]</t>
        </is>
      </c>
      <c r="B137" s="151" t="inlineStr">
        <is>
          <t>REC-013940-4-004</t>
        </is>
      </c>
      <c r="C137" s="151" t="inlineStr">
        <is>
          <t>Spinach - Creamed Spinach</t>
        </is>
      </c>
      <c r="D137" s="151" t="inlineStr">
        <is>
          <t>SUB-013867-4-001</t>
        </is>
      </c>
      <c r="E137" s="150" t="n">
        <v>115</v>
      </c>
      <c r="F137" s="151" t="inlineStr">
        <is>
          <t>grams</t>
        </is>
      </c>
      <c r="G137" s="151" t="inlineStr">
        <is>
          <t>BLAST CHILLER, HAND MIX</t>
        </is>
      </c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inlineStr">
        <is>
          <t>FA-DE Cheese, Cream, 13% Fat (Milk) /Käse, Sahne, 13% Fett</t>
        </is>
      </c>
      <c r="X137" s="151" t="inlineStr">
        <is>
          <t>DAI-00-139122-3</t>
        </is>
      </c>
      <c r="Y137" s="151" t="inlineStr">
        <is>
          <t>38,73</t>
        </is>
      </c>
      <c r="Z137" s="149" t="inlineStr">
        <is>
          <t>38,73</t>
        </is>
      </c>
      <c r="AA137" s="151" t="inlineStr">
        <is>
          <t>grams</t>
        </is>
      </c>
      <c r="AB137" s="151" t="inlineStr">
        <is>
          <t>MILCH (EINSCHLIESSLICH LAKTOSE)</t>
        </is>
      </c>
      <c r="AC137" s="151" t="n"/>
      <c r="AD137" s="150" t="n">
        <v>0.84</v>
      </c>
      <c r="AE137" s="149" t="n">
        <v>38.73</v>
      </c>
      <c r="AF137" s="151" t="inlineStr">
        <is>
          <t>grams</t>
        </is>
      </c>
      <c r="AG137" s="151" t="n"/>
      <c r="AH137" s="151" t="n"/>
    </row>
    <row r="138">
      <c r="A138" s="151" t="inlineStr">
        <is>
          <t>FV0035A - Salmon with pesto [DKSE]</t>
        </is>
      </c>
      <c r="B138" s="151" t="inlineStr">
        <is>
          <t>REC-013940-4-004</t>
        </is>
      </c>
      <c r="C138" s="151" t="inlineStr">
        <is>
          <t>Spinach - Creamed Spinach</t>
        </is>
      </c>
      <c r="D138" s="151" t="inlineStr">
        <is>
          <t>SUB-013867-4-001</t>
        </is>
      </c>
      <c r="E138" s="150" t="n">
        <v>115</v>
      </c>
      <c r="F138" s="151" t="inlineStr">
        <is>
          <t>grams</t>
        </is>
      </c>
      <c r="G138" s="151" t="inlineStr">
        <is>
          <t>BLAST CHILLER, HAND MIX</t>
        </is>
      </c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inlineStr">
        <is>
          <t>FA-DE Garlic, IQF, Diced 4 mm /Knoblauch, IQF, gewürfelt 4 mm</t>
        </is>
      </c>
      <c r="X138" s="151" t="inlineStr">
        <is>
          <t>PHF-00-139237-1</t>
        </is>
      </c>
      <c r="Y138" s="154" t="inlineStr">
        <is>
          <t>3,01</t>
        </is>
      </c>
      <c r="Z138" s="149" t="inlineStr">
        <is>
          <t>3,01</t>
        </is>
      </c>
      <c r="AA138" s="151" t="inlineStr">
        <is>
          <t>grams</t>
        </is>
      </c>
      <c r="AB138" s="151" t="inlineStr">
        <is>
          <t>SCHWEFELDIOXIDE UND SULFITE</t>
        </is>
      </c>
      <c r="AC138" s="151" t="n"/>
      <c r="AD138" s="150" t="n">
        <v>0.84</v>
      </c>
      <c r="AE138" s="149" t="n">
        <v>3.01</v>
      </c>
      <c r="AF138" s="151" t="inlineStr">
        <is>
          <t>grams</t>
        </is>
      </c>
      <c r="AG138" s="151" t="n"/>
      <c r="AH138" s="151" t="n"/>
    </row>
    <row r="139">
      <c r="A139" s="151" t="inlineStr">
        <is>
          <t>FV0035A - Salmon with pesto [DKSE]</t>
        </is>
      </c>
      <c r="B139" s="151" t="inlineStr">
        <is>
          <t>REC-013940-4-004</t>
        </is>
      </c>
      <c r="C139" s="151" t="inlineStr">
        <is>
          <t>Salmon - garlic seasoning</t>
        </is>
      </c>
      <c r="D139" s="151" t="inlineStr">
        <is>
          <t>SUB-013382-4-001</t>
        </is>
      </c>
      <c r="E139" s="150" t="n">
        <v>1</v>
      </c>
      <c r="F139" s="151" t="inlineStr">
        <is>
          <t>each</t>
        </is>
      </c>
      <c r="G139" s="151" t="inlineStr">
        <is>
          <t>BLAST CHILLER, HAND MARINADE, OVEN, THAW</t>
        </is>
      </c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inlineStr">
        <is>
          <t>FA-DE Salmon, Skinless, Boneless, Filet/Lachs, ohne Haut, ohne Knochen, Filet - IQF</t>
        </is>
      </c>
      <c r="X139" s="151" t="inlineStr">
        <is>
          <t>PTN-00-139968-1</t>
        </is>
      </c>
      <c r="Y139" s="150" t="n">
        <v>140</v>
      </c>
      <c r="Z139" s="152" t="n">
        <v>140</v>
      </c>
      <c r="AA139" s="151" t="inlineStr">
        <is>
          <t>grams</t>
        </is>
      </c>
      <c r="AB139" s="151" t="inlineStr">
        <is>
          <t>FISCH</t>
        </is>
      </c>
      <c r="AC139" s="151" t="n"/>
      <c r="AD139" s="150" t="n">
        <v>0.81816</v>
      </c>
      <c r="AE139" s="152" t="n">
        <v>140</v>
      </c>
      <c r="AF139" s="151" t="inlineStr">
        <is>
          <t>grams</t>
        </is>
      </c>
      <c r="AG139" s="151" t="n"/>
      <c r="AH139" s="151" t="n"/>
    </row>
    <row r="140">
      <c r="A140" s="151" t="inlineStr">
        <is>
          <t>FV0035A - Salmon with pesto [DKSE]</t>
        </is>
      </c>
      <c r="B140" s="151" t="inlineStr">
        <is>
          <t>REC-013940-4-004</t>
        </is>
      </c>
      <c r="C140" s="151" t="inlineStr">
        <is>
          <t>Salmon - garlic seasoning</t>
        </is>
      </c>
      <c r="D140" s="151" t="inlineStr">
        <is>
          <t>SUB-013382-4-001</t>
        </is>
      </c>
      <c r="E140" s="150" t="n">
        <v>1</v>
      </c>
      <c r="F140" s="151" t="inlineStr">
        <is>
          <t>each</t>
        </is>
      </c>
      <c r="G140" s="151" t="inlineStr">
        <is>
          <t>BLAST CHILLER, HAND MARINADE, OVEN, THAW</t>
        </is>
      </c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inlineStr">
        <is>
          <t>FA-DE Spice, Sea Salt /Gewürze, Meersalz</t>
        </is>
      </c>
      <c r="X140" s="151" t="inlineStr">
        <is>
          <t>SPI-00-139378-5</t>
        </is>
      </c>
      <c r="Y140" s="151" t="inlineStr">
        <is>
          <t>0,42</t>
        </is>
      </c>
      <c r="Z140" s="149" t="inlineStr">
        <is>
          <t>0,42</t>
        </is>
      </c>
      <c r="AA140" s="151" t="inlineStr">
        <is>
          <t>grams</t>
        </is>
      </c>
      <c r="AB140" s="151" t="n"/>
      <c r="AC140" s="151" t="n"/>
      <c r="AD140" s="150" t="n">
        <v>0.81816</v>
      </c>
      <c r="AE140" s="149" t="n">
        <v>0.42</v>
      </c>
      <c r="AF140" s="151" t="inlineStr">
        <is>
          <t>grams</t>
        </is>
      </c>
      <c r="AG140" s="151" t="n"/>
      <c r="AH140" s="151" t="n"/>
    </row>
    <row r="141">
      <c r="A141" s="151" t="inlineStr">
        <is>
          <t>FV0035A - Salmon with pesto [DKSE]</t>
        </is>
      </c>
      <c r="B141" s="151" t="inlineStr">
        <is>
          <t>REC-013940-4-004</t>
        </is>
      </c>
      <c r="C141" s="151" t="inlineStr">
        <is>
          <t>Salmon - garlic seasoning</t>
        </is>
      </c>
      <c r="D141" s="151" t="inlineStr">
        <is>
          <t>SUB-013382-4-001</t>
        </is>
      </c>
      <c r="E141" s="150" t="n">
        <v>1</v>
      </c>
      <c r="F141" s="151" t="inlineStr">
        <is>
          <t>each</t>
        </is>
      </c>
      <c r="G141" s="151" t="inlineStr">
        <is>
          <t>BLAST CHILLER, HAND MARINADE, OVEN, THAW</t>
        </is>
      </c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inlineStr">
        <is>
          <t>FA-DE Spice, Garlic Granulated /Gewürz, Knoblauch granuliert</t>
        </is>
      </c>
      <c r="X141" s="151" t="inlineStr">
        <is>
          <t>SPI-00-139353-5</t>
        </is>
      </c>
      <c r="Y141" s="151" t="inlineStr">
        <is>
          <t>0,14</t>
        </is>
      </c>
      <c r="Z141" s="149" t="inlineStr">
        <is>
          <t>0,14</t>
        </is>
      </c>
      <c r="AA141" s="151" t="inlineStr">
        <is>
          <t>grams</t>
        </is>
      </c>
      <c r="AB141" s="151" t="n"/>
      <c r="AC141" s="151" t="n"/>
      <c r="AD141" s="150" t="n">
        <v>0.81816</v>
      </c>
      <c r="AE141" s="149" t="n">
        <v>0.14</v>
      </c>
      <c r="AF141" s="151" t="inlineStr">
        <is>
          <t>grams</t>
        </is>
      </c>
      <c r="AG141" s="151" t="n"/>
      <c r="AH141" s="151" t="n"/>
    </row>
    <row r="142">
      <c r="A142" s="151" t="inlineStr">
        <is>
          <t>FV0035A - Salmon with pesto [DKSE]</t>
        </is>
      </c>
      <c r="B142" s="151" t="inlineStr">
        <is>
          <t>REC-013940-4-004</t>
        </is>
      </c>
      <c r="C142" s="151" t="inlineStr">
        <is>
          <t>Sauce - Pesto</t>
        </is>
      </c>
      <c r="D142" s="151" t="inlineStr">
        <is>
          <t>SUB-013665-4-001</t>
        </is>
      </c>
      <c r="E142" s="150" t="n">
        <v>30</v>
      </c>
      <c r="F142" s="151" t="inlineStr">
        <is>
          <t>grams</t>
        </is>
      </c>
      <c r="G142" s="151" t="inlineStr">
        <is>
          <t>BLAST CHILLER, IMMERSION BLENDER</t>
        </is>
      </c>
      <c r="H142" s="151" t="inlineStr">
        <is>
          <t>Toasted Sliced Almonds</t>
        </is>
      </c>
      <c r="I142" s="151" t="inlineStr">
        <is>
          <t>SUB-013495-4-001</t>
        </is>
      </c>
      <c r="J142" s="150" t="n">
        <v>2.91</v>
      </c>
      <c r="K142" s="151" t="inlineStr">
        <is>
          <t>grams</t>
        </is>
      </c>
      <c r="L142" s="151" t="inlineStr">
        <is>
          <t>BLAST CHILLER, HAND MARINADE, OVEN</t>
        </is>
      </c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inlineStr">
        <is>
          <t>FA-DE Almond, Sliced, Blanched /Mandeln, geschnitten, blanchiert</t>
        </is>
      </c>
      <c r="X142" s="151" t="inlineStr">
        <is>
          <t>SPI-00-139147-5</t>
        </is>
      </c>
      <c r="Y142" s="151" t="inlineStr">
        <is>
          <t>3,03</t>
        </is>
      </c>
      <c r="Z142" s="149" t="inlineStr">
        <is>
          <t>3,03</t>
        </is>
      </c>
      <c r="AA142" s="151" t="inlineStr">
        <is>
          <t>grams</t>
        </is>
      </c>
      <c r="AB142" s="151" t="inlineStr">
        <is>
          <t>MANDELN, SCHALENFRÜCHTE</t>
        </is>
      </c>
      <c r="AC142" s="151" t="n"/>
      <c r="AD142" s="150" t="n">
        <v>0.96089</v>
      </c>
      <c r="AE142" s="149" t="n">
        <v>3.03</v>
      </c>
      <c r="AF142" s="151" t="inlineStr">
        <is>
          <t>grams</t>
        </is>
      </c>
      <c r="AG142" s="151" t="n"/>
      <c r="AH142" s="151" t="n"/>
    </row>
    <row r="143">
      <c r="A143" s="151" t="inlineStr">
        <is>
          <t>FV0035A - Salmon with pesto [DKSE]</t>
        </is>
      </c>
      <c r="B143" s="151" t="inlineStr">
        <is>
          <t>REC-013940-4-004</t>
        </is>
      </c>
      <c r="C143" s="151" t="inlineStr">
        <is>
          <t>Sauce - Pesto</t>
        </is>
      </c>
      <c r="D143" s="151" t="inlineStr">
        <is>
          <t>SUB-013665-4-001</t>
        </is>
      </c>
      <c r="E143" s="150" t="n">
        <v>30</v>
      </c>
      <c r="F143" s="151" t="inlineStr">
        <is>
          <t>grams</t>
        </is>
      </c>
      <c r="G143" s="151" t="inlineStr">
        <is>
          <t>BLAST CHILLER, IMMERSION BLENDER</t>
        </is>
      </c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inlineStr">
        <is>
          <t>FA-DE Cheese, Parmesan, Grated /Käse, Parmesan, gerieben</t>
        </is>
      </c>
      <c r="X143" s="151" t="inlineStr">
        <is>
          <t>DAI-00-139127-3</t>
        </is>
      </c>
      <c r="Y143" s="151" t="inlineStr">
        <is>
          <t>3,72</t>
        </is>
      </c>
      <c r="Z143" s="149" t="inlineStr">
        <is>
          <t>3,72</t>
        </is>
      </c>
      <c r="AA143" s="151" t="inlineStr">
        <is>
          <t>grams</t>
        </is>
      </c>
      <c r="AB143" s="151" t="inlineStr">
        <is>
          <t>MILCH (EINSCHLIESSLICH LAKTOSE)</t>
        </is>
      </c>
      <c r="AC143" s="151" t="n"/>
      <c r="AD143" s="150" t="n">
        <v>0.95726</v>
      </c>
      <c r="AE143" s="149" t="n">
        <v>3.72</v>
      </c>
      <c r="AF143" s="151" t="inlineStr">
        <is>
          <t>grams</t>
        </is>
      </c>
      <c r="AG143" s="151" t="n"/>
      <c r="AH143" s="151" t="n"/>
    </row>
    <row r="144">
      <c r="A144" s="151" t="inlineStr">
        <is>
          <t>FV0035A - Salmon with pesto [DKSE]</t>
        </is>
      </c>
      <c r="B144" s="151" t="inlineStr">
        <is>
          <t>REC-013940-4-004</t>
        </is>
      </c>
      <c r="C144" s="151" t="inlineStr">
        <is>
          <t>Sauce - Pesto</t>
        </is>
      </c>
      <c r="D144" s="151" t="inlineStr">
        <is>
          <t>SUB-013665-4-001</t>
        </is>
      </c>
      <c r="E144" s="150" t="n">
        <v>30</v>
      </c>
      <c r="F144" s="151" t="inlineStr">
        <is>
          <t>grams</t>
        </is>
      </c>
      <c r="G144" s="151" t="inlineStr">
        <is>
          <t>BLAST CHILLER, IMMERSION BLENDER</t>
        </is>
      </c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inlineStr">
        <is>
          <t>FA-DE Spice, Sea Salt /Gewürze, Meersalz</t>
        </is>
      </c>
      <c r="X144" s="151" t="inlineStr">
        <is>
          <t>SPI-00-139378-5</t>
        </is>
      </c>
      <c r="Y144" s="151" t="inlineStr">
        <is>
          <t>0,15</t>
        </is>
      </c>
      <c r="Z144" s="149" t="inlineStr">
        <is>
          <t>0,15</t>
        </is>
      </c>
      <c r="AA144" s="151" t="inlineStr">
        <is>
          <t>grams</t>
        </is>
      </c>
      <c r="AB144" s="151" t="n"/>
      <c r="AC144" s="151" t="n"/>
      <c r="AD144" s="150" t="n">
        <v>0.95726</v>
      </c>
      <c r="AE144" s="149" t="n">
        <v>0.15</v>
      </c>
      <c r="AF144" s="151" t="inlineStr">
        <is>
          <t>grams</t>
        </is>
      </c>
      <c r="AG144" s="151" t="n"/>
      <c r="AH144" s="151" t="n"/>
    </row>
    <row r="145">
      <c r="A145" s="151" t="inlineStr">
        <is>
          <t>FV0035A - Salmon with pesto [DKSE]</t>
        </is>
      </c>
      <c r="B145" s="151" t="inlineStr">
        <is>
          <t>REC-013940-4-004</t>
        </is>
      </c>
      <c r="C145" s="151" t="inlineStr">
        <is>
          <t>Sauce - Pesto</t>
        </is>
      </c>
      <c r="D145" s="151" t="inlineStr">
        <is>
          <t>SUB-013665-4-001</t>
        </is>
      </c>
      <c r="E145" s="150" t="n">
        <v>30</v>
      </c>
      <c r="F145" s="151" t="inlineStr">
        <is>
          <t>grams</t>
        </is>
      </c>
      <c r="G145" s="151" t="inlineStr">
        <is>
          <t>BLAST CHILLER, IMMERSION BLENDER</t>
        </is>
      </c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inlineStr">
        <is>
          <t>FA-DE Oil, Olive /Öl, Olivenöl</t>
        </is>
      </c>
      <c r="X145" s="151" t="inlineStr">
        <is>
          <t>PRO-00-139277-5</t>
        </is>
      </c>
      <c r="Y145" s="151" t="inlineStr">
        <is>
          <t>17,24</t>
        </is>
      </c>
      <c r="Z145" s="149" t="inlineStr">
        <is>
          <t>17,24</t>
        </is>
      </c>
      <c r="AA145" s="151" t="inlineStr">
        <is>
          <t>grams</t>
        </is>
      </c>
      <c r="AB145" s="151" t="n"/>
      <c r="AC145" s="151" t="n"/>
      <c r="AD145" s="150" t="n">
        <v>0.95726</v>
      </c>
      <c r="AE145" s="149" t="n">
        <v>17.24</v>
      </c>
      <c r="AF145" s="151" t="inlineStr">
        <is>
          <t>grams</t>
        </is>
      </c>
      <c r="AG145" s="151" t="n"/>
      <c r="AH145" s="151" t="n"/>
    </row>
    <row r="146">
      <c r="A146" s="151" t="inlineStr">
        <is>
          <t>FV0035A - Salmon with pesto [DKSE]</t>
        </is>
      </c>
      <c r="B146" s="151" t="inlineStr">
        <is>
          <t>REC-013940-4-004</t>
        </is>
      </c>
      <c r="C146" s="151" t="inlineStr">
        <is>
          <t>Sauce - Pesto</t>
        </is>
      </c>
      <c r="D146" s="151" t="inlineStr">
        <is>
          <t>SUB-013665-4-001</t>
        </is>
      </c>
      <c r="E146" s="150" t="n">
        <v>30</v>
      </c>
      <c r="F146" s="151" t="inlineStr">
        <is>
          <t>grams</t>
        </is>
      </c>
      <c r="G146" s="151" t="inlineStr">
        <is>
          <t>BLAST CHILLER, IMMERSION BLENDER</t>
        </is>
      </c>
      <c r="H146" s="151" t="inlineStr">
        <is>
          <t>Basil Kill Step</t>
        </is>
      </c>
      <c r="I146" s="151" t="inlineStr">
        <is>
          <t>SUB-024331-4-001</t>
        </is>
      </c>
      <c r="J146" s="150" t="n">
        <v>3.55</v>
      </c>
      <c r="K146" s="151" t="inlineStr">
        <is>
          <t>grams</t>
        </is>
      </c>
      <c r="L146" s="151" t="inlineStr">
        <is>
          <t>BLAST CHILLER, OVEN</t>
        </is>
      </c>
      <c r="M146" s="151" t="inlineStr">
        <is>
          <t>Basil - Picked Basil Leaves</t>
        </is>
      </c>
      <c r="N146" s="151" t="inlineStr">
        <is>
          <t>SUB-013424-4-001</t>
        </is>
      </c>
      <c r="O146" s="150" t="n">
        <v>3.94</v>
      </c>
      <c r="P146" s="151" t="inlineStr">
        <is>
          <t>grams</t>
        </is>
      </c>
      <c r="Q146" s="151" t="inlineStr">
        <is>
          <t>DEBOX, STAGING</t>
        </is>
      </c>
      <c r="R146" s="151" t="n"/>
      <c r="S146" s="151" t="n"/>
      <c r="T146" s="151" t="n"/>
      <c r="U146" s="151" t="n"/>
      <c r="V146" s="151" t="n"/>
      <c r="W146" s="151" t="inlineStr">
        <is>
          <t>FA-DE Basil, Fresh /Basilikum, frisch</t>
        </is>
      </c>
      <c r="X146" s="151" t="inlineStr">
        <is>
          <t>PHF-00-139175-3</t>
        </is>
      </c>
      <c r="Y146" s="154" t="inlineStr">
        <is>
          <t>7,04</t>
        </is>
      </c>
      <c r="Z146" s="149" t="inlineStr">
        <is>
          <t>7,04</t>
        </is>
      </c>
      <c r="AA146" s="151" t="inlineStr">
        <is>
          <t>grams</t>
        </is>
      </c>
      <c r="AB146" s="151" t="n"/>
      <c r="AC146" s="151" t="n"/>
      <c r="AD146" s="150" t="n">
        <v>0.55986</v>
      </c>
      <c r="AE146" s="149" t="n">
        <v>7.04</v>
      </c>
      <c r="AF146" s="151" t="inlineStr">
        <is>
          <t>grams</t>
        </is>
      </c>
      <c r="AG146" s="151" t="n"/>
      <c r="AH146" s="151" t="n"/>
    </row>
    <row r="147">
      <c r="A147" s="151" t="inlineStr">
        <is>
          <t>FV0035A - Salmon with pesto [DKSE]</t>
        </is>
      </c>
      <c r="B147" s="151" t="inlineStr">
        <is>
          <t>REC-013940-4-004</t>
        </is>
      </c>
      <c r="C147" s="151" t="inlineStr">
        <is>
          <t>Sauce - Pesto</t>
        </is>
      </c>
      <c r="D147" s="151" t="inlineStr">
        <is>
          <t>SUB-013665-4-001</t>
        </is>
      </c>
      <c r="E147" s="150" t="n">
        <v>30</v>
      </c>
      <c r="F147" s="151" t="inlineStr">
        <is>
          <t>grams</t>
        </is>
      </c>
      <c r="G147" s="151" t="inlineStr">
        <is>
          <t>BLAST CHILLER, IMMERSION BLENDER</t>
        </is>
      </c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inlineStr">
        <is>
          <t>FA-DE Spice, Garlic Granulated /Gewürz, Knoblauch granuliert</t>
        </is>
      </c>
      <c r="X147" s="151" t="inlineStr">
        <is>
          <t>SPI-00-139353-5</t>
        </is>
      </c>
      <c r="Y147" s="151" t="inlineStr">
        <is>
          <t>0,15</t>
        </is>
      </c>
      <c r="Z147" s="149" t="inlineStr">
        <is>
          <t>0,15</t>
        </is>
      </c>
      <c r="AA147" s="151" t="inlineStr">
        <is>
          <t>grams</t>
        </is>
      </c>
      <c r="AB147" s="151" t="n"/>
      <c r="AC147" s="151" t="n"/>
      <c r="AD147" s="150" t="n">
        <v>0.95726</v>
      </c>
      <c r="AE147" s="149" t="n">
        <v>0.15</v>
      </c>
      <c r="AF147" s="151" t="inlineStr">
        <is>
          <t>grams</t>
        </is>
      </c>
      <c r="AG147" s="151" t="n"/>
      <c r="AH147" s="151" t="n"/>
    </row>
    <row r="148">
      <c r="A148" s="151" t="inlineStr">
        <is>
          <t>FV0035A - Salmon with pesto [DKSE]</t>
        </is>
      </c>
      <c r="B148" s="151" t="inlineStr">
        <is>
          <t>REC-013940-4-004</t>
        </is>
      </c>
      <c r="C148" s="151" t="inlineStr">
        <is>
          <t>Sauce - Pesto</t>
        </is>
      </c>
      <c r="D148" s="151" t="inlineStr">
        <is>
          <t>SUB-013665-4-001</t>
        </is>
      </c>
      <c r="E148" s="150" t="n">
        <v>30</v>
      </c>
      <c r="F148" s="151" t="inlineStr">
        <is>
          <t>grams</t>
        </is>
      </c>
      <c r="G148" s="151" t="inlineStr">
        <is>
          <t>BLAST CHILLER, IMMERSION BLENDER</t>
        </is>
      </c>
      <c r="H148" s="151" t="inlineStr">
        <is>
          <t>Fresh Spinach Kill Step</t>
        </is>
      </c>
      <c r="I148" s="151" t="inlineStr">
        <is>
          <t>SUB-024333-4-001</t>
        </is>
      </c>
      <c r="J148" s="150" t="n">
        <v>3.63</v>
      </c>
      <c r="K148" s="151" t="inlineStr">
        <is>
          <t>grams</t>
        </is>
      </c>
      <c r="L148" s="151" t="inlineStr">
        <is>
          <t>BLAST CHILLER, OVEN</t>
        </is>
      </c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inlineStr">
        <is>
          <t>FA-DE Spinach, Fresh, Stem Off /Spinat, frisch, ohne Stiel</t>
        </is>
      </c>
      <c r="X148" s="151" t="inlineStr">
        <is>
          <t>PHF-00-139225-3</t>
        </is>
      </c>
      <c r="Y148" s="151" t="inlineStr">
        <is>
          <t>4,03</t>
        </is>
      </c>
      <c r="Z148" s="149" t="inlineStr">
        <is>
          <t>4,03</t>
        </is>
      </c>
      <c r="AA148" s="151" t="inlineStr">
        <is>
          <t>grams</t>
        </is>
      </c>
      <c r="AB148" s="151" t="n"/>
      <c r="AC148" s="151" t="n"/>
      <c r="AD148" s="150" t="n">
        <v>0.9</v>
      </c>
      <c r="AE148" s="149" t="n">
        <v>4.03</v>
      </c>
      <c r="AF148" s="151" t="inlineStr">
        <is>
          <t>grams</t>
        </is>
      </c>
      <c r="AG148" s="151" t="n"/>
      <c r="AH148" s="151" t="n"/>
    </row>
    <row r="149">
      <c r="A149" s="151" t="inlineStr">
        <is>
          <t>FV0035A - Salmon with pesto [DKSE]</t>
        </is>
      </c>
      <c r="B149" s="151" t="inlineStr">
        <is>
          <t>REC-013940-4-004</t>
        </is>
      </c>
      <c r="C149" s="151" t="inlineStr">
        <is>
          <t>S&amp;P Roasted Green Beans 1</t>
        </is>
      </c>
      <c r="D149" s="151" t="inlineStr">
        <is>
          <t>SUB-014184-4-001</t>
        </is>
      </c>
      <c r="E149" s="150" t="n">
        <v>90</v>
      </c>
      <c r="F149" s="151" t="inlineStr">
        <is>
          <t>grams</t>
        </is>
      </c>
      <c r="G149" s="151" t="inlineStr">
        <is>
          <t>BLAST CHILLER, OVEN</t>
        </is>
      </c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inlineStr">
        <is>
          <t>FA-DE Oil, Olive /Öl, Olivenöl</t>
        </is>
      </c>
      <c r="X149" s="151" t="inlineStr">
        <is>
          <t>PRO-00-139277-5</t>
        </is>
      </c>
      <c r="Y149" s="151" t="inlineStr">
        <is>
          <t>7,62</t>
        </is>
      </c>
      <c r="Z149" s="149" t="inlineStr">
        <is>
          <t>7,62</t>
        </is>
      </c>
      <c r="AA149" s="151" t="inlineStr">
        <is>
          <t>grams</t>
        </is>
      </c>
      <c r="AB149" s="151" t="n"/>
      <c r="AC149" s="151" t="n"/>
      <c r="AD149" s="150" t="n">
        <v>0.74605</v>
      </c>
      <c r="AE149" s="149" t="n">
        <v>7.62</v>
      </c>
      <c r="AF149" s="151" t="inlineStr">
        <is>
          <t>grams</t>
        </is>
      </c>
      <c r="AG149" s="151" t="n"/>
      <c r="AH149" s="151" t="n"/>
    </row>
    <row r="150">
      <c r="A150" s="151" t="inlineStr">
        <is>
          <t>FV0035A - Salmon with pesto [DKSE]</t>
        </is>
      </c>
      <c r="B150" s="151" t="inlineStr">
        <is>
          <t>REC-013940-4-004</t>
        </is>
      </c>
      <c r="C150" s="151" t="inlineStr">
        <is>
          <t>S&amp;P Roasted Green Beans 1</t>
        </is>
      </c>
      <c r="D150" s="151" t="inlineStr">
        <is>
          <t>SUB-014184-4-001</t>
        </is>
      </c>
      <c r="E150" s="150" t="n">
        <v>90</v>
      </c>
      <c r="F150" s="151" t="inlineStr">
        <is>
          <t>grams</t>
        </is>
      </c>
      <c r="G150" s="151" t="inlineStr">
        <is>
          <t>BLAST CHILLER, OVEN</t>
        </is>
      </c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inlineStr">
        <is>
          <t>FA-DE Spice, Sea Salt /Gewürze, Meersalz</t>
        </is>
      </c>
      <c r="X150" s="151" t="inlineStr">
        <is>
          <t>SPI-00-139378-5</t>
        </is>
      </c>
      <c r="Y150" s="151" t="inlineStr">
        <is>
          <t>0,45</t>
        </is>
      </c>
      <c r="Z150" s="149" t="inlineStr">
        <is>
          <t>0,45</t>
        </is>
      </c>
      <c r="AA150" s="151" t="inlineStr">
        <is>
          <t>grams</t>
        </is>
      </c>
      <c r="AB150" s="151" t="n"/>
      <c r="AC150" s="151" t="n"/>
      <c r="AD150" s="150" t="n">
        <v>0.74605</v>
      </c>
      <c r="AE150" s="149" t="n">
        <v>0.45</v>
      </c>
      <c r="AF150" s="151" t="inlineStr">
        <is>
          <t>grams</t>
        </is>
      </c>
      <c r="AG150" s="151" t="n"/>
      <c r="AH150" s="151" t="n"/>
    </row>
    <row r="151">
      <c r="A151" s="151" t="inlineStr">
        <is>
          <t>FV0035A - Salmon with pesto [DKSE]</t>
        </is>
      </c>
      <c r="B151" s="151" t="inlineStr">
        <is>
          <t>REC-013940-4-004</t>
        </is>
      </c>
      <c r="C151" s="151" t="inlineStr">
        <is>
          <t>S&amp;P Roasted Green Beans 1</t>
        </is>
      </c>
      <c r="D151" s="151" t="inlineStr">
        <is>
          <t>SUB-014184-4-001</t>
        </is>
      </c>
      <c r="E151" s="150" t="n">
        <v>90</v>
      </c>
      <c r="F151" s="151" t="inlineStr">
        <is>
          <t>grams</t>
        </is>
      </c>
      <c r="G151" s="151" t="inlineStr">
        <is>
          <t>BLAST CHILLER, OVEN</t>
        </is>
      </c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inlineStr">
        <is>
          <t>FA-DE Spice, Black Pepper, Ground /Gewürz, schwarzer Pfeffer, gemahlen</t>
        </is>
      </c>
      <c r="X151" s="151" t="inlineStr">
        <is>
          <t>SPI-00-139334-5</t>
        </is>
      </c>
      <c r="Y151" s="151" t="inlineStr">
        <is>
          <t>0,22</t>
        </is>
      </c>
      <c r="Z151" s="149" t="inlineStr">
        <is>
          <t>0,22</t>
        </is>
      </c>
      <c r="AA151" s="151" t="inlineStr">
        <is>
          <t>grams</t>
        </is>
      </c>
      <c r="AB151" s="151" t="n"/>
      <c r="AC151" s="151" t="n"/>
      <c r="AD151" s="150" t="n">
        <v>0.74605</v>
      </c>
      <c r="AE151" s="149" t="n">
        <v>0.22</v>
      </c>
      <c r="AF151" s="151" t="inlineStr">
        <is>
          <t>grams</t>
        </is>
      </c>
      <c r="AG151" s="151" t="n"/>
      <c r="AH151" s="151" t="n"/>
    </row>
    <row r="152">
      <c r="A152" s="151" t="inlineStr">
        <is>
          <t>FV0035A - Salmon with pesto [DKSE]</t>
        </is>
      </c>
      <c r="B152" s="151" t="inlineStr">
        <is>
          <t>REC-013940-4-004</t>
        </is>
      </c>
      <c r="C152" s="151" t="inlineStr">
        <is>
          <t>S&amp;P Roasted Green Beans 1</t>
        </is>
      </c>
      <c r="D152" s="151" t="inlineStr">
        <is>
          <t>SUB-014184-4-001</t>
        </is>
      </c>
      <c r="E152" s="150" t="n">
        <v>90</v>
      </c>
      <c r="F152" s="151" t="inlineStr">
        <is>
          <t>grams</t>
        </is>
      </c>
      <c r="G152" s="151" t="inlineStr">
        <is>
          <t>BLAST CHILLER, OVEN</t>
        </is>
      </c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inlineStr">
        <is>
          <t>FA-DE Green Beans, Fresh and Trimmed/Grüne Bohnen, frisch und geschnitten</t>
        </is>
      </c>
      <c r="X152" s="151" t="inlineStr">
        <is>
          <t>PHF-00-139198-3</t>
        </is>
      </c>
      <c r="Y152" s="151" t="inlineStr">
        <is>
          <t>112,35</t>
        </is>
      </c>
      <c r="Z152" s="149" t="inlineStr">
        <is>
          <t>112,35</t>
        </is>
      </c>
      <c r="AA152" s="151" t="inlineStr">
        <is>
          <t>grams</t>
        </is>
      </c>
      <c r="AB152" s="151" t="n"/>
      <c r="AC152" s="151" t="n"/>
      <c r="AD152" s="150" t="n">
        <v>0.74605</v>
      </c>
      <c r="AE152" s="149" t="n">
        <v>112.35</v>
      </c>
      <c r="AF152" s="151" t="inlineStr">
        <is>
          <t>grams</t>
        </is>
      </c>
      <c r="AG152" s="151" t="n"/>
      <c r="AH152" s="151" t="n"/>
    </row>
    <row r="153">
      <c r="A153" s="151" t="inlineStr">
        <is>
          <t>FV0035A - Salmon with pesto [DKSE]</t>
        </is>
      </c>
      <c r="B153" s="151" t="inlineStr">
        <is>
          <t>REC-013940-4-004</t>
        </is>
      </c>
      <c r="C153" s="151" t="inlineStr">
        <is>
          <t>Compound butter - Sun-Dried Tomato</t>
        </is>
      </c>
      <c r="D153" s="151" t="inlineStr">
        <is>
          <t>SUB-013608-4-001</t>
        </is>
      </c>
      <c r="E153" s="150" t="n">
        <v>14</v>
      </c>
      <c r="F153" s="151" t="inlineStr">
        <is>
          <t>grams</t>
        </is>
      </c>
      <c r="G153" s="151" t="inlineStr">
        <is>
          <t>BLAST CHILLER, PLANETARY MIXER, SCOOPER (BUTTER)</t>
        </is>
      </c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inlineStr">
        <is>
          <t>FA-DE Spice, Garlic Granulated /Gewürz, Knoblauch granuliert</t>
        </is>
      </c>
      <c r="X153" s="151" t="inlineStr">
        <is>
          <t>SPI-00-139353-5</t>
        </is>
      </c>
      <c r="Y153" s="151" t="inlineStr">
        <is>
          <t>0,04</t>
        </is>
      </c>
      <c r="Z153" s="149" t="inlineStr">
        <is>
          <t>0,04</t>
        </is>
      </c>
      <c r="AA153" s="151" t="inlineStr">
        <is>
          <t>grams</t>
        </is>
      </c>
      <c r="AB153" s="151" t="n"/>
      <c r="AC153" s="151" t="n"/>
      <c r="AD153" s="150" t="n">
        <v>1</v>
      </c>
      <c r="AE153" s="149" t="n">
        <v>0.04</v>
      </c>
      <c r="AF153" s="151" t="inlineStr">
        <is>
          <t>grams</t>
        </is>
      </c>
      <c r="AG153" s="151" t="n"/>
      <c r="AH153" s="151" t="n"/>
    </row>
    <row r="154">
      <c r="A154" s="151" t="inlineStr">
        <is>
          <t>FV0035A - Salmon with pesto [DKSE]</t>
        </is>
      </c>
      <c r="B154" s="151" t="inlineStr">
        <is>
          <t>REC-013940-4-004</t>
        </is>
      </c>
      <c r="C154" s="151" t="inlineStr">
        <is>
          <t>Compound butter - Sun-Dried Tomato</t>
        </is>
      </c>
      <c r="D154" s="151" t="inlineStr">
        <is>
          <t>SUB-013608-4-001</t>
        </is>
      </c>
      <c r="E154" s="150" t="n">
        <v>14</v>
      </c>
      <c r="F154" s="151" t="inlineStr">
        <is>
          <t>grams</t>
        </is>
      </c>
      <c r="G154" s="151" t="inlineStr">
        <is>
          <t>BLAST CHILLER, PLANETARY MIXER, SCOOPER (BUTTER)</t>
        </is>
      </c>
      <c r="H154" s="151" t="inlineStr">
        <is>
          <t>Roasted Garlic (use)</t>
        </is>
      </c>
      <c r="I154" s="151" t="inlineStr">
        <is>
          <t>SUB-013367-4-001</t>
        </is>
      </c>
      <c r="J154" s="156" t="n">
        <v>1.16</v>
      </c>
      <c r="K154" s="151" t="inlineStr">
        <is>
          <t>grams</t>
        </is>
      </c>
      <c r="L154" s="151" t="inlineStr">
        <is>
          <t>BLAST CHILLER, OVEN</t>
        </is>
      </c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inlineStr">
        <is>
          <t>FA-DE Garlic, Peeled, Whole Cloves [10kg] /Knoblauch, geschält, ganze Nelken [10kg]</t>
        </is>
      </c>
      <c r="X154" s="151" t="inlineStr">
        <is>
          <t>PHF-00-139197-3</t>
        </is>
      </c>
      <c r="Y154" s="153" t="inlineStr">
        <is>
          <t>1,17</t>
        </is>
      </c>
      <c r="Z154" s="149" t="inlineStr">
        <is>
          <t>1,17</t>
        </is>
      </c>
      <c r="AA154" s="151" t="inlineStr">
        <is>
          <t>grams</t>
        </is>
      </c>
      <c r="AB154" s="151" t="n"/>
      <c r="AC154" s="151" t="n"/>
      <c r="AD154" s="150" t="n">
        <v>0.56691</v>
      </c>
      <c r="AE154" s="149" t="n">
        <v>1.17</v>
      </c>
      <c r="AF154" s="151" t="inlineStr">
        <is>
          <t>grams</t>
        </is>
      </c>
      <c r="AG154" s="151" t="n"/>
      <c r="AH154" s="151" t="n"/>
    </row>
    <row r="155">
      <c r="A155" s="151" t="inlineStr">
        <is>
          <t>FV0035A - Salmon with pesto [DKSE]</t>
        </is>
      </c>
      <c r="B155" s="151" t="inlineStr">
        <is>
          <t>REC-013940-4-004</t>
        </is>
      </c>
      <c r="C155" s="151" t="inlineStr">
        <is>
          <t>Compound butter - Sun-Dried Tomato</t>
        </is>
      </c>
      <c r="D155" s="151" t="inlineStr">
        <is>
          <t>SUB-013608-4-001</t>
        </is>
      </c>
      <c r="E155" s="150" t="n">
        <v>14</v>
      </c>
      <c r="F155" s="151" t="inlineStr">
        <is>
          <t>grams</t>
        </is>
      </c>
      <c r="G155" s="151" t="inlineStr">
        <is>
          <t>BLAST CHILLER, PLANETARY MIXER, SCOOPER (BUTTER)</t>
        </is>
      </c>
      <c r="H155" s="151" t="inlineStr">
        <is>
          <t>Roasted Garlic (use)</t>
        </is>
      </c>
      <c r="I155" s="151" t="inlineStr">
        <is>
          <t>SUB-013367-4-001</t>
        </is>
      </c>
      <c r="J155" s="156" t="n">
        <v>1.16</v>
      </c>
      <c r="K155" s="151" t="inlineStr">
        <is>
          <t>grams</t>
        </is>
      </c>
      <c r="L155" s="151" t="inlineStr">
        <is>
          <t>BLAST CHILLER, OVEN</t>
        </is>
      </c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inlineStr">
        <is>
          <t>FA-DE Oil, Olive /Öl, Olivenöl</t>
        </is>
      </c>
      <c r="X155" s="151" t="inlineStr">
        <is>
          <t>PRO-00-139277-5</t>
        </is>
      </c>
      <c r="Y155" s="151" t="inlineStr">
        <is>
          <t>0,88</t>
        </is>
      </c>
      <c r="Z155" s="149" t="inlineStr">
        <is>
          <t>0,88</t>
        </is>
      </c>
      <c r="AA155" s="151" t="inlineStr">
        <is>
          <t>grams</t>
        </is>
      </c>
      <c r="AB155" s="151" t="n"/>
      <c r="AC155" s="151" t="n"/>
      <c r="AD155" s="150" t="n">
        <v>0.56691</v>
      </c>
      <c r="AE155" s="149" t="n">
        <v>0.88</v>
      </c>
      <c r="AF155" s="151" t="inlineStr">
        <is>
          <t>grams</t>
        </is>
      </c>
      <c r="AG155" s="151" t="n"/>
      <c r="AH155" s="151" t="n"/>
    </row>
    <row r="156">
      <c r="A156" s="151" t="inlineStr">
        <is>
          <t>FV0035A - Salmon with pesto [DKSE]</t>
        </is>
      </c>
      <c r="B156" s="151" t="inlineStr">
        <is>
          <t>REC-013940-4-004</t>
        </is>
      </c>
      <c r="C156" s="151" t="inlineStr">
        <is>
          <t>Compound butter - Sun-Dried Tomato</t>
        </is>
      </c>
      <c r="D156" s="151" t="inlineStr">
        <is>
          <t>SUB-013608-4-001</t>
        </is>
      </c>
      <c r="E156" s="150" t="n">
        <v>14</v>
      </c>
      <c r="F156" s="151" t="inlineStr">
        <is>
          <t>grams</t>
        </is>
      </c>
      <c r="G156" s="151" t="inlineStr">
        <is>
          <t>BLAST CHILLER, PLANETARY MIXER, SCOOPER (BUTTER)</t>
        </is>
      </c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inlineStr">
        <is>
          <t>FA-DE Butter, Unsalted /Butter, ungesalzen</t>
        </is>
      </c>
      <c r="X156" s="151" t="inlineStr">
        <is>
          <t>DAI-00-139146-3</t>
        </is>
      </c>
      <c r="Y156" s="151" t="inlineStr">
        <is>
          <t>9,32</t>
        </is>
      </c>
      <c r="Z156" s="149" t="inlineStr">
        <is>
          <t>9,32</t>
        </is>
      </c>
      <c r="AA156" s="151" t="inlineStr">
        <is>
          <t>grams</t>
        </is>
      </c>
      <c r="AB156" s="151" t="inlineStr">
        <is>
          <t>MILCH (EINSCHLIESSLICH LAKTOSE)</t>
        </is>
      </c>
      <c r="AC156" s="151" t="n"/>
      <c r="AD156" s="150" t="n">
        <v>1</v>
      </c>
      <c r="AE156" s="149" t="n">
        <v>9.32</v>
      </c>
      <c r="AF156" s="151" t="inlineStr">
        <is>
          <t>grams</t>
        </is>
      </c>
      <c r="AG156" s="151" t="n"/>
      <c r="AH156" s="151" t="n"/>
    </row>
    <row r="157">
      <c r="A157" s="151" t="inlineStr">
        <is>
          <t>FV0035A - Salmon with pesto [DKSE]</t>
        </is>
      </c>
      <c r="B157" s="151" t="inlineStr">
        <is>
          <t>REC-013940-4-004</t>
        </is>
      </c>
      <c r="C157" s="151" t="inlineStr">
        <is>
          <t>Compound butter - Sun-Dried Tomato</t>
        </is>
      </c>
      <c r="D157" s="151" t="inlineStr">
        <is>
          <t>SUB-013608-4-001</t>
        </is>
      </c>
      <c r="E157" s="150" t="n">
        <v>14</v>
      </c>
      <c r="F157" s="151" t="inlineStr">
        <is>
          <t>grams</t>
        </is>
      </c>
      <c r="G157" s="151" t="inlineStr">
        <is>
          <t>BLAST CHILLER, PLANETARY MIXER, SCOOPER (BUTTER)</t>
        </is>
      </c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inlineStr">
        <is>
          <t>FA-DE Spice, Sea Salt /Gewürze, Meersalz</t>
        </is>
      </c>
      <c r="X157" s="151" t="inlineStr">
        <is>
          <t>SPI-00-139378-5</t>
        </is>
      </c>
      <c r="Y157" s="151" t="inlineStr">
        <is>
          <t>0,19</t>
        </is>
      </c>
      <c r="Z157" s="149" t="inlineStr">
        <is>
          <t>0,19</t>
        </is>
      </c>
      <c r="AA157" s="151" t="inlineStr">
        <is>
          <t>grams</t>
        </is>
      </c>
      <c r="AB157" s="151" t="n"/>
      <c r="AC157" s="151" t="n"/>
      <c r="AD157" s="150" t="n">
        <v>1</v>
      </c>
      <c r="AE157" s="149" t="n">
        <v>0.19</v>
      </c>
      <c r="AF157" s="151" t="inlineStr">
        <is>
          <t>grams</t>
        </is>
      </c>
      <c r="AG157" s="151" t="n"/>
      <c r="AH157" s="151" t="n"/>
    </row>
    <row r="158">
      <c r="A158" s="151" t="inlineStr">
        <is>
          <t>FV0035A - Salmon with pesto [DKSE]</t>
        </is>
      </c>
      <c r="B158" s="151" t="inlineStr">
        <is>
          <t>REC-013940-4-004</t>
        </is>
      </c>
      <c r="C158" s="151" t="inlineStr">
        <is>
          <t>Compound butter - Sun-Dried Tomato</t>
        </is>
      </c>
      <c r="D158" s="151" t="inlineStr">
        <is>
          <t>SUB-013608-4-001</t>
        </is>
      </c>
      <c r="E158" s="150" t="n">
        <v>14</v>
      </c>
      <c r="F158" s="151" t="inlineStr">
        <is>
          <t>grams</t>
        </is>
      </c>
      <c r="G158" s="151" t="inlineStr">
        <is>
          <t>BLAST CHILLER, PLANETARY MIXER, SCOOPER (BUTTER)</t>
        </is>
      </c>
      <c r="H158" s="151" t="inlineStr">
        <is>
          <t>Sun-Dried Tomato + Basil Puree</t>
        </is>
      </c>
      <c r="I158" s="151" t="inlineStr">
        <is>
          <t>SUB-029076-4-001</t>
        </is>
      </c>
      <c r="J158" s="150" t="n">
        <v>3.29</v>
      </c>
      <c r="K158" s="151" t="inlineStr">
        <is>
          <t>grams</t>
        </is>
      </c>
      <c r="L158" s="151" t="inlineStr">
        <is>
          <t>BRAISER</t>
        </is>
      </c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inlineStr">
        <is>
          <t>FA-DE Water / Wasser</t>
        </is>
      </c>
      <c r="X158" s="151" t="inlineStr">
        <is>
          <t>OTH-00-144038-5</t>
        </is>
      </c>
      <c r="Y158" s="151" t="inlineStr">
        <is>
          <t>1,74</t>
        </is>
      </c>
      <c r="Z158" s="149" t="inlineStr">
        <is>
          <t>1,74</t>
        </is>
      </c>
      <c r="AA158" s="151" t="inlineStr">
        <is>
          <t>grams</t>
        </is>
      </c>
      <c r="AB158" s="151" t="n"/>
      <c r="AC158" s="151" t="n"/>
      <c r="AD158" s="150" t="n">
        <v>0.90035</v>
      </c>
      <c r="AE158" s="149" t="n">
        <v>1.74</v>
      </c>
      <c r="AF158" s="151" t="inlineStr">
        <is>
          <t>grams</t>
        </is>
      </c>
      <c r="AG158" s="151" t="n"/>
      <c r="AH158" s="151" t="n"/>
    </row>
    <row r="159">
      <c r="A159" s="151" t="inlineStr">
        <is>
          <t>FV0035A - Salmon with pesto [DKSE]</t>
        </is>
      </c>
      <c r="B159" s="151" t="inlineStr">
        <is>
          <t>REC-013940-4-004</t>
        </is>
      </c>
      <c r="C159" s="151" t="inlineStr">
        <is>
          <t>Compound butter - Sun-Dried Tomato</t>
        </is>
      </c>
      <c r="D159" s="151" t="inlineStr">
        <is>
          <t>SUB-013608-4-001</t>
        </is>
      </c>
      <c r="E159" s="150" t="n">
        <v>14</v>
      </c>
      <c r="F159" s="151" t="inlineStr">
        <is>
          <t>grams</t>
        </is>
      </c>
      <c r="G159" s="151" t="inlineStr">
        <is>
          <t>BLAST CHILLER, PLANETARY MIXER, SCOOPER (BUTTER)</t>
        </is>
      </c>
      <c r="H159" s="151" t="inlineStr">
        <is>
          <t>Sun-Dried Tomato + Basil Puree</t>
        </is>
      </c>
      <c r="I159" s="151" t="inlineStr">
        <is>
          <t>SUB-029076-4-001</t>
        </is>
      </c>
      <c r="J159" s="150" t="n">
        <v>3.29</v>
      </c>
      <c r="K159" s="151" t="inlineStr">
        <is>
          <t>grams</t>
        </is>
      </c>
      <c r="L159" s="151" t="inlineStr">
        <is>
          <t>BRAISER</t>
        </is>
      </c>
      <c r="M159" s="151" t="inlineStr">
        <is>
          <t>Basil - Picked Basil Leaves</t>
        </is>
      </c>
      <c r="N159" s="151" t="inlineStr">
        <is>
          <t>SUB-013424-4-001</t>
        </is>
      </c>
      <c r="O159" s="150" t="n">
        <v>0.18</v>
      </c>
      <c r="P159" s="151" t="inlineStr">
        <is>
          <t>grams</t>
        </is>
      </c>
      <c r="Q159" s="151" t="inlineStr">
        <is>
          <t>DEBOX, STAGING</t>
        </is>
      </c>
      <c r="R159" s="151" t="n"/>
      <c r="S159" s="151" t="n"/>
      <c r="T159" s="151" t="n"/>
      <c r="U159" s="151" t="n"/>
      <c r="V159" s="151" t="n"/>
      <c r="W159" s="151" t="inlineStr">
        <is>
          <t>FA-DE Basil, Fresh /Basilikum, frisch</t>
        </is>
      </c>
      <c r="X159" s="151" t="inlineStr">
        <is>
          <t>PHF-00-139175-3</t>
        </is>
      </c>
      <c r="Y159" s="151" t="inlineStr">
        <is>
          <t>0,32</t>
        </is>
      </c>
      <c r="Z159" s="149" t="inlineStr">
        <is>
          <t>0,32</t>
        </is>
      </c>
      <c r="AA159" s="151" t="inlineStr">
        <is>
          <t>grams</t>
        </is>
      </c>
      <c r="AB159" s="151" t="n"/>
      <c r="AC159" s="151" t="n"/>
      <c r="AD159" s="150" t="n">
        <v>0.55986</v>
      </c>
      <c r="AE159" s="149" t="n">
        <v>0.32</v>
      </c>
      <c r="AF159" s="151" t="inlineStr">
        <is>
          <t>grams</t>
        </is>
      </c>
      <c r="AG159" s="151" t="n"/>
      <c r="AH159" s="151" t="n"/>
    </row>
    <row r="160">
      <c r="A160" s="151" t="inlineStr">
        <is>
          <t>FV0035A - Salmon with pesto [DKSE]</t>
        </is>
      </c>
      <c r="B160" s="151" t="inlineStr">
        <is>
          <t>REC-013940-4-004</t>
        </is>
      </c>
      <c r="C160" s="151" t="inlineStr">
        <is>
          <t>Compound butter - Sun-Dried Tomato</t>
        </is>
      </c>
      <c r="D160" s="151" t="inlineStr">
        <is>
          <t>SUB-013608-4-001</t>
        </is>
      </c>
      <c r="E160" s="150" t="n">
        <v>14</v>
      </c>
      <c r="F160" s="151" t="inlineStr">
        <is>
          <t>grams</t>
        </is>
      </c>
      <c r="G160" s="151" t="inlineStr">
        <is>
          <t>BLAST CHILLER, PLANETARY MIXER, SCOOPER (BUTTER)</t>
        </is>
      </c>
      <c r="H160" s="151" t="inlineStr">
        <is>
          <t>Sun-Dried Tomato + Basil Puree</t>
        </is>
      </c>
      <c r="I160" s="151" t="inlineStr">
        <is>
          <t>SUB-029076-4-001</t>
        </is>
      </c>
      <c r="J160" s="150" t="n">
        <v>3.29</v>
      </c>
      <c r="K160" s="151" t="inlineStr">
        <is>
          <t>grams</t>
        </is>
      </c>
      <c r="L160" s="151" t="inlineStr">
        <is>
          <t>BRAISER</t>
        </is>
      </c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inlineStr">
        <is>
          <t>FA-DE Tomatoes, Sun - Dried Julienned /Tomaten, sonnengetrocknete Julienne</t>
        </is>
      </c>
      <c r="X160" s="151" t="inlineStr">
        <is>
          <t>PRO-00-139296-5</t>
        </is>
      </c>
      <c r="Y160" s="151" t="inlineStr">
        <is>
          <t>1,74</t>
        </is>
      </c>
      <c r="Z160" s="149" t="inlineStr">
        <is>
          <t>1,74</t>
        </is>
      </c>
      <c r="AA160" s="151" t="inlineStr">
        <is>
          <t>grams</t>
        </is>
      </c>
      <c r="AB160" s="151" t="n"/>
      <c r="AC160" s="151" t="n"/>
      <c r="AD160" s="150" t="n">
        <v>0.90035</v>
      </c>
      <c r="AE160" s="149" t="n">
        <v>1.74</v>
      </c>
      <c r="AF160" s="151" t="inlineStr">
        <is>
          <t>grams</t>
        </is>
      </c>
      <c r="AG160" s="151" t="n"/>
      <c r="AH160" s="151" t="n"/>
    </row>
    <row r="161">
      <c r="A161" s="151" t="inlineStr">
        <is>
          <t>FV0090A - Ratatouille of zucchini and pepper [DE]</t>
        </is>
      </c>
      <c r="B161" s="151" t="inlineStr">
        <is>
          <t>REC-013827-4-004</t>
        </is>
      </c>
      <c r="C161" s="151" t="inlineStr">
        <is>
          <t>Mixed veg - Ratatouille Vegetable Batch</t>
        </is>
      </c>
      <c r="D161" s="151" t="inlineStr">
        <is>
          <t>SUB-013764-4-001</t>
        </is>
      </c>
      <c r="E161" s="150" t="n">
        <v>255</v>
      </c>
      <c r="F161" s="151" t="inlineStr">
        <is>
          <t>grams</t>
        </is>
      </c>
      <c r="G161" s="151" t="inlineStr">
        <is>
          <t>BLAST CHILLER, BRAISER, SPICE PORTIONING</t>
        </is>
      </c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inlineStr">
        <is>
          <t>FA-DE Parsley, Chopped /Petersilie, gehackt</t>
        </is>
      </c>
      <c r="X161" s="151" t="inlineStr">
        <is>
          <t>PHF-00-139215-3</t>
        </is>
      </c>
      <c r="Y161" s="151" t="inlineStr">
        <is>
          <t>2,48</t>
        </is>
      </c>
      <c r="Z161" s="149" t="inlineStr">
        <is>
          <t>2,48</t>
        </is>
      </c>
      <c r="AA161" s="151" t="inlineStr">
        <is>
          <t>grams</t>
        </is>
      </c>
      <c r="AB161" s="151" t="n"/>
      <c r="AC161" s="151" t="n"/>
      <c r="AD161" s="150" t="n">
        <v>0.86355</v>
      </c>
      <c r="AE161" s="149" t="n">
        <v>2.48</v>
      </c>
      <c r="AF161" s="151" t="inlineStr">
        <is>
          <t>grams</t>
        </is>
      </c>
      <c r="AG161" s="151" t="n"/>
      <c r="AH161" s="151" t="n"/>
    </row>
    <row r="162">
      <c r="A162" s="151" t="inlineStr">
        <is>
          <t>FV0090A - Ratatouille of zucchini and pepper [DE]</t>
        </is>
      </c>
      <c r="B162" s="151" t="inlineStr">
        <is>
          <t>REC-013827-4-004</t>
        </is>
      </c>
      <c r="C162" s="151" t="inlineStr">
        <is>
          <t>Mixed veg - Ratatouille Vegetable Batch</t>
        </is>
      </c>
      <c r="D162" s="151" t="inlineStr">
        <is>
          <t>SUB-013764-4-001</t>
        </is>
      </c>
      <c r="E162" s="150" t="n">
        <v>255</v>
      </c>
      <c r="F162" s="151" t="inlineStr">
        <is>
          <t>grams</t>
        </is>
      </c>
      <c r="G162" s="151" t="inlineStr">
        <is>
          <t>BLAST CHILLER, BRAISER, SPICE PORTIONING</t>
        </is>
      </c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inlineStr">
        <is>
          <t>FA-DE Rosemary, IQF /Rosmarin, IQF</t>
        </is>
      </c>
      <c r="X162" s="151" t="inlineStr">
        <is>
          <t>PHF-00-139243-1</t>
        </is>
      </c>
      <c r="Y162" s="151" t="inlineStr">
        <is>
          <t>0,31</t>
        </is>
      </c>
      <c r="Z162" s="149" t="inlineStr">
        <is>
          <t>0,31</t>
        </is>
      </c>
      <c r="AA162" s="151" t="inlineStr">
        <is>
          <t>grams</t>
        </is>
      </c>
      <c r="AB162" s="151" t="n"/>
      <c r="AC162" s="151" t="n"/>
      <c r="AD162" s="150" t="n">
        <v>0.86355</v>
      </c>
      <c r="AE162" s="149" t="n">
        <v>0.31</v>
      </c>
      <c r="AF162" s="151" t="inlineStr">
        <is>
          <t>grams</t>
        </is>
      </c>
      <c r="AG162" s="151" t="n"/>
      <c r="AH162" s="151" t="n"/>
    </row>
    <row r="163">
      <c r="A163" s="151" t="inlineStr">
        <is>
          <t>FV0090A - Ratatouille of zucchini and pepper [DE]</t>
        </is>
      </c>
      <c r="B163" s="151" t="inlineStr">
        <is>
          <t>REC-013827-4-004</t>
        </is>
      </c>
      <c r="C163" s="151" t="inlineStr">
        <is>
          <t>Mixed veg - Ratatouille Vegetable Batch</t>
        </is>
      </c>
      <c r="D163" s="151" t="inlineStr">
        <is>
          <t>SUB-013764-4-001</t>
        </is>
      </c>
      <c r="E163" s="150" t="n">
        <v>255</v>
      </c>
      <c r="F163" s="151" t="inlineStr">
        <is>
          <t>grams</t>
        </is>
      </c>
      <c r="G163" s="151" t="inlineStr">
        <is>
          <t>BLAST CHILLER, BRAISER, SPICE PORTIONING</t>
        </is>
      </c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inlineStr">
        <is>
          <t>FA-DE Onion, Spanish, Diced 10mm /Zwiebel, Spanisch, gewürfelt 10 mm</t>
        </is>
      </c>
      <c r="X163" s="151" t="inlineStr">
        <is>
          <t>PHF-00-139209-3</t>
        </is>
      </c>
      <c r="Y163" s="151" t="inlineStr">
        <is>
          <t>24,18</t>
        </is>
      </c>
      <c r="Z163" s="149" t="inlineStr">
        <is>
          <t>24,18</t>
        </is>
      </c>
      <c r="AA163" s="151" t="inlineStr">
        <is>
          <t>grams</t>
        </is>
      </c>
      <c r="AB163" s="151" t="n"/>
      <c r="AC163" s="151" t="n"/>
      <c r="AD163" s="150" t="n">
        <v>0.86355</v>
      </c>
      <c r="AE163" s="149" t="n">
        <v>24.18</v>
      </c>
      <c r="AF163" s="151" t="inlineStr">
        <is>
          <t>grams</t>
        </is>
      </c>
      <c r="AG163" s="151" t="n"/>
      <c r="AH163" s="151" t="n"/>
    </row>
    <row r="164">
      <c r="A164" s="151" t="inlineStr">
        <is>
          <t>FV0090A - Ratatouille of zucchini and pepper [DE]</t>
        </is>
      </c>
      <c r="B164" s="151" t="inlineStr">
        <is>
          <t>REC-013827-4-004</t>
        </is>
      </c>
      <c r="C164" s="151" t="inlineStr">
        <is>
          <t>Mixed veg - Ratatouille Vegetable Batch</t>
        </is>
      </c>
      <c r="D164" s="151" t="inlineStr">
        <is>
          <t>SUB-013764-4-001</t>
        </is>
      </c>
      <c r="E164" s="150" t="n">
        <v>255</v>
      </c>
      <c r="F164" s="151" t="inlineStr">
        <is>
          <t>grams</t>
        </is>
      </c>
      <c r="G164" s="151" t="inlineStr">
        <is>
          <t>BLAST CHILLER, BRAISER, SPICE PORTIONING</t>
        </is>
      </c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inlineStr">
        <is>
          <t>FA-DE Fennel, Diced 10mm /Fenchel, gewürfelt 10 mm</t>
        </is>
      </c>
      <c r="X164" s="151" t="inlineStr">
        <is>
          <t>PHF-00-139196-3</t>
        </is>
      </c>
      <c r="Y164" s="151" t="inlineStr">
        <is>
          <t>11,35</t>
        </is>
      </c>
      <c r="Z164" s="149" t="inlineStr">
        <is>
          <t>11,35</t>
        </is>
      </c>
      <c r="AA164" s="151" t="inlineStr">
        <is>
          <t>grams</t>
        </is>
      </c>
      <c r="AB164" s="151" t="n"/>
      <c r="AC164" s="151" t="n"/>
      <c r="AD164" s="150" t="n">
        <v>0.86355</v>
      </c>
      <c r="AE164" s="149" t="n">
        <v>11.35</v>
      </c>
      <c r="AF164" s="151" t="inlineStr">
        <is>
          <t>grams</t>
        </is>
      </c>
      <c r="AG164" s="151" t="n"/>
      <c r="AH164" s="151" t="n"/>
    </row>
    <row r="165">
      <c r="A165" s="151" t="inlineStr">
        <is>
          <t>FV0090A - Ratatouille of zucchini and pepper [DE]</t>
        </is>
      </c>
      <c r="B165" s="151" t="inlineStr">
        <is>
          <t>REC-013827-4-004</t>
        </is>
      </c>
      <c r="C165" s="151" t="inlineStr">
        <is>
          <t>Mixed veg - Ratatouille Vegetable Batch</t>
        </is>
      </c>
      <c r="D165" s="151" t="inlineStr">
        <is>
          <t>SUB-013764-4-001</t>
        </is>
      </c>
      <c r="E165" s="150" t="n">
        <v>255</v>
      </c>
      <c r="F165" s="151" t="inlineStr">
        <is>
          <t>grams</t>
        </is>
      </c>
      <c r="G165" s="151" t="inlineStr">
        <is>
          <t>BLAST CHILLER, BRAISER, SPICE PORTIONING</t>
        </is>
      </c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inlineStr">
        <is>
          <t>FA-DE Zucchini, Diced 10mm /Zucchini, gewürfelt 10 mm</t>
        </is>
      </c>
      <c r="X165" s="151" t="inlineStr">
        <is>
          <t>PHF-00-139229-3</t>
        </is>
      </c>
      <c r="Y165" s="151" t="inlineStr">
        <is>
          <t>79,36</t>
        </is>
      </c>
      <c r="Z165" s="149" t="inlineStr">
        <is>
          <t>79,36</t>
        </is>
      </c>
      <c r="AA165" s="151" t="inlineStr">
        <is>
          <t>grams</t>
        </is>
      </c>
      <c r="AB165" s="151" t="n"/>
      <c r="AC165" s="151" t="n"/>
      <c r="AD165" s="150" t="n">
        <v>0.86355</v>
      </c>
      <c r="AE165" s="149" t="n">
        <v>79.36</v>
      </c>
      <c r="AF165" s="151" t="inlineStr">
        <is>
          <t>grams</t>
        </is>
      </c>
      <c r="AG165" s="151" t="n"/>
      <c r="AH165" s="151" t="n"/>
    </row>
    <row r="166">
      <c r="A166" s="151" t="inlineStr">
        <is>
          <t>FV0090A - Ratatouille of zucchini and pepper [DE]</t>
        </is>
      </c>
      <c r="B166" s="151" t="inlineStr">
        <is>
          <t>REC-013827-4-004</t>
        </is>
      </c>
      <c r="C166" s="151" t="inlineStr">
        <is>
          <t>Mixed veg - Ratatouille Vegetable Batch</t>
        </is>
      </c>
      <c r="D166" s="151" t="inlineStr">
        <is>
          <t>SUB-013764-4-001</t>
        </is>
      </c>
      <c r="E166" s="150" t="n">
        <v>255</v>
      </c>
      <c r="F166" s="151" t="inlineStr">
        <is>
          <t>grams</t>
        </is>
      </c>
      <c r="G166" s="151" t="inlineStr">
        <is>
          <t>BLAST CHILLER, BRAISER, SPICE PORTIONING</t>
        </is>
      </c>
      <c r="H166" s="151" t="inlineStr">
        <is>
          <t>Basil - Picked Basil Leaves</t>
        </is>
      </c>
      <c r="I166" s="151" t="inlineStr">
        <is>
          <t>SUB-013424-4-001</t>
        </is>
      </c>
      <c r="J166" s="150" t="n">
        <v>2.48</v>
      </c>
      <c r="K166" s="151" t="inlineStr">
        <is>
          <t>grams</t>
        </is>
      </c>
      <c r="L166" s="151" t="inlineStr">
        <is>
          <t>DEBOX, STAGING</t>
        </is>
      </c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inlineStr">
        <is>
          <t>FA-DE Basil, Fresh /Basilikum, frisch</t>
        </is>
      </c>
      <c r="X166" s="151" t="inlineStr">
        <is>
          <t>PHF-00-139175-3</t>
        </is>
      </c>
      <c r="Y166" s="151" t="inlineStr">
        <is>
          <t>4,43</t>
        </is>
      </c>
      <c r="Z166" s="149" t="inlineStr">
        <is>
          <t>4,43</t>
        </is>
      </c>
      <c r="AA166" s="151" t="inlineStr">
        <is>
          <t>grams</t>
        </is>
      </c>
      <c r="AB166" s="151" t="n"/>
      <c r="AC166" s="151" t="n"/>
      <c r="AD166" s="150" t="n">
        <v>0.55986</v>
      </c>
      <c r="AE166" s="149" t="n">
        <v>4.43</v>
      </c>
      <c r="AF166" s="151" t="inlineStr">
        <is>
          <t>grams</t>
        </is>
      </c>
      <c r="AG166" s="151" t="n"/>
      <c r="AH166" s="151" t="n"/>
    </row>
    <row r="167">
      <c r="A167" s="151" t="inlineStr">
        <is>
          <t>FV0090A - Ratatouille of zucchini and pepper [DE]</t>
        </is>
      </c>
      <c r="B167" s="151" t="inlineStr">
        <is>
          <t>REC-013827-4-004</t>
        </is>
      </c>
      <c r="C167" s="151" t="inlineStr">
        <is>
          <t>Mixed veg - Ratatouille Vegetable Batch</t>
        </is>
      </c>
      <c r="D167" s="151" t="inlineStr">
        <is>
          <t>SUB-013764-4-001</t>
        </is>
      </c>
      <c r="E167" s="150" t="n">
        <v>255</v>
      </c>
      <c r="F167" s="151" t="inlineStr">
        <is>
          <t>grams</t>
        </is>
      </c>
      <c r="G167" s="151" t="inlineStr">
        <is>
          <t>BLAST CHILLER, BRAISER, SPICE PORTIONING</t>
        </is>
      </c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inlineStr">
        <is>
          <t>FA-DE Tomatoes, Diced, BiB/Tomaten, gewürfelt, BiB</t>
        </is>
      </c>
      <c r="X167" s="151" t="inlineStr">
        <is>
          <t>PRO-00-139295-5</t>
        </is>
      </c>
      <c r="Y167" s="151" t="inlineStr">
        <is>
          <t>76,56</t>
        </is>
      </c>
      <c r="Z167" s="149" t="inlineStr">
        <is>
          <t>76,56</t>
        </is>
      </c>
      <c r="AA167" s="151" t="inlineStr">
        <is>
          <t>grams</t>
        </is>
      </c>
      <c r="AB167" s="151" t="n"/>
      <c r="AC167" s="151" t="n"/>
      <c r="AD167" s="150" t="n">
        <v>0.86355</v>
      </c>
      <c r="AE167" s="149" t="n">
        <v>76.56</v>
      </c>
      <c r="AF167" s="151" t="inlineStr">
        <is>
          <t>grams</t>
        </is>
      </c>
      <c r="AG167" s="151" t="n"/>
      <c r="AH167" s="151" t="n"/>
    </row>
    <row r="168">
      <c r="A168" s="151" t="inlineStr">
        <is>
          <t>FV0090A - Ratatouille of zucchini and pepper [DE]</t>
        </is>
      </c>
      <c r="B168" s="151" t="inlineStr">
        <is>
          <t>REC-013827-4-004</t>
        </is>
      </c>
      <c r="C168" s="151" t="inlineStr">
        <is>
          <t>Mixed veg - Ratatouille Vegetable Batch</t>
        </is>
      </c>
      <c r="D168" s="151" t="inlineStr">
        <is>
          <t>SUB-013764-4-001</t>
        </is>
      </c>
      <c r="E168" s="150" t="n">
        <v>255</v>
      </c>
      <c r="F168" s="151" t="inlineStr">
        <is>
          <t>grams</t>
        </is>
      </c>
      <c r="G168" s="151" t="inlineStr">
        <is>
          <t>BLAST CHILLER, BRAISER, SPICE PORTIONING</t>
        </is>
      </c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inlineStr">
        <is>
          <t>FA-DE Tomato Paste /Tomatenmark</t>
        </is>
      </c>
      <c r="X168" s="151" t="inlineStr">
        <is>
          <t>PRO-00-139292-5</t>
        </is>
      </c>
      <c r="Y168" s="151" t="inlineStr">
        <is>
          <t>15,03</t>
        </is>
      </c>
      <c r="Z168" s="149" t="inlineStr">
        <is>
          <t>15,03</t>
        </is>
      </c>
      <c r="AA168" s="151" t="inlineStr">
        <is>
          <t>grams</t>
        </is>
      </c>
      <c r="AB168" s="151" t="n"/>
      <c r="AC168" s="151" t="n"/>
      <c r="AD168" s="150" t="n">
        <v>0.86355</v>
      </c>
      <c r="AE168" s="149" t="n">
        <v>15.03</v>
      </c>
      <c r="AF168" s="151" t="inlineStr">
        <is>
          <t>grams</t>
        </is>
      </c>
      <c r="AG168" s="151" t="n"/>
      <c r="AH168" s="151" t="n"/>
    </row>
    <row r="169">
      <c r="A169" s="151" t="inlineStr">
        <is>
          <t>FV0090A - Ratatouille of zucchini and pepper [DE]</t>
        </is>
      </c>
      <c r="B169" s="151" t="inlineStr">
        <is>
          <t>REC-013827-4-004</t>
        </is>
      </c>
      <c r="C169" s="151" t="inlineStr">
        <is>
          <t>Mixed veg - Ratatouille Vegetable Batch</t>
        </is>
      </c>
      <c r="D169" s="151" t="inlineStr">
        <is>
          <t>SUB-013764-4-001</t>
        </is>
      </c>
      <c r="E169" s="150" t="n">
        <v>255</v>
      </c>
      <c r="F169" s="151" t="inlineStr">
        <is>
          <t>grams</t>
        </is>
      </c>
      <c r="G169" s="151" t="inlineStr">
        <is>
          <t>BLAST CHILLER, BRAISER, SPICE PORTIONING</t>
        </is>
      </c>
      <c r="H169" s="151" t="inlineStr">
        <is>
          <t>Roasted Garlic oil</t>
        </is>
      </c>
      <c r="I169" s="151" t="inlineStr">
        <is>
          <t>SUB-013367-4-002</t>
        </is>
      </c>
      <c r="J169" s="150" t="n">
        <v>5.58</v>
      </c>
      <c r="K169" s="151" t="inlineStr">
        <is>
          <t>grams</t>
        </is>
      </c>
      <c r="L169" s="151" t="inlineStr">
        <is>
          <t>BLAST CHILLER, OVEN</t>
        </is>
      </c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inlineStr">
        <is>
          <t>FA-DE Garlic, Peeled, Whole Cloves [10kg] /Knoblauch, geschält, ganze Nelken [10kg]</t>
        </is>
      </c>
      <c r="X169" s="151" t="inlineStr">
        <is>
          <t>PHF-00-139197-3</t>
        </is>
      </c>
      <c r="Y169" s="151" t="inlineStr">
        <is>
          <t>7,68</t>
        </is>
      </c>
      <c r="Z169" s="149" t="inlineStr">
        <is>
          <t>7,68</t>
        </is>
      </c>
      <c r="AA169" s="151" t="inlineStr">
        <is>
          <t>grams</t>
        </is>
      </c>
      <c r="AB169" s="151" t="n"/>
      <c r="AC169" s="151" t="n"/>
      <c r="AD169" s="150" t="n">
        <v>0.415</v>
      </c>
      <c r="AE169" s="149" t="n">
        <v>7.68</v>
      </c>
      <c r="AF169" s="151" t="inlineStr">
        <is>
          <t>grams</t>
        </is>
      </c>
      <c r="AG169" s="151" t="n"/>
      <c r="AH169" s="151" t="n"/>
    </row>
    <row r="170">
      <c r="A170" s="151" t="inlineStr">
        <is>
          <t>FV0090A - Ratatouille of zucchini and pepper [DE]</t>
        </is>
      </c>
      <c r="B170" s="151" t="inlineStr">
        <is>
          <t>REC-013827-4-004</t>
        </is>
      </c>
      <c r="C170" s="151" t="inlineStr">
        <is>
          <t>Mixed veg - Ratatouille Vegetable Batch</t>
        </is>
      </c>
      <c r="D170" s="151" t="inlineStr">
        <is>
          <t>SUB-013764-4-001</t>
        </is>
      </c>
      <c r="E170" s="150" t="n">
        <v>255</v>
      </c>
      <c r="F170" s="151" t="inlineStr">
        <is>
          <t>grams</t>
        </is>
      </c>
      <c r="G170" s="151" t="inlineStr">
        <is>
          <t>BLAST CHILLER, BRAISER, SPICE PORTIONING</t>
        </is>
      </c>
      <c r="H170" s="151" t="inlineStr">
        <is>
          <t>Roasted Garlic oil</t>
        </is>
      </c>
      <c r="I170" s="151" t="inlineStr">
        <is>
          <t>SUB-013367-4-002</t>
        </is>
      </c>
      <c r="J170" s="150" t="n">
        <v>5.58</v>
      </c>
      <c r="K170" s="151" t="inlineStr">
        <is>
          <t>grams</t>
        </is>
      </c>
      <c r="L170" s="151" t="inlineStr">
        <is>
          <t>BLAST CHILLER, OVEN</t>
        </is>
      </c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inlineStr">
        <is>
          <t>FA-DE Oil, Olive /Öl, Olivenöl</t>
        </is>
      </c>
      <c r="X170" s="151" t="inlineStr">
        <is>
          <t>PRO-00-139277-5</t>
        </is>
      </c>
      <c r="Y170" s="151" t="inlineStr">
        <is>
          <t>5,76</t>
        </is>
      </c>
      <c r="Z170" s="149" t="inlineStr">
        <is>
          <t>5,76</t>
        </is>
      </c>
      <c r="AA170" s="151" t="inlineStr">
        <is>
          <t>grams</t>
        </is>
      </c>
      <c r="AB170" s="151" t="n"/>
      <c r="AC170" s="151" t="n"/>
      <c r="AD170" s="150" t="n">
        <v>0.415</v>
      </c>
      <c r="AE170" s="149" t="n">
        <v>5.76</v>
      </c>
      <c r="AF170" s="151" t="inlineStr">
        <is>
          <t>grams</t>
        </is>
      </c>
      <c r="AG170" s="151" t="n"/>
      <c r="AH170" s="151" t="n"/>
    </row>
    <row r="171">
      <c r="A171" s="151" t="inlineStr">
        <is>
          <t>FV0090A - Ratatouille of zucchini and pepper [DE]</t>
        </is>
      </c>
      <c r="B171" s="151" t="inlineStr">
        <is>
          <t>REC-013827-4-004</t>
        </is>
      </c>
      <c r="C171" s="151" t="inlineStr">
        <is>
          <t>Mixed veg - Ratatouille Vegetable Batch</t>
        </is>
      </c>
      <c r="D171" s="151" t="inlineStr">
        <is>
          <t>SUB-013764-4-001</t>
        </is>
      </c>
      <c r="E171" s="150" t="n">
        <v>255</v>
      </c>
      <c r="F171" s="151" t="inlineStr">
        <is>
          <t>grams</t>
        </is>
      </c>
      <c r="G171" s="151" t="inlineStr">
        <is>
          <t>BLAST CHILLER, BRAISER, SPICE PORTIONING</t>
        </is>
      </c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inlineStr">
        <is>
          <t>FA-DE Onion, Red, Diced 10mm/Zwiebeln, rot, gewürfelt, 10 mm</t>
        </is>
      </c>
      <c r="X171" s="151" t="inlineStr">
        <is>
          <t>PHF-00-139216-3</t>
        </is>
      </c>
      <c r="Y171" s="151" t="inlineStr">
        <is>
          <t>24,18</t>
        </is>
      </c>
      <c r="Z171" s="149" t="inlineStr">
        <is>
          <t>24,18</t>
        </is>
      </c>
      <c r="AA171" s="151" t="inlineStr">
        <is>
          <t>grams</t>
        </is>
      </c>
      <c r="AB171" s="151" t="n"/>
      <c r="AC171" s="151" t="n"/>
      <c r="AD171" s="150" t="n">
        <v>0.86355</v>
      </c>
      <c r="AE171" s="149" t="n">
        <v>24.18</v>
      </c>
      <c r="AF171" s="151" t="inlineStr">
        <is>
          <t>grams</t>
        </is>
      </c>
      <c r="AG171" s="151" t="n"/>
      <c r="AH171" s="151" t="n"/>
    </row>
    <row r="172">
      <c r="A172" s="151" t="inlineStr">
        <is>
          <t>FV0090A - Ratatouille of zucchini and pepper [DE]</t>
        </is>
      </c>
      <c r="B172" s="151" t="inlineStr">
        <is>
          <t>REC-013827-4-004</t>
        </is>
      </c>
      <c r="C172" s="151" t="inlineStr">
        <is>
          <t>Mixed veg - Ratatouille Vegetable Batch</t>
        </is>
      </c>
      <c r="D172" s="151" t="inlineStr">
        <is>
          <t>SUB-013764-4-001</t>
        </is>
      </c>
      <c r="E172" s="150" t="n">
        <v>255</v>
      </c>
      <c r="F172" s="151" t="inlineStr">
        <is>
          <t>grams</t>
        </is>
      </c>
      <c r="G172" s="151" t="inlineStr">
        <is>
          <t>BLAST CHILLER, BRAISER, SPICE PORTIONING</t>
        </is>
      </c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inlineStr">
        <is>
          <t>FA-DE Spice, Black Pepper, Ground /Gewürz, schwarzer Pfeffer, gemahlen</t>
        </is>
      </c>
      <c r="X172" s="151" t="inlineStr">
        <is>
          <t>SPI-00-139334-5</t>
        </is>
      </c>
      <c r="Y172" s="151" t="inlineStr">
        <is>
          <t>0,09</t>
        </is>
      </c>
      <c r="Z172" s="149" t="inlineStr">
        <is>
          <t>0,09</t>
        </is>
      </c>
      <c r="AA172" s="151" t="inlineStr">
        <is>
          <t>grams</t>
        </is>
      </c>
      <c r="AB172" s="151" t="n"/>
      <c r="AC172" s="151" t="n"/>
      <c r="AD172" s="150" t="n">
        <v>0.86355</v>
      </c>
      <c r="AE172" s="149" t="n">
        <v>0.09</v>
      </c>
      <c r="AF172" s="151" t="inlineStr">
        <is>
          <t>grams</t>
        </is>
      </c>
      <c r="AG172" s="151" t="n"/>
      <c r="AH172" s="151" t="n"/>
    </row>
    <row r="173">
      <c r="A173" s="151" t="inlineStr">
        <is>
          <t>FV0090A - Ratatouille of zucchini and pepper [DE]</t>
        </is>
      </c>
      <c r="B173" s="151" t="inlineStr">
        <is>
          <t>REC-013827-4-004</t>
        </is>
      </c>
      <c r="C173" s="151" t="inlineStr">
        <is>
          <t>Mixed veg - Ratatouille Vegetable Batch</t>
        </is>
      </c>
      <c r="D173" s="151" t="inlineStr">
        <is>
          <t>SUB-013764-4-001</t>
        </is>
      </c>
      <c r="E173" s="150" t="n">
        <v>255</v>
      </c>
      <c r="F173" s="151" t="inlineStr">
        <is>
          <t>grams</t>
        </is>
      </c>
      <c r="G173" s="151" t="inlineStr">
        <is>
          <t>BLAST CHILLER, BRAISER, SPICE PORTIONING</t>
        </is>
      </c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inlineStr">
        <is>
          <t>FA-DE Spice, Sea Salt /Gewürze, Meersalz</t>
        </is>
      </c>
      <c r="X173" s="151" t="inlineStr">
        <is>
          <t>SPI-00-139378-5</t>
        </is>
      </c>
      <c r="Y173" s="153" t="inlineStr">
        <is>
          <t>1,31</t>
        </is>
      </c>
      <c r="Z173" s="149" t="inlineStr">
        <is>
          <t>1,31</t>
        </is>
      </c>
      <c r="AA173" s="151" t="inlineStr">
        <is>
          <t>grams</t>
        </is>
      </c>
      <c r="AB173" s="151" t="n"/>
      <c r="AC173" s="151" t="n"/>
      <c r="AD173" s="150" t="n">
        <v>0.86355</v>
      </c>
      <c r="AE173" s="149" t="n">
        <v>1.31</v>
      </c>
      <c r="AF173" s="151" t="inlineStr">
        <is>
          <t>grams</t>
        </is>
      </c>
      <c r="AG173" s="151" t="n"/>
      <c r="AH173" s="151" t="n"/>
    </row>
    <row r="174">
      <c r="A174" s="151" t="inlineStr">
        <is>
          <t>FV0090A - Ratatouille of zucchini and pepper [DE]</t>
        </is>
      </c>
      <c r="B174" s="151" t="inlineStr">
        <is>
          <t>REC-013827-4-004</t>
        </is>
      </c>
      <c r="C174" s="151" t="inlineStr">
        <is>
          <t>Mixed veg - Ratatouille Vegetable Batch</t>
        </is>
      </c>
      <c r="D174" s="151" t="inlineStr">
        <is>
          <t>SUB-013764-4-001</t>
        </is>
      </c>
      <c r="E174" s="150" t="n">
        <v>255</v>
      </c>
      <c r="F174" s="151" t="inlineStr">
        <is>
          <t>grams</t>
        </is>
      </c>
      <c r="G174" s="151" t="inlineStr">
        <is>
          <t>BLAST CHILLER, BRAISER, SPICE PORTIONING</t>
        </is>
      </c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inlineStr">
        <is>
          <t>FA-DE Bell Peppers, Red, Diced 10mm /Paprika, rot, gewürfelt 10 mm</t>
        </is>
      </c>
      <c r="X174" s="151" t="inlineStr">
        <is>
          <t>PHF-00-139179-3</t>
        </is>
      </c>
      <c r="Y174" s="151" t="inlineStr">
        <is>
          <t>45,26</t>
        </is>
      </c>
      <c r="Z174" s="149" t="inlineStr">
        <is>
          <t>45,26</t>
        </is>
      </c>
      <c r="AA174" s="151" t="inlineStr">
        <is>
          <t>grams</t>
        </is>
      </c>
      <c r="AB174" s="151" t="n"/>
      <c r="AC174" s="151" t="n"/>
      <c r="AD174" s="150" t="n">
        <v>0.86355</v>
      </c>
      <c r="AE174" s="149" t="n">
        <v>45.26</v>
      </c>
      <c r="AF174" s="151" t="inlineStr">
        <is>
          <t>grams</t>
        </is>
      </c>
      <c r="AG174" s="151" t="n"/>
      <c r="AH174" s="151" t="n"/>
    </row>
    <row r="175">
      <c r="A175" s="151" t="inlineStr">
        <is>
          <t>FV0090A - Ratatouille of zucchini and pepper [DE]</t>
        </is>
      </c>
      <c r="B175" s="151" t="inlineStr">
        <is>
          <t>REC-013827-4-004</t>
        </is>
      </c>
      <c r="C175" s="151" t="inlineStr">
        <is>
          <t>Mixed veg - Ratatouille Vegetable Batch</t>
        </is>
      </c>
      <c r="D175" s="151" t="inlineStr">
        <is>
          <t>SUB-013764-4-001</t>
        </is>
      </c>
      <c r="E175" s="150" t="n">
        <v>255</v>
      </c>
      <c r="F175" s="151" t="inlineStr">
        <is>
          <t>grams</t>
        </is>
      </c>
      <c r="G175" s="151" t="inlineStr">
        <is>
          <t>BLAST CHILLER, BRAISER, SPICE PORTIONING</t>
        </is>
      </c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inlineStr">
        <is>
          <t>FA-DE Garlic, IQF, Diced 4 mm /Knoblauch, IQF, gewürfelt 4 mm</t>
        </is>
      </c>
      <c r="X175" s="151" t="inlineStr">
        <is>
          <t>PHF-00-139237-1</t>
        </is>
      </c>
      <c r="Y175" s="153" t="inlineStr">
        <is>
          <t>7,13</t>
        </is>
      </c>
      <c r="Z175" s="149" t="inlineStr">
        <is>
          <t>7,13</t>
        </is>
      </c>
      <c r="AA175" s="151" t="inlineStr">
        <is>
          <t>grams</t>
        </is>
      </c>
      <c r="AB175" s="151" t="inlineStr">
        <is>
          <t>SCHWEFELDIOXIDE UND SULFITE</t>
        </is>
      </c>
      <c r="AC175" s="151" t="n"/>
      <c r="AD175" s="150" t="n">
        <v>0.86355</v>
      </c>
      <c r="AE175" s="149" t="n">
        <v>7.13</v>
      </c>
      <c r="AF175" s="151" t="inlineStr">
        <is>
          <t>grams</t>
        </is>
      </c>
      <c r="AG175" s="151" t="n"/>
      <c r="AH175" s="151" t="n"/>
    </row>
    <row r="176">
      <c r="A176" s="151" t="inlineStr">
        <is>
          <t>FV0090A - Ratatouille of zucchini and pepper [DE]</t>
        </is>
      </c>
      <c r="B176" s="151" t="inlineStr">
        <is>
          <t>REC-013827-4-004</t>
        </is>
      </c>
      <c r="C176" s="151" t="inlineStr">
        <is>
          <t>Sunflower seeds - Vegetable Ratatouille Toasted Seed Garnish</t>
        </is>
      </c>
      <c r="D176" s="151" t="inlineStr">
        <is>
          <t>SUB-013826-4-001</t>
        </is>
      </c>
      <c r="E176" s="150" t="n">
        <v>10</v>
      </c>
      <c r="F176" s="151" t="inlineStr">
        <is>
          <t>grams</t>
        </is>
      </c>
      <c r="G176" s="151" t="inlineStr">
        <is>
          <t>BLAST CHILLER, HAND MARINADE, OVEN</t>
        </is>
      </c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inlineStr">
        <is>
          <t>FA-DE Honey /Honig – Masse</t>
        </is>
      </c>
      <c r="X176" s="151" t="inlineStr">
        <is>
          <t>PRO-00-139266-5</t>
        </is>
      </c>
      <c r="Y176" s="151" t="inlineStr">
        <is>
          <t>0,57</t>
        </is>
      </c>
      <c r="Z176" s="149" t="inlineStr">
        <is>
          <t>0,57</t>
        </is>
      </c>
      <c r="AA176" s="151" t="inlineStr">
        <is>
          <t>grams</t>
        </is>
      </c>
      <c r="AB176" s="151" t="n"/>
      <c r="AC176" s="151" t="n"/>
      <c r="AD176" s="150" t="n">
        <v>0.98148</v>
      </c>
      <c r="AE176" s="149" t="n">
        <v>0.57</v>
      </c>
      <c r="AF176" s="151" t="inlineStr">
        <is>
          <t>grams</t>
        </is>
      </c>
      <c r="AG176" s="151" t="n"/>
      <c r="AH176" s="151" t="n"/>
    </row>
    <row r="177">
      <c r="A177" s="151" t="inlineStr">
        <is>
          <t>FV0090A - Ratatouille of zucchini and pepper [DE]</t>
        </is>
      </c>
      <c r="B177" s="151" t="inlineStr">
        <is>
          <t>REC-013827-4-004</t>
        </is>
      </c>
      <c r="C177" s="151" t="inlineStr">
        <is>
          <t>Sunflower seeds - Vegetable Ratatouille Toasted Seed Garnish</t>
        </is>
      </c>
      <c r="D177" s="151" t="inlineStr">
        <is>
          <t>SUB-013826-4-001</t>
        </is>
      </c>
      <c r="E177" s="150" t="n">
        <v>10</v>
      </c>
      <c r="F177" s="151" t="inlineStr">
        <is>
          <t>grams</t>
        </is>
      </c>
      <c r="G177" s="151" t="inlineStr">
        <is>
          <t>BLAST CHILLER, HAND MARINADE, OVEN</t>
        </is>
      </c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inlineStr">
        <is>
          <t>FA-DE Sunflower Seeds /Sonnenblumenkerne</t>
        </is>
      </c>
      <c r="X177" s="151" t="inlineStr">
        <is>
          <t>DRY-00-139172-5</t>
        </is>
      </c>
      <c r="Y177" s="151" t="inlineStr">
        <is>
          <t>8,99</t>
        </is>
      </c>
      <c r="Z177" s="149" t="inlineStr">
        <is>
          <t>8,99</t>
        </is>
      </c>
      <c r="AA177" s="151" t="inlineStr">
        <is>
          <t>grams</t>
        </is>
      </c>
      <c r="AB177" s="151" t="n"/>
      <c r="AC177" s="151" t="n"/>
      <c r="AD177" s="150" t="n">
        <v>0.98148</v>
      </c>
      <c r="AE177" s="149" t="n">
        <v>8.99</v>
      </c>
      <c r="AF177" s="151" t="inlineStr">
        <is>
          <t>grams</t>
        </is>
      </c>
      <c r="AG177" s="151" t="n"/>
      <c r="AH177" s="151" t="n"/>
    </row>
    <row r="178">
      <c r="A178" s="151" t="inlineStr">
        <is>
          <t>FV0090A - Ratatouille of zucchini and pepper [DE]</t>
        </is>
      </c>
      <c r="B178" s="151" t="inlineStr">
        <is>
          <t>REC-013827-4-004</t>
        </is>
      </c>
      <c r="C178" s="151" t="inlineStr">
        <is>
          <t>Sunflower seeds - Vegetable Ratatouille Toasted Seed Garnish</t>
        </is>
      </c>
      <c r="D178" s="151" t="inlineStr">
        <is>
          <t>SUB-013826-4-001</t>
        </is>
      </c>
      <c r="E178" s="150" t="n">
        <v>10</v>
      </c>
      <c r="F178" s="151" t="inlineStr">
        <is>
          <t>grams</t>
        </is>
      </c>
      <c r="G178" s="151" t="inlineStr">
        <is>
          <t>BLAST CHILLER, HAND MARINADE, OVEN</t>
        </is>
      </c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inlineStr">
        <is>
          <t>FA-DE Spice, Sea Salt /Gewürze, Meersalz</t>
        </is>
      </c>
      <c r="X178" s="151" t="inlineStr">
        <is>
          <t>SPI-00-139378-5</t>
        </is>
      </c>
      <c r="Y178" s="151" t="inlineStr">
        <is>
          <t>0,04</t>
        </is>
      </c>
      <c r="Z178" s="149" t="inlineStr">
        <is>
          <t>0,04</t>
        </is>
      </c>
      <c r="AA178" s="151" t="inlineStr">
        <is>
          <t>grams</t>
        </is>
      </c>
      <c r="AB178" s="151" t="n"/>
      <c r="AC178" s="151" t="n"/>
      <c r="AD178" s="150" t="n">
        <v>0.98148</v>
      </c>
      <c r="AE178" s="149" t="n">
        <v>0.04</v>
      </c>
      <c r="AF178" s="151" t="inlineStr">
        <is>
          <t>grams</t>
        </is>
      </c>
      <c r="AG178" s="151" t="n"/>
      <c r="AH178" s="151" t="n"/>
    </row>
    <row r="179">
      <c r="A179" s="151" t="inlineStr">
        <is>
          <t>FV0090A - Ratatouille of zucchini and pepper [DE]</t>
        </is>
      </c>
      <c r="B179" s="151" t="inlineStr">
        <is>
          <t>REC-013827-4-004</t>
        </is>
      </c>
      <c r="C179" s="151" t="inlineStr">
        <is>
          <t>Sunflower seeds - Vegetable Ratatouille Toasted Seed Garnish</t>
        </is>
      </c>
      <c r="D179" s="151" t="inlineStr">
        <is>
          <t>SUB-013826-4-001</t>
        </is>
      </c>
      <c r="E179" s="150" t="n">
        <v>10</v>
      </c>
      <c r="F179" s="151" t="inlineStr">
        <is>
          <t>grams</t>
        </is>
      </c>
      <c r="G179" s="151" t="inlineStr">
        <is>
          <t>BLAST CHILLER, HAND MARINADE, OVEN</t>
        </is>
      </c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inlineStr">
        <is>
          <t>FA-DE Oil, Olive /Öl, Olivenöl</t>
        </is>
      </c>
      <c r="X179" s="151" t="inlineStr">
        <is>
          <t>PRO-00-139277-5</t>
        </is>
      </c>
      <c r="Y179" s="151" t="inlineStr">
        <is>
          <t>0,37</t>
        </is>
      </c>
      <c r="Z179" s="149" t="inlineStr">
        <is>
          <t>0,37</t>
        </is>
      </c>
      <c r="AA179" s="151" t="inlineStr">
        <is>
          <t>grams</t>
        </is>
      </c>
      <c r="AB179" s="151" t="n"/>
      <c r="AC179" s="151" t="n"/>
      <c r="AD179" s="150" t="n">
        <v>0.98148</v>
      </c>
      <c r="AE179" s="149" t="n">
        <v>0.37</v>
      </c>
      <c r="AF179" s="151" t="inlineStr">
        <is>
          <t>grams</t>
        </is>
      </c>
      <c r="AG179" s="151" t="n"/>
      <c r="AH179" s="151" t="n"/>
    </row>
    <row r="180">
      <c r="A180" s="151" t="inlineStr">
        <is>
          <t>FV0090A - Ratatouille of zucchini and pepper [DE]</t>
        </is>
      </c>
      <c r="B180" s="151" t="inlineStr">
        <is>
          <t>REC-013827-4-004</t>
        </is>
      </c>
      <c r="C180" s="151" t="inlineStr">
        <is>
          <t>Sunflower seeds - Vegetable Ratatouille Toasted Seed Garnish</t>
        </is>
      </c>
      <c r="D180" s="151" t="inlineStr">
        <is>
          <t>SUB-013826-4-001</t>
        </is>
      </c>
      <c r="E180" s="150" t="n">
        <v>10</v>
      </c>
      <c r="F180" s="151" t="inlineStr">
        <is>
          <t>grams</t>
        </is>
      </c>
      <c r="G180" s="151" t="inlineStr">
        <is>
          <t>BLAST CHILLER, HAND MARINADE, OVEN</t>
        </is>
      </c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inlineStr">
        <is>
          <t>FA-DE Spice, Black Pepper, Ground /Gewürz, schwarzer Pfeffer, gemahlen</t>
        </is>
      </c>
      <c r="X180" s="151" t="inlineStr">
        <is>
          <t>SPI-00-139334-5</t>
        </is>
      </c>
      <c r="Y180" s="151" t="inlineStr">
        <is>
          <t>0,21</t>
        </is>
      </c>
      <c r="Z180" s="149" t="inlineStr">
        <is>
          <t>0,21</t>
        </is>
      </c>
      <c r="AA180" s="151" t="inlineStr">
        <is>
          <t>grams</t>
        </is>
      </c>
      <c r="AB180" s="151" t="n"/>
      <c r="AC180" s="151" t="n"/>
      <c r="AD180" s="150" t="n">
        <v>0.98148</v>
      </c>
      <c r="AE180" s="149" t="n">
        <v>0.21</v>
      </c>
      <c r="AF180" s="151" t="inlineStr">
        <is>
          <t>grams</t>
        </is>
      </c>
      <c r="AG180" s="151" t="n"/>
      <c r="AH180" s="151" t="n"/>
    </row>
    <row r="181">
      <c r="A181" s="151" t="inlineStr">
        <is>
          <t>FV0090A - Ratatouille of zucchini and pepper [DE]</t>
        </is>
      </c>
      <c r="B181" s="151" t="inlineStr">
        <is>
          <t>REC-013827-4-004</t>
        </is>
      </c>
      <c r="C181" s="151" t="inlineStr">
        <is>
          <t>Polenta less fat</t>
        </is>
      </c>
      <c r="D181" s="151" t="inlineStr">
        <is>
          <t>SUB-031689-4-001</t>
        </is>
      </c>
      <c r="E181" s="150" t="n">
        <v>140</v>
      </c>
      <c r="F181" s="151" t="inlineStr">
        <is>
          <t>grams</t>
        </is>
      </c>
      <c r="G181" s="151" t="inlineStr">
        <is>
          <t>BLAST CHILLER, BRAISER, SPICE PORTIONING</t>
        </is>
      </c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inlineStr">
        <is>
          <t>FA-DE Grits, Cereal Hot, Quick /Grütze, Müsli, heiß, schnell</t>
        </is>
      </c>
      <c r="X181" s="151" t="inlineStr">
        <is>
          <t>PRO-00-139264-5</t>
        </is>
      </c>
      <c r="Y181" s="151" t="inlineStr">
        <is>
          <t>25,18</t>
        </is>
      </c>
      <c r="Z181" s="149" t="inlineStr">
        <is>
          <t>25,18</t>
        </is>
      </c>
      <c r="AA181" s="151" t="inlineStr">
        <is>
          <t>grams</t>
        </is>
      </c>
      <c r="AB181" s="151" t="n"/>
      <c r="AC181" s="151" t="n"/>
      <c r="AD181" s="150" t="n">
        <v>0.86402</v>
      </c>
      <c r="AE181" s="149" t="n">
        <v>25.18</v>
      </c>
      <c r="AF181" s="151" t="inlineStr">
        <is>
          <t>grams</t>
        </is>
      </c>
      <c r="AG181" s="151" t="n"/>
      <c r="AH181" s="151" t="n"/>
    </row>
    <row r="182">
      <c r="A182" s="151" t="inlineStr">
        <is>
          <t>FV0090A - Ratatouille of zucchini and pepper [DE]</t>
        </is>
      </c>
      <c r="B182" s="151" t="inlineStr">
        <is>
          <t>REC-013827-4-004</t>
        </is>
      </c>
      <c r="C182" s="151" t="inlineStr">
        <is>
          <t>Polenta less fat</t>
        </is>
      </c>
      <c r="D182" s="151" t="inlineStr">
        <is>
          <t>SUB-031689-4-001</t>
        </is>
      </c>
      <c r="E182" s="150" t="n">
        <v>140</v>
      </c>
      <c r="F182" s="151" t="inlineStr">
        <is>
          <t>grams</t>
        </is>
      </c>
      <c r="G182" s="151" t="inlineStr">
        <is>
          <t>BLAST CHILLER, BRAISER, SPICE PORTIONING</t>
        </is>
      </c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inlineStr">
        <is>
          <t>FA-DE Spice, Sea Salt /Gewürze, Meersalz</t>
        </is>
      </c>
      <c r="X182" s="151" t="inlineStr">
        <is>
          <t>SPI-00-139378-5</t>
        </is>
      </c>
      <c r="Y182" s="151" t="inlineStr">
        <is>
          <t>0,58</t>
        </is>
      </c>
      <c r="Z182" s="149" t="inlineStr">
        <is>
          <t>0,58</t>
        </is>
      </c>
      <c r="AA182" s="151" t="inlineStr">
        <is>
          <t>grams</t>
        </is>
      </c>
      <c r="AB182" s="151" t="n"/>
      <c r="AC182" s="151" t="n"/>
      <c r="AD182" s="150" t="n">
        <v>0.86402</v>
      </c>
      <c r="AE182" s="149" t="n">
        <v>0.58</v>
      </c>
      <c r="AF182" s="151" t="inlineStr">
        <is>
          <t>grams</t>
        </is>
      </c>
      <c r="AG182" s="151" t="n"/>
      <c r="AH182" s="151" t="n"/>
    </row>
    <row r="183">
      <c r="A183" s="151" t="inlineStr">
        <is>
          <t>FV0090A - Ratatouille of zucchini and pepper [DE]</t>
        </is>
      </c>
      <c r="B183" s="151" t="inlineStr">
        <is>
          <t>REC-013827-4-004</t>
        </is>
      </c>
      <c r="C183" s="151" t="inlineStr">
        <is>
          <t>Polenta less fat</t>
        </is>
      </c>
      <c r="D183" s="151" t="inlineStr">
        <is>
          <t>SUB-031689-4-001</t>
        </is>
      </c>
      <c r="E183" s="150" t="n">
        <v>140</v>
      </c>
      <c r="F183" s="151" t="inlineStr">
        <is>
          <t>grams</t>
        </is>
      </c>
      <c r="G183" s="151" t="inlineStr">
        <is>
          <t>BLAST CHILLER, BRAISER, SPICE PORTIONING</t>
        </is>
      </c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inlineStr">
        <is>
          <t>FA-DE Milk, Semi-Skimmed /Milch, teilentrahmt</t>
        </is>
      </c>
      <c r="X183" s="151" t="inlineStr">
        <is>
          <t>DAI-00-139139-3</t>
        </is>
      </c>
      <c r="Y183" s="151" t="inlineStr">
        <is>
          <t>115,86</t>
        </is>
      </c>
      <c r="Z183" s="149" t="inlineStr">
        <is>
          <t>115,86</t>
        </is>
      </c>
      <c r="AA183" s="151" t="inlineStr">
        <is>
          <t>grams</t>
        </is>
      </c>
      <c r="AB183" s="151" t="inlineStr">
        <is>
          <t>MILCH (EINSCHLIESSLICH LAKTOSE)</t>
        </is>
      </c>
      <c r="AC183" s="151" t="n"/>
      <c r="AD183" s="150" t="n">
        <v>0.86402</v>
      </c>
      <c r="AE183" s="149" t="n">
        <v>115.86</v>
      </c>
      <c r="AF183" s="151" t="inlineStr">
        <is>
          <t>grams</t>
        </is>
      </c>
      <c r="AG183" s="151" t="n"/>
      <c r="AH183" s="151" t="n"/>
    </row>
    <row r="184">
      <c r="A184" s="151" t="inlineStr">
        <is>
          <t>FV0090A - Ratatouille of zucchini and pepper [DE]</t>
        </is>
      </c>
      <c r="B184" s="151" t="inlineStr">
        <is>
          <t>REC-013827-4-004</t>
        </is>
      </c>
      <c r="C184" s="151" t="inlineStr">
        <is>
          <t>Polenta less fat</t>
        </is>
      </c>
      <c r="D184" s="151" t="inlineStr">
        <is>
          <t>SUB-031689-4-001</t>
        </is>
      </c>
      <c r="E184" s="150" t="n">
        <v>140</v>
      </c>
      <c r="F184" s="151" t="inlineStr">
        <is>
          <t>grams</t>
        </is>
      </c>
      <c r="G184" s="151" t="inlineStr">
        <is>
          <t>BLAST CHILLER, BRAISER, SPICE PORTIONING</t>
        </is>
      </c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inlineStr">
        <is>
          <t>FA-DE Cheese, Parmesan, Grated /Käse, Parmesan, gerieben</t>
        </is>
      </c>
      <c r="X184" s="151" t="inlineStr">
        <is>
          <t>DAI-00-139127-3</t>
        </is>
      </c>
      <c r="Y184" s="151" t="inlineStr">
        <is>
          <t>5,79</t>
        </is>
      </c>
      <c r="Z184" s="149" t="inlineStr">
        <is>
          <t>5,79</t>
        </is>
      </c>
      <c r="AA184" s="151" t="inlineStr">
        <is>
          <t>grams</t>
        </is>
      </c>
      <c r="AB184" s="151" t="inlineStr">
        <is>
          <t>MILCH (EINSCHLIESSLICH LAKTOSE)</t>
        </is>
      </c>
      <c r="AC184" s="151" t="n"/>
      <c r="AD184" s="150" t="n">
        <v>0.86402</v>
      </c>
      <c r="AE184" s="149" t="n">
        <v>5.79</v>
      </c>
      <c r="AF184" s="151" t="inlineStr">
        <is>
          <t>grams</t>
        </is>
      </c>
      <c r="AG184" s="151" t="n"/>
      <c r="AH184" s="151" t="n"/>
    </row>
    <row r="185">
      <c r="A185" s="151" t="inlineStr">
        <is>
          <t>FV0090A - Ratatouille of zucchini and pepper [DE]</t>
        </is>
      </c>
      <c r="B185" s="151" t="inlineStr">
        <is>
          <t>REC-013827-4-004</t>
        </is>
      </c>
      <c r="C185" s="151" t="inlineStr">
        <is>
          <t>Polenta less fat</t>
        </is>
      </c>
      <c r="D185" s="151" t="inlineStr">
        <is>
          <t>SUB-031689-4-001</t>
        </is>
      </c>
      <c r="E185" s="150" t="n">
        <v>140</v>
      </c>
      <c r="F185" s="151" t="inlineStr">
        <is>
          <t>grams</t>
        </is>
      </c>
      <c r="G185" s="151" t="inlineStr">
        <is>
          <t>BLAST CHILLER, BRAISER, SPICE PORTIONING</t>
        </is>
      </c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inlineStr">
        <is>
          <t>FA-DE Chives, Dried /Schnittlauch, getrocknet</t>
        </is>
      </c>
      <c r="X185" s="151" t="inlineStr">
        <is>
          <t>SPI-00-139322-5</t>
        </is>
      </c>
      <c r="Y185" s="151" t="inlineStr">
        <is>
          <t>0,14</t>
        </is>
      </c>
      <c r="Z185" s="149" t="inlineStr">
        <is>
          <t>0,14</t>
        </is>
      </c>
      <c r="AA185" s="151" t="inlineStr">
        <is>
          <t>grams</t>
        </is>
      </c>
      <c r="AB185" s="151" t="n"/>
      <c r="AC185" s="151" t="n"/>
      <c r="AD185" s="150" t="n">
        <v>0.86402</v>
      </c>
      <c r="AE185" s="149" t="n">
        <v>0.14</v>
      </c>
      <c r="AF185" s="151" t="inlineStr">
        <is>
          <t>grams</t>
        </is>
      </c>
      <c r="AG185" s="151" t="n"/>
      <c r="AH185" s="151" t="n"/>
    </row>
    <row r="186">
      <c r="A186" s="151" t="inlineStr">
        <is>
          <t>FV0090A - Ratatouille of zucchini and pepper [DE]</t>
        </is>
      </c>
      <c r="B186" s="151" t="inlineStr">
        <is>
          <t>REC-013827-4-004</t>
        </is>
      </c>
      <c r="C186" s="151" t="inlineStr">
        <is>
          <t>Polenta less fat</t>
        </is>
      </c>
      <c r="D186" s="151" t="inlineStr">
        <is>
          <t>SUB-031689-4-001</t>
        </is>
      </c>
      <c r="E186" s="150" t="n">
        <v>140</v>
      </c>
      <c r="F186" s="151" t="inlineStr">
        <is>
          <t>grams</t>
        </is>
      </c>
      <c r="G186" s="151" t="inlineStr">
        <is>
          <t>BLAST CHILLER, BRAISER, SPICE PORTIONING</t>
        </is>
      </c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inlineStr">
        <is>
          <t>FA-DE Mascarpone /Mascarpone</t>
        </is>
      </c>
      <c r="X186" s="151" t="inlineStr">
        <is>
          <t>DAI-00-139143-3</t>
        </is>
      </c>
      <c r="Y186" s="151" t="inlineStr">
        <is>
          <t>9,66</t>
        </is>
      </c>
      <c r="Z186" s="149" t="inlineStr">
        <is>
          <t>9,66</t>
        </is>
      </c>
      <c r="AA186" s="151" t="inlineStr">
        <is>
          <t>grams</t>
        </is>
      </c>
      <c r="AB186" s="151" t="inlineStr">
        <is>
          <t>MILCH (EINSCHLIESSLICH LAKTOSE)</t>
        </is>
      </c>
      <c r="AC186" s="151" t="n"/>
      <c r="AD186" s="150" t="n">
        <v>0.86402</v>
      </c>
      <c r="AE186" s="149" t="n">
        <v>9.66</v>
      </c>
      <c r="AF186" s="151" t="inlineStr">
        <is>
          <t>grams</t>
        </is>
      </c>
      <c r="AG186" s="151" t="n"/>
      <c r="AH186" s="151" t="n"/>
    </row>
    <row r="187">
      <c r="A187" s="151" t="inlineStr">
        <is>
          <t>FV0090A - Ratatouille of zucchini and pepper [DE]</t>
        </is>
      </c>
      <c r="B187" s="151" t="inlineStr">
        <is>
          <t>REC-013827-4-004</t>
        </is>
      </c>
      <c r="C187" s="151" t="inlineStr">
        <is>
          <t>Polenta less fat</t>
        </is>
      </c>
      <c r="D187" s="151" t="inlineStr">
        <is>
          <t>SUB-031689-4-001</t>
        </is>
      </c>
      <c r="E187" s="150" t="n">
        <v>140</v>
      </c>
      <c r="F187" s="151" t="inlineStr">
        <is>
          <t>grams</t>
        </is>
      </c>
      <c r="G187" s="151" t="inlineStr">
        <is>
          <t>BLAST CHILLER, BRAISER, SPICE PORTIONING</t>
        </is>
      </c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inlineStr">
        <is>
          <t>FA-DE Butter, Unsalted /Butter, ungesalzen</t>
        </is>
      </c>
      <c r="X187" s="151" t="inlineStr">
        <is>
          <t>DAI-00-139146-3</t>
        </is>
      </c>
      <c r="Y187" s="151" t="inlineStr">
        <is>
          <t>4,83</t>
        </is>
      </c>
      <c r="Z187" s="149" t="inlineStr">
        <is>
          <t>4,83</t>
        </is>
      </c>
      <c r="AA187" s="151" t="inlineStr">
        <is>
          <t>grams</t>
        </is>
      </c>
      <c r="AB187" s="151" t="inlineStr">
        <is>
          <t>MILCH (EINSCHLIESSLICH LAKTOSE)</t>
        </is>
      </c>
      <c r="AC187" s="151" t="n"/>
      <c r="AD187" s="150" t="n">
        <v>0.86402</v>
      </c>
      <c r="AE187" s="149" t="n">
        <v>4.83</v>
      </c>
      <c r="AF187" s="151" t="inlineStr">
        <is>
          <t>grams</t>
        </is>
      </c>
      <c r="AG187" s="151" t="n"/>
      <c r="AH187" s="151" t="n"/>
    </row>
    <row r="188">
      <c r="A188" s="151" t="inlineStr">
        <is>
          <t>FV0281A - Baja Salmon [BNL]</t>
        </is>
      </c>
      <c r="B188" s="151" t="inlineStr">
        <is>
          <t>REC-014197-4-006</t>
        </is>
      </c>
      <c r="C188" s="151" t="inlineStr">
        <is>
          <t>Mexican Cauliflower Rice</t>
        </is>
      </c>
      <c r="D188" s="151" t="inlineStr">
        <is>
          <t>SUB-014051-4-001</t>
        </is>
      </c>
      <c r="E188" s="150" t="n">
        <v>120</v>
      </c>
      <c r="F188" s="151" t="inlineStr">
        <is>
          <t>grams</t>
        </is>
      </c>
      <c r="G188" s="151" t="inlineStr">
        <is>
          <t>OVEN</t>
        </is>
      </c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inlineStr">
        <is>
          <t>FA-DE Oil, Olive /Öl, Olivenöl</t>
        </is>
      </c>
      <c r="X188" s="151" t="inlineStr">
        <is>
          <t>PRO-00-139277-5</t>
        </is>
      </c>
      <c r="Y188" s="154" t="inlineStr">
        <is>
          <t>3,02</t>
        </is>
      </c>
      <c r="Z188" s="149" t="inlineStr">
        <is>
          <t>3,02</t>
        </is>
      </c>
      <c r="AA188" s="151" t="inlineStr">
        <is>
          <t>grams</t>
        </is>
      </c>
      <c r="AB188" s="151" t="n"/>
      <c r="AC188" s="151" t="n"/>
      <c r="AD188" s="150" t="n">
        <v>0.76391</v>
      </c>
      <c r="AE188" s="149" t="n">
        <v>3.02</v>
      </c>
      <c r="AF188" s="151" t="inlineStr">
        <is>
          <t>grams</t>
        </is>
      </c>
      <c r="AG188" s="151" t="n"/>
      <c r="AH188" s="151" t="n"/>
    </row>
    <row r="189">
      <c r="A189" s="151" t="inlineStr">
        <is>
          <t>FV0281A - Baja Salmon [BNL]</t>
        </is>
      </c>
      <c r="B189" s="151" t="inlineStr">
        <is>
          <t>REC-014197-4-006</t>
        </is>
      </c>
      <c r="C189" s="151" t="inlineStr">
        <is>
          <t>Mexican Cauliflower Rice</t>
        </is>
      </c>
      <c r="D189" s="151" t="inlineStr">
        <is>
          <t>SUB-014051-4-001</t>
        </is>
      </c>
      <c r="E189" s="150" t="n">
        <v>120</v>
      </c>
      <c r="F189" s="151" t="inlineStr">
        <is>
          <t>grams</t>
        </is>
      </c>
      <c r="G189" s="151" t="inlineStr">
        <is>
          <t>OVEN</t>
        </is>
      </c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inlineStr">
        <is>
          <t>FA-DE Spice, Sea Salt /Gewürze, Meersalz</t>
        </is>
      </c>
      <c r="X189" s="151" t="inlineStr">
        <is>
          <t>SPI-00-139378-5</t>
        </is>
      </c>
      <c r="Y189" s="151" t="inlineStr">
        <is>
          <t>0,37</t>
        </is>
      </c>
      <c r="Z189" s="149" t="inlineStr">
        <is>
          <t>0,37</t>
        </is>
      </c>
      <c r="AA189" s="151" t="inlineStr">
        <is>
          <t>grams</t>
        </is>
      </c>
      <c r="AB189" s="151" t="n"/>
      <c r="AC189" s="151" t="n"/>
      <c r="AD189" s="150" t="n">
        <v>0.76391</v>
      </c>
      <c r="AE189" s="149" t="n">
        <v>0.37</v>
      </c>
      <c r="AF189" s="151" t="inlineStr">
        <is>
          <t>grams</t>
        </is>
      </c>
      <c r="AG189" s="151" t="n"/>
      <c r="AH189" s="151" t="n"/>
    </row>
    <row r="190">
      <c r="A190" s="151" t="inlineStr">
        <is>
          <t>FV0281A - Baja Salmon [BNL]</t>
        </is>
      </c>
      <c r="B190" s="151" t="inlineStr">
        <is>
          <t>REC-014197-4-006</t>
        </is>
      </c>
      <c r="C190" s="151" t="inlineStr">
        <is>
          <t>Mexican Cauliflower Rice</t>
        </is>
      </c>
      <c r="D190" s="151" t="inlineStr">
        <is>
          <t>SUB-014051-4-001</t>
        </is>
      </c>
      <c r="E190" s="150" t="n">
        <v>120</v>
      </c>
      <c r="F190" s="151" t="inlineStr">
        <is>
          <t>grams</t>
        </is>
      </c>
      <c r="G190" s="151" t="inlineStr">
        <is>
          <t>OVEN</t>
        </is>
      </c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inlineStr">
        <is>
          <t>FA-DE Spice, Chili Powder /Gewürz, Chilipulver</t>
        </is>
      </c>
      <c r="X190" s="151" t="inlineStr">
        <is>
          <t>SPI-00-139340-5</t>
        </is>
      </c>
      <c r="Y190" s="151" t="inlineStr">
        <is>
          <t>0,37</t>
        </is>
      </c>
      <c r="Z190" s="149" t="inlineStr">
        <is>
          <t>0,37</t>
        </is>
      </c>
      <c r="AA190" s="151" t="inlineStr">
        <is>
          <t>grams</t>
        </is>
      </c>
      <c r="AB190" s="151" t="n"/>
      <c r="AC190" s="151" t="n"/>
      <c r="AD190" s="150" t="n">
        <v>0.76391</v>
      </c>
      <c r="AE190" s="149" t="n">
        <v>0.37</v>
      </c>
      <c r="AF190" s="151" t="inlineStr">
        <is>
          <t>grams</t>
        </is>
      </c>
      <c r="AG190" s="151" t="n"/>
      <c r="AH190" s="151" t="n"/>
    </row>
    <row r="191">
      <c r="A191" s="151" t="inlineStr">
        <is>
          <t>FV0281A - Baja Salmon [BNL]</t>
        </is>
      </c>
      <c r="B191" s="151" t="inlineStr">
        <is>
          <t>REC-014197-4-006</t>
        </is>
      </c>
      <c r="C191" s="151" t="inlineStr">
        <is>
          <t>Mexican Cauliflower Rice</t>
        </is>
      </c>
      <c r="D191" s="151" t="inlineStr">
        <is>
          <t>SUB-014051-4-001</t>
        </is>
      </c>
      <c r="E191" s="150" t="n">
        <v>120</v>
      </c>
      <c r="F191" s="151" t="inlineStr">
        <is>
          <t>grams</t>
        </is>
      </c>
      <c r="G191" s="151" t="inlineStr">
        <is>
          <t>OVEN</t>
        </is>
      </c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inlineStr">
        <is>
          <t>FA-DE Bell Peppers, Green, Diced 10mm /Paprika, grün, gewürfelt 10 mm</t>
        </is>
      </c>
      <c r="X191" s="151" t="inlineStr">
        <is>
          <t>PHF-00-139176-3</t>
        </is>
      </c>
      <c r="Y191" s="151" t="inlineStr">
        <is>
          <t>6,79</t>
        </is>
      </c>
      <c r="Z191" s="149" t="inlineStr">
        <is>
          <t>6,79</t>
        </is>
      </c>
      <c r="AA191" s="151" t="inlineStr">
        <is>
          <t>grams</t>
        </is>
      </c>
      <c r="AB191" s="151" t="n"/>
      <c r="AC191" s="151" t="n"/>
      <c r="AD191" s="150" t="n">
        <v>0.76391</v>
      </c>
      <c r="AE191" s="149" t="n">
        <v>6.79</v>
      </c>
      <c r="AF191" s="151" t="inlineStr">
        <is>
          <t>grams</t>
        </is>
      </c>
      <c r="AG191" s="151" t="n"/>
      <c r="AH191" s="151" t="n"/>
    </row>
    <row r="192">
      <c r="A192" s="151" t="inlineStr">
        <is>
          <t>FV0281A - Baja Salmon [BNL]</t>
        </is>
      </c>
      <c r="B192" s="151" t="inlineStr">
        <is>
          <t>REC-014197-4-006</t>
        </is>
      </c>
      <c r="C192" s="151" t="inlineStr">
        <is>
          <t>Mexican Cauliflower Rice</t>
        </is>
      </c>
      <c r="D192" s="151" t="inlineStr">
        <is>
          <t>SUB-014051-4-001</t>
        </is>
      </c>
      <c r="E192" s="150" t="n">
        <v>120</v>
      </c>
      <c r="F192" s="151" t="inlineStr">
        <is>
          <t>grams</t>
        </is>
      </c>
      <c r="G192" s="151" t="inlineStr">
        <is>
          <t>OVEN</t>
        </is>
      </c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inlineStr">
        <is>
          <t>FA-DE Bell Peppers, Red, Diced 10mm /Paprika, rot, gewürfelt 10 mm</t>
        </is>
      </c>
      <c r="X192" s="151" t="inlineStr">
        <is>
          <t>PHF-00-139179-3</t>
        </is>
      </c>
      <c r="Y192" s="151" t="inlineStr">
        <is>
          <t>20,77</t>
        </is>
      </c>
      <c r="Z192" s="149" t="inlineStr">
        <is>
          <t>20,77</t>
        </is>
      </c>
      <c r="AA192" s="151" t="inlineStr">
        <is>
          <t>grams</t>
        </is>
      </c>
      <c r="AB192" s="151" t="n"/>
      <c r="AC192" s="151" t="n"/>
      <c r="AD192" s="150" t="n">
        <v>0.76391</v>
      </c>
      <c r="AE192" s="149" t="n">
        <v>20.77</v>
      </c>
      <c r="AF192" s="151" t="inlineStr">
        <is>
          <t>grams</t>
        </is>
      </c>
      <c r="AG192" s="151" t="n"/>
      <c r="AH192" s="151" t="n"/>
    </row>
    <row r="193">
      <c r="A193" s="151" t="inlineStr">
        <is>
          <t>FV0281A - Baja Salmon [BNL]</t>
        </is>
      </c>
      <c r="B193" s="151" t="inlineStr">
        <is>
          <t>REC-014197-4-006</t>
        </is>
      </c>
      <c r="C193" s="151" t="inlineStr">
        <is>
          <t>Mexican Cauliflower Rice</t>
        </is>
      </c>
      <c r="D193" s="151" t="inlineStr">
        <is>
          <t>SUB-014051-4-001</t>
        </is>
      </c>
      <c r="E193" s="150" t="n">
        <v>120</v>
      </c>
      <c r="F193" s="151" t="inlineStr">
        <is>
          <t>grams</t>
        </is>
      </c>
      <c r="G193" s="151" t="inlineStr">
        <is>
          <t>OVEN</t>
        </is>
      </c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inlineStr">
        <is>
          <t>FA-DE Spice, Paprika /Gewürze, Paprika</t>
        </is>
      </c>
      <c r="X193" s="151" t="inlineStr">
        <is>
          <t>SPI-00-139373-5</t>
        </is>
      </c>
      <c r="Y193" s="151" t="inlineStr">
        <is>
          <t>0,37</t>
        </is>
      </c>
      <c r="Z193" s="149" t="inlineStr">
        <is>
          <t>0,37</t>
        </is>
      </c>
      <c r="AA193" s="151" t="inlineStr">
        <is>
          <t>grams</t>
        </is>
      </c>
      <c r="AB193" s="151" t="n"/>
      <c r="AC193" s="151" t="n"/>
      <c r="AD193" s="150" t="n">
        <v>0.76391</v>
      </c>
      <c r="AE193" s="149" t="n">
        <v>0.37</v>
      </c>
      <c r="AF193" s="151" t="inlineStr">
        <is>
          <t>grams</t>
        </is>
      </c>
      <c r="AG193" s="151" t="n"/>
      <c r="AH193" s="151" t="n"/>
    </row>
    <row r="194">
      <c r="A194" s="151" t="inlineStr">
        <is>
          <t>FV0281A - Baja Salmon [BNL]</t>
        </is>
      </c>
      <c r="B194" s="151" t="inlineStr">
        <is>
          <t>REC-014197-4-006</t>
        </is>
      </c>
      <c r="C194" s="151" t="inlineStr">
        <is>
          <t>Mexican Cauliflower Rice</t>
        </is>
      </c>
      <c r="D194" s="151" t="inlineStr">
        <is>
          <t>SUB-014051-4-001</t>
        </is>
      </c>
      <c r="E194" s="150" t="n">
        <v>120</v>
      </c>
      <c r="F194" s="151" t="inlineStr">
        <is>
          <t>grams</t>
        </is>
      </c>
      <c r="G194" s="151" t="inlineStr">
        <is>
          <t>OVEN</t>
        </is>
      </c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inlineStr">
        <is>
          <t>FA-DE Cauliflower, Riced, IQF /Blumenkohl, Reis, IQF</t>
        </is>
      </c>
      <c r="X194" s="151" t="inlineStr">
        <is>
          <t>PHF-00-139233-1</t>
        </is>
      </c>
      <c r="Y194" s="151" t="inlineStr">
        <is>
          <t>111,41</t>
        </is>
      </c>
      <c r="Z194" s="149" t="inlineStr">
        <is>
          <t>111,41</t>
        </is>
      </c>
      <c r="AA194" s="151" t="inlineStr">
        <is>
          <t>grams</t>
        </is>
      </c>
      <c r="AB194" s="151" t="n"/>
      <c r="AC194" s="151" t="n"/>
      <c r="AD194" s="150" t="n">
        <v>0.76391</v>
      </c>
      <c r="AE194" s="149" t="n">
        <v>111.41</v>
      </c>
      <c r="AF194" s="151" t="inlineStr">
        <is>
          <t>grams</t>
        </is>
      </c>
      <c r="AG194" s="151" t="n"/>
      <c r="AH194" s="151" t="n"/>
    </row>
    <row r="195">
      <c r="A195" s="151" t="inlineStr">
        <is>
          <t>FV0281A - Baja Salmon [BNL]</t>
        </is>
      </c>
      <c r="B195" s="151" t="inlineStr">
        <is>
          <t>REC-014197-4-006</t>
        </is>
      </c>
      <c r="C195" s="151" t="inlineStr">
        <is>
          <t>Mexican Cauliflower Rice</t>
        </is>
      </c>
      <c r="D195" s="151" t="inlineStr">
        <is>
          <t>SUB-014051-4-001</t>
        </is>
      </c>
      <c r="E195" s="150" t="n">
        <v>120</v>
      </c>
      <c r="F195" s="151" t="inlineStr">
        <is>
          <t>grams</t>
        </is>
      </c>
      <c r="G195" s="151" t="inlineStr">
        <is>
          <t>OVEN</t>
        </is>
      </c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inlineStr">
        <is>
          <t>FA-DE Spice, Cumin Ground /Gewürz, gemahlener Kreuzkümmel</t>
        </is>
      </c>
      <c r="X195" s="151" t="inlineStr">
        <is>
          <t>SPI-00-139345-5</t>
        </is>
      </c>
      <c r="Y195" s="151" t="inlineStr">
        <is>
          <t>0,37</t>
        </is>
      </c>
      <c r="Z195" s="149" t="inlineStr">
        <is>
          <t>0,37</t>
        </is>
      </c>
      <c r="AA195" s="151" t="inlineStr">
        <is>
          <t>grams</t>
        </is>
      </c>
      <c r="AB195" s="151" t="n"/>
      <c r="AC195" s="151" t="n"/>
      <c r="AD195" s="150" t="n">
        <v>0.76391</v>
      </c>
      <c r="AE195" s="149" t="n">
        <v>0.37</v>
      </c>
      <c r="AF195" s="151" t="inlineStr">
        <is>
          <t>grams</t>
        </is>
      </c>
      <c r="AG195" s="151" t="n"/>
      <c r="AH195" s="151" t="n"/>
    </row>
    <row r="196">
      <c r="A196" s="151" t="inlineStr">
        <is>
          <t>FV0281A - Baja Salmon [BNL]</t>
        </is>
      </c>
      <c r="B196" s="151" t="inlineStr">
        <is>
          <t>REC-014197-4-006</t>
        </is>
      </c>
      <c r="C196" s="151" t="inlineStr">
        <is>
          <t>Mexican Cauliflower Rice</t>
        </is>
      </c>
      <c r="D196" s="151" t="inlineStr">
        <is>
          <t>SUB-014051-4-001</t>
        </is>
      </c>
      <c r="E196" s="150" t="n">
        <v>120</v>
      </c>
      <c r="F196" s="151" t="inlineStr">
        <is>
          <t>grams</t>
        </is>
      </c>
      <c r="G196" s="151" t="inlineStr">
        <is>
          <t>OVEN</t>
        </is>
      </c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inlineStr">
        <is>
          <t>FA-DE Onion, Red, Diced 5mm /Zwiebeln, rot, gewürfelt 5 mm</t>
        </is>
      </c>
      <c r="X196" s="151" t="inlineStr">
        <is>
          <t>PHF-00-139213-3</t>
        </is>
      </c>
      <c r="Y196" s="155" t="inlineStr">
        <is>
          <t>13,6</t>
        </is>
      </c>
      <c r="Z196" s="149" t="inlineStr">
        <is>
          <t>13,6</t>
        </is>
      </c>
      <c r="AA196" s="151" t="inlineStr">
        <is>
          <t>grams</t>
        </is>
      </c>
      <c r="AB196" s="151" t="n"/>
      <c r="AC196" s="151" t="n"/>
      <c r="AD196" s="150" t="n">
        <v>0.76391</v>
      </c>
      <c r="AE196" s="149" t="n">
        <v>13.6</v>
      </c>
      <c r="AF196" s="151" t="inlineStr">
        <is>
          <t>grams</t>
        </is>
      </c>
      <c r="AG196" s="151" t="n"/>
      <c r="AH196" s="151" t="n"/>
    </row>
    <row r="197">
      <c r="A197" s="151" t="inlineStr">
        <is>
          <t>FV0281A - Baja Salmon [BNL]</t>
        </is>
      </c>
      <c r="B197" s="151" t="inlineStr">
        <is>
          <t>REC-014197-4-006</t>
        </is>
      </c>
      <c r="C197" s="151" t="inlineStr">
        <is>
          <t>Salmon - BAJA Salmon - Batch</t>
        </is>
      </c>
      <c r="D197" s="151" t="inlineStr">
        <is>
          <t>SUB-014053-4-001</t>
        </is>
      </c>
      <c r="E197" s="150" t="n">
        <v>1</v>
      </c>
      <c r="F197" s="151" t="inlineStr">
        <is>
          <t>each</t>
        </is>
      </c>
      <c r="G197" s="151" t="inlineStr">
        <is>
          <t>BLAST CHILLER, HAND MARINADE, OVEN, THAW</t>
        </is>
      </c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inlineStr">
        <is>
          <t>FA-DE Spice, Sea Salt /Gewürze, Meersalz</t>
        </is>
      </c>
      <c r="X197" s="151" t="inlineStr">
        <is>
          <t>SPI-00-139378-5</t>
        </is>
      </c>
      <c r="Y197" s="151" t="inlineStr">
        <is>
          <t>0,6</t>
        </is>
      </c>
      <c r="Z197" s="149" t="inlineStr">
        <is>
          <t>0,6</t>
        </is>
      </c>
      <c r="AA197" s="151" t="inlineStr">
        <is>
          <t>grams</t>
        </is>
      </c>
      <c r="AB197" s="151" t="n"/>
      <c r="AC197" s="151" t="n"/>
      <c r="AD197" s="150" t="n">
        <v>0.79681</v>
      </c>
      <c r="AE197" s="149" t="n">
        <v>0.6</v>
      </c>
      <c r="AF197" s="151" t="inlineStr">
        <is>
          <t>grams</t>
        </is>
      </c>
      <c r="AG197" s="151" t="n"/>
      <c r="AH197" s="151" t="n"/>
    </row>
    <row r="198">
      <c r="A198" s="151" t="inlineStr">
        <is>
          <t>FV0281A - Baja Salmon [BNL]</t>
        </is>
      </c>
      <c r="B198" s="151" t="inlineStr">
        <is>
          <t>REC-014197-4-006</t>
        </is>
      </c>
      <c r="C198" s="151" t="inlineStr">
        <is>
          <t>Salmon - BAJA Salmon - Batch</t>
        </is>
      </c>
      <c r="D198" s="151" t="inlineStr">
        <is>
          <t>SUB-014053-4-001</t>
        </is>
      </c>
      <c r="E198" s="150" t="n">
        <v>1</v>
      </c>
      <c r="F198" s="151" t="inlineStr">
        <is>
          <t>each</t>
        </is>
      </c>
      <c r="G198" s="151" t="inlineStr">
        <is>
          <t>BLAST CHILLER, HAND MARINADE, OVEN, THAW</t>
        </is>
      </c>
      <c r="H198" s="151" t="inlineStr">
        <is>
          <t>Marinade - Baja Marinade</t>
        </is>
      </c>
      <c r="I198" s="151" t="inlineStr">
        <is>
          <t>SUB-014052-4-001</t>
        </is>
      </c>
      <c r="J198" s="150" t="n">
        <v>10</v>
      </c>
      <c r="K198" s="151" t="inlineStr">
        <is>
          <t>grams</t>
        </is>
      </c>
      <c r="L198" s="151" t="inlineStr">
        <is>
          <t>IMMERSION BLENDER</t>
        </is>
      </c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inlineStr">
        <is>
          <t>FA-DE Spice, Onion Granulated /Gewürze, Zwiebeln granuliert</t>
        </is>
      </c>
      <c r="X198" s="151" t="inlineStr">
        <is>
          <t>SPI-00-139370-5</t>
        </is>
      </c>
      <c r="Y198" s="151" t="inlineStr">
        <is>
          <t>0,54</t>
        </is>
      </c>
      <c r="Z198" s="149" t="inlineStr">
        <is>
          <t>0,54</t>
        </is>
      </c>
      <c r="AA198" s="151" t="inlineStr">
        <is>
          <t>grams</t>
        </is>
      </c>
      <c r="AB198" s="151" t="n"/>
      <c r="AC198" s="151" t="n"/>
      <c r="AD198" s="150" t="n">
        <v>0.93809</v>
      </c>
      <c r="AE198" s="149" t="n">
        <v>0.54</v>
      </c>
      <c r="AF198" s="151" t="inlineStr">
        <is>
          <t>grams</t>
        </is>
      </c>
      <c r="AG198" s="151" t="n"/>
      <c r="AH198" s="151" t="n"/>
    </row>
    <row r="199">
      <c r="A199" s="151" t="inlineStr">
        <is>
          <t>FV0281A - Baja Salmon [BNL]</t>
        </is>
      </c>
      <c r="B199" s="151" t="inlineStr">
        <is>
          <t>REC-014197-4-006</t>
        </is>
      </c>
      <c r="C199" s="151" t="inlineStr">
        <is>
          <t>Salmon - BAJA Salmon - Batch</t>
        </is>
      </c>
      <c r="D199" s="151" t="inlineStr">
        <is>
          <t>SUB-014053-4-001</t>
        </is>
      </c>
      <c r="E199" s="150" t="n">
        <v>1</v>
      </c>
      <c r="F199" s="151" t="inlineStr">
        <is>
          <t>each</t>
        </is>
      </c>
      <c r="G199" s="151" t="inlineStr">
        <is>
          <t>BLAST CHILLER, HAND MARINADE, OVEN, THAW</t>
        </is>
      </c>
      <c r="H199" s="151" t="inlineStr">
        <is>
          <t>Marinade - Baja Marinade</t>
        </is>
      </c>
      <c r="I199" s="151" t="inlineStr">
        <is>
          <t>SUB-014052-4-001</t>
        </is>
      </c>
      <c r="J199" s="150" t="n">
        <v>10</v>
      </c>
      <c r="K199" s="151" t="inlineStr">
        <is>
          <t>grams</t>
        </is>
      </c>
      <c r="L199" s="151" t="inlineStr">
        <is>
          <t>IMMERSION BLENDER</t>
        </is>
      </c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inlineStr">
        <is>
          <t>FA-DE Juice, Lime /Saft, Limette</t>
        </is>
      </c>
      <c r="X199" s="151" t="inlineStr">
        <is>
          <t>PRO-00-139268-5</t>
        </is>
      </c>
      <c r="Y199" s="151" t="inlineStr">
        <is>
          <t>0,37</t>
        </is>
      </c>
      <c r="Z199" s="149" t="inlineStr">
        <is>
          <t>0,37</t>
        </is>
      </c>
      <c r="AA199" s="151" t="inlineStr">
        <is>
          <t>grams</t>
        </is>
      </c>
      <c r="AB199" s="151" t="n"/>
      <c r="AC199" s="151" t="n"/>
      <c r="AD199" s="150" t="n">
        <v>0.93809</v>
      </c>
      <c r="AE199" s="149" t="n">
        <v>0.37</v>
      </c>
      <c r="AF199" s="151" t="inlineStr">
        <is>
          <t>grams</t>
        </is>
      </c>
      <c r="AG199" s="151" t="n"/>
      <c r="AH199" s="151" t="n"/>
    </row>
    <row r="200">
      <c r="A200" s="151" t="inlineStr">
        <is>
          <t>FV0281A - Baja Salmon [BNL]</t>
        </is>
      </c>
      <c r="B200" s="151" t="inlineStr">
        <is>
          <t>REC-014197-4-006</t>
        </is>
      </c>
      <c r="C200" s="151" t="inlineStr">
        <is>
          <t>Salmon - BAJA Salmon - Batch</t>
        </is>
      </c>
      <c r="D200" s="151" t="inlineStr">
        <is>
          <t>SUB-014053-4-001</t>
        </is>
      </c>
      <c r="E200" s="150" t="n">
        <v>1</v>
      </c>
      <c r="F200" s="151" t="inlineStr">
        <is>
          <t>each</t>
        </is>
      </c>
      <c r="G200" s="151" t="inlineStr">
        <is>
          <t>BLAST CHILLER, HAND MARINADE, OVEN, THAW</t>
        </is>
      </c>
      <c r="H200" s="151" t="inlineStr">
        <is>
          <t>Marinade - Baja Marinade</t>
        </is>
      </c>
      <c r="I200" s="151" t="inlineStr">
        <is>
          <t>SUB-014052-4-001</t>
        </is>
      </c>
      <c r="J200" s="150" t="n">
        <v>10</v>
      </c>
      <c r="K200" s="151" t="inlineStr">
        <is>
          <t>grams</t>
        </is>
      </c>
      <c r="L200" s="151" t="inlineStr">
        <is>
          <t>IMMERSION BLENDER</t>
        </is>
      </c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inlineStr">
        <is>
          <t>FA-DE Spice, Smoked Paprika /Gewürz, geräucherter Paprika</t>
        </is>
      </c>
      <c r="X200" s="151" t="inlineStr">
        <is>
          <t>SPI-00-139383-5</t>
        </is>
      </c>
      <c r="Y200" s="151" t="inlineStr">
        <is>
          <t>0,11</t>
        </is>
      </c>
      <c r="Z200" s="149" t="inlineStr">
        <is>
          <t>0,11</t>
        </is>
      </c>
      <c r="AA200" s="151" t="inlineStr">
        <is>
          <t>grams</t>
        </is>
      </c>
      <c r="AB200" s="151" t="n"/>
      <c r="AC200" s="151" t="n"/>
      <c r="AD200" s="150" t="n">
        <v>0.93809</v>
      </c>
      <c r="AE200" s="149" t="n">
        <v>0.11</v>
      </c>
      <c r="AF200" s="151" t="inlineStr">
        <is>
          <t>grams</t>
        </is>
      </c>
      <c r="AG200" s="151" t="n"/>
      <c r="AH200" s="151" t="n"/>
    </row>
    <row r="201">
      <c r="A201" s="151" t="inlineStr">
        <is>
          <t>FV0281A - Baja Salmon [BNL]</t>
        </is>
      </c>
      <c r="B201" s="151" t="inlineStr">
        <is>
          <t>REC-014197-4-006</t>
        </is>
      </c>
      <c r="C201" s="151" t="inlineStr">
        <is>
          <t>Salmon - BAJA Salmon - Batch</t>
        </is>
      </c>
      <c r="D201" s="151" t="inlineStr">
        <is>
          <t>SUB-014053-4-001</t>
        </is>
      </c>
      <c r="E201" s="150" t="n">
        <v>1</v>
      </c>
      <c r="F201" s="151" t="inlineStr">
        <is>
          <t>each</t>
        </is>
      </c>
      <c r="G201" s="151" t="inlineStr">
        <is>
          <t>BLAST CHILLER, HAND MARINADE, OVEN, THAW</t>
        </is>
      </c>
      <c r="H201" s="151" t="inlineStr">
        <is>
          <t>Marinade - Baja Marinade</t>
        </is>
      </c>
      <c r="I201" s="151" t="inlineStr">
        <is>
          <t>SUB-014052-4-001</t>
        </is>
      </c>
      <c r="J201" s="150" t="n">
        <v>10</v>
      </c>
      <c r="K201" s="151" t="inlineStr">
        <is>
          <t>grams</t>
        </is>
      </c>
      <c r="L201" s="151" t="inlineStr">
        <is>
          <t>IMMERSION BLENDER</t>
        </is>
      </c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inlineStr">
        <is>
          <t>FA-DE Juice, Orange /Saft, Orange</t>
        </is>
      </c>
      <c r="X201" s="151" t="inlineStr">
        <is>
          <t>PRO-00-139267-5</t>
        </is>
      </c>
      <c r="Y201" s="151" t="inlineStr">
        <is>
          <t>0,37</t>
        </is>
      </c>
      <c r="Z201" s="149" t="inlineStr">
        <is>
          <t>0,37</t>
        </is>
      </c>
      <c r="AA201" s="151" t="inlineStr">
        <is>
          <t>grams</t>
        </is>
      </c>
      <c r="AB201" s="151" t="n"/>
      <c r="AC201" s="151" t="n"/>
      <c r="AD201" s="150" t="n">
        <v>0.93809</v>
      </c>
      <c r="AE201" s="149" t="n">
        <v>0.37</v>
      </c>
      <c r="AF201" s="151" t="inlineStr">
        <is>
          <t>grams</t>
        </is>
      </c>
      <c r="AG201" s="151" t="n"/>
      <c r="AH201" s="151" t="n"/>
    </row>
    <row r="202">
      <c r="A202" s="151" t="inlineStr">
        <is>
          <t>FV0281A - Baja Salmon [BNL]</t>
        </is>
      </c>
      <c r="B202" s="151" t="inlineStr">
        <is>
          <t>REC-014197-4-006</t>
        </is>
      </c>
      <c r="C202" s="151" t="inlineStr">
        <is>
          <t>Salmon - BAJA Salmon - Batch</t>
        </is>
      </c>
      <c r="D202" s="151" t="inlineStr">
        <is>
          <t>SUB-014053-4-001</t>
        </is>
      </c>
      <c r="E202" s="150" t="n">
        <v>1</v>
      </c>
      <c r="F202" s="151" t="inlineStr">
        <is>
          <t>each</t>
        </is>
      </c>
      <c r="G202" s="151" t="inlineStr">
        <is>
          <t>BLAST CHILLER, HAND MARINADE, OVEN, THAW</t>
        </is>
      </c>
      <c r="H202" s="151" t="inlineStr">
        <is>
          <t>Marinade - Baja Marinade</t>
        </is>
      </c>
      <c r="I202" s="151" t="inlineStr">
        <is>
          <t>SUB-014052-4-001</t>
        </is>
      </c>
      <c r="J202" s="150" t="n">
        <v>10</v>
      </c>
      <c r="K202" s="151" t="inlineStr">
        <is>
          <t>grams</t>
        </is>
      </c>
      <c r="L202" s="151" t="inlineStr">
        <is>
          <t>IMMERSION BLENDER</t>
        </is>
      </c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inlineStr">
        <is>
          <t>FA-DE Oil, Olive /Öl, Olivenöl</t>
        </is>
      </c>
      <c r="X202" s="151" t="inlineStr">
        <is>
          <t>PRO-00-139277-5</t>
        </is>
      </c>
      <c r="Y202" s="151" t="inlineStr">
        <is>
          <t>5,27</t>
        </is>
      </c>
      <c r="Z202" s="149" t="inlineStr">
        <is>
          <t>5,27</t>
        </is>
      </c>
      <c r="AA202" s="151" t="inlineStr">
        <is>
          <t>grams</t>
        </is>
      </c>
      <c r="AB202" s="151" t="n"/>
      <c r="AC202" s="151" t="n"/>
      <c r="AD202" s="150" t="n">
        <v>0.93809</v>
      </c>
      <c r="AE202" s="149" t="n">
        <v>5.27</v>
      </c>
      <c r="AF202" s="151" t="inlineStr">
        <is>
          <t>grams</t>
        </is>
      </c>
      <c r="AG202" s="151" t="n"/>
      <c r="AH202" s="151" t="n"/>
    </row>
    <row r="203">
      <c r="A203" s="151" t="inlineStr">
        <is>
          <t>FV0281A - Baja Salmon [BNL]</t>
        </is>
      </c>
      <c r="B203" s="151" t="inlineStr">
        <is>
          <t>REC-014197-4-006</t>
        </is>
      </c>
      <c r="C203" s="151" t="inlineStr">
        <is>
          <t>Salmon - BAJA Salmon - Batch</t>
        </is>
      </c>
      <c r="D203" s="151" t="inlineStr">
        <is>
          <t>SUB-014053-4-001</t>
        </is>
      </c>
      <c r="E203" s="150" t="n">
        <v>1</v>
      </c>
      <c r="F203" s="151" t="inlineStr">
        <is>
          <t>each</t>
        </is>
      </c>
      <c r="G203" s="151" t="inlineStr">
        <is>
          <t>BLAST CHILLER, HAND MARINADE, OVEN, THAW</t>
        </is>
      </c>
      <c r="H203" s="151" t="inlineStr">
        <is>
          <t>Marinade - Baja Marinade</t>
        </is>
      </c>
      <c r="I203" s="151" t="inlineStr">
        <is>
          <t>SUB-014052-4-001</t>
        </is>
      </c>
      <c r="J203" s="150" t="n">
        <v>10</v>
      </c>
      <c r="K203" s="151" t="inlineStr">
        <is>
          <t>grams</t>
        </is>
      </c>
      <c r="L203" s="151" t="inlineStr">
        <is>
          <t>IMMERSION BLENDER</t>
        </is>
      </c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inlineStr">
        <is>
          <t>FA-DE Spice, Ancho Chili Powder /Gewürz, Ancho-Chili-Pulver</t>
        </is>
      </c>
      <c r="X203" s="151" t="inlineStr">
        <is>
          <t>SPI-00-139329-5</t>
        </is>
      </c>
      <c r="Y203" s="151" t="inlineStr">
        <is>
          <t>0,85</t>
        </is>
      </c>
      <c r="Z203" s="149" t="inlineStr">
        <is>
          <t>0,85</t>
        </is>
      </c>
      <c r="AA203" s="151" t="inlineStr">
        <is>
          <t>grams</t>
        </is>
      </c>
      <c r="AB203" s="151" t="n"/>
      <c r="AC203" s="151" t="n"/>
      <c r="AD203" s="150" t="n">
        <v>0.93809</v>
      </c>
      <c r="AE203" s="149" t="n">
        <v>0.85</v>
      </c>
      <c r="AF203" s="151" t="inlineStr">
        <is>
          <t>grams</t>
        </is>
      </c>
      <c r="AG203" s="151" t="n"/>
      <c r="AH203" s="151" t="n"/>
    </row>
    <row r="204">
      <c r="A204" s="151" t="inlineStr">
        <is>
          <t>FV0281A - Baja Salmon [BNL]</t>
        </is>
      </c>
      <c r="B204" s="151" t="inlineStr">
        <is>
          <t>REC-014197-4-006</t>
        </is>
      </c>
      <c r="C204" s="151" t="inlineStr">
        <is>
          <t>Salmon - BAJA Salmon - Batch</t>
        </is>
      </c>
      <c r="D204" s="151" t="inlineStr">
        <is>
          <t>SUB-014053-4-001</t>
        </is>
      </c>
      <c r="E204" s="150" t="n">
        <v>1</v>
      </c>
      <c r="F204" s="151" t="inlineStr">
        <is>
          <t>each</t>
        </is>
      </c>
      <c r="G204" s="151" t="inlineStr">
        <is>
          <t>BLAST CHILLER, HAND MARINADE, OVEN, THAW</t>
        </is>
      </c>
      <c r="H204" s="151" t="inlineStr">
        <is>
          <t>Marinade - Baja Marinade</t>
        </is>
      </c>
      <c r="I204" s="151" t="inlineStr">
        <is>
          <t>SUB-014052-4-001</t>
        </is>
      </c>
      <c r="J204" s="150" t="n">
        <v>10</v>
      </c>
      <c r="K204" s="151" t="inlineStr">
        <is>
          <t>grams</t>
        </is>
      </c>
      <c r="L204" s="151" t="inlineStr">
        <is>
          <t>IMMERSION BLENDER</t>
        </is>
      </c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inlineStr">
        <is>
          <t>FA-DE Garlic, IQF, Diced 4 mm /Knoblauch, IQF, gewürfelt 4 mm</t>
        </is>
      </c>
      <c r="X204" s="151" t="inlineStr">
        <is>
          <t>PHF-00-139237-1</t>
        </is>
      </c>
      <c r="Y204" s="154" t="inlineStr">
        <is>
          <t>2,1</t>
        </is>
      </c>
      <c r="Z204" s="149" t="inlineStr">
        <is>
          <t>2,1</t>
        </is>
      </c>
      <c r="AA204" s="151" t="inlineStr">
        <is>
          <t>grams</t>
        </is>
      </c>
      <c r="AB204" s="151" t="inlineStr">
        <is>
          <t>SCHWEFELDIOXIDE UND SULFITE</t>
        </is>
      </c>
      <c r="AC204" s="151" t="n"/>
      <c r="AD204" s="150" t="n">
        <v>0.93809</v>
      </c>
      <c r="AE204" s="149" t="n">
        <v>2.1</v>
      </c>
      <c r="AF204" s="151" t="inlineStr">
        <is>
          <t>grams</t>
        </is>
      </c>
      <c r="AG204" s="151" t="n"/>
      <c r="AH204" s="151" t="n"/>
    </row>
    <row r="205">
      <c r="A205" s="151" t="inlineStr">
        <is>
          <t>FV0281A - Baja Salmon [BNL]</t>
        </is>
      </c>
      <c r="B205" s="151" t="inlineStr">
        <is>
          <t>REC-014197-4-006</t>
        </is>
      </c>
      <c r="C205" s="151" t="inlineStr">
        <is>
          <t>Salmon - BAJA Salmon - Batch</t>
        </is>
      </c>
      <c r="D205" s="151" t="inlineStr">
        <is>
          <t>SUB-014053-4-001</t>
        </is>
      </c>
      <c r="E205" s="150" t="n">
        <v>1</v>
      </c>
      <c r="F205" s="151" t="inlineStr">
        <is>
          <t>each</t>
        </is>
      </c>
      <c r="G205" s="151" t="inlineStr">
        <is>
          <t>BLAST CHILLER, HAND MARINADE, OVEN, THAW</t>
        </is>
      </c>
      <c r="H205" s="151" t="inlineStr">
        <is>
          <t>Marinade - Baja Marinade</t>
        </is>
      </c>
      <c r="I205" s="151" t="inlineStr">
        <is>
          <t>SUB-014052-4-001</t>
        </is>
      </c>
      <c r="J205" s="150" t="n">
        <v>10</v>
      </c>
      <c r="K205" s="151" t="inlineStr">
        <is>
          <t>grams</t>
        </is>
      </c>
      <c r="L205" s="151" t="inlineStr">
        <is>
          <t>IMMERSION BLENDER</t>
        </is>
      </c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inlineStr">
        <is>
          <t>FA-DE Spice, Cumin Ground /Gewürz, gemahlener Kreuzkümmel</t>
        </is>
      </c>
      <c r="X205" s="151" t="inlineStr">
        <is>
          <t>SPI-00-139345-5</t>
        </is>
      </c>
      <c r="Y205" s="151" t="inlineStr">
        <is>
          <t>0,54</t>
        </is>
      </c>
      <c r="Z205" s="149" t="inlineStr">
        <is>
          <t>0,54</t>
        </is>
      </c>
      <c r="AA205" s="151" t="inlineStr">
        <is>
          <t>grams</t>
        </is>
      </c>
      <c r="AB205" s="151" t="n"/>
      <c r="AC205" s="151" t="n"/>
      <c r="AD205" s="150" t="n">
        <v>0.93809</v>
      </c>
      <c r="AE205" s="149" t="n">
        <v>0.54</v>
      </c>
      <c r="AF205" s="151" t="inlineStr">
        <is>
          <t>grams</t>
        </is>
      </c>
      <c r="AG205" s="151" t="n"/>
      <c r="AH205" s="151" t="n"/>
    </row>
    <row r="206">
      <c r="A206" s="151" t="inlineStr">
        <is>
          <t>FV0281A - Baja Salmon [BNL]</t>
        </is>
      </c>
      <c r="B206" s="151" t="inlineStr">
        <is>
          <t>REC-014197-4-006</t>
        </is>
      </c>
      <c r="C206" s="151" t="inlineStr">
        <is>
          <t>Salmon - BAJA Salmon - Batch</t>
        </is>
      </c>
      <c r="D206" s="151" t="inlineStr">
        <is>
          <t>SUB-014053-4-001</t>
        </is>
      </c>
      <c r="E206" s="150" t="n">
        <v>1</v>
      </c>
      <c r="F206" s="151" t="inlineStr">
        <is>
          <t>each</t>
        </is>
      </c>
      <c r="G206" s="151" t="inlineStr">
        <is>
          <t>BLAST CHILLER, HAND MARINADE, OVEN, THAW</t>
        </is>
      </c>
      <c r="H206" s="151" t="inlineStr">
        <is>
          <t>Marinade - Baja Marinade</t>
        </is>
      </c>
      <c r="I206" s="151" t="inlineStr">
        <is>
          <t>SUB-014052-4-001</t>
        </is>
      </c>
      <c r="J206" s="150" t="n">
        <v>10</v>
      </c>
      <c r="K206" s="151" t="inlineStr">
        <is>
          <t>grams</t>
        </is>
      </c>
      <c r="L206" s="151" t="inlineStr">
        <is>
          <t>IMMERSION BLENDER</t>
        </is>
      </c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inlineStr">
        <is>
          <t>FA-DE Spice, Sea Salt /Gewürze, Meersalz</t>
        </is>
      </c>
      <c r="X206" s="151" t="inlineStr">
        <is>
          <t>SPI-00-139378-5</t>
        </is>
      </c>
      <c r="Y206" s="151" t="inlineStr">
        <is>
          <t>0,31</t>
        </is>
      </c>
      <c r="Z206" s="149" t="inlineStr">
        <is>
          <t>0,31</t>
        </is>
      </c>
      <c r="AA206" s="151" t="inlineStr">
        <is>
          <t>grams</t>
        </is>
      </c>
      <c r="AB206" s="151" t="n"/>
      <c r="AC206" s="151" t="n"/>
      <c r="AD206" s="150" t="n">
        <v>0.93809</v>
      </c>
      <c r="AE206" s="149" t="n">
        <v>0.31</v>
      </c>
      <c r="AF206" s="151" t="inlineStr">
        <is>
          <t>grams</t>
        </is>
      </c>
      <c r="AG206" s="151" t="n"/>
      <c r="AH206" s="151" t="n"/>
    </row>
    <row r="207">
      <c r="A207" s="151" t="inlineStr">
        <is>
          <t>FV0281A - Baja Salmon [BNL]</t>
        </is>
      </c>
      <c r="B207" s="151" t="inlineStr">
        <is>
          <t>REC-014197-4-006</t>
        </is>
      </c>
      <c r="C207" s="151" t="inlineStr">
        <is>
          <t>Salmon - BAJA Salmon - Batch</t>
        </is>
      </c>
      <c r="D207" s="151" t="inlineStr">
        <is>
          <t>SUB-014053-4-001</t>
        </is>
      </c>
      <c r="E207" s="150" t="n">
        <v>1</v>
      </c>
      <c r="F207" s="151" t="inlineStr">
        <is>
          <t>each</t>
        </is>
      </c>
      <c r="G207" s="151" t="inlineStr">
        <is>
          <t>BLAST CHILLER, HAND MARINADE, OVEN, THAW</t>
        </is>
      </c>
      <c r="H207" s="151" t="inlineStr">
        <is>
          <t>Marinade - Baja Marinade</t>
        </is>
      </c>
      <c r="I207" s="151" t="inlineStr">
        <is>
          <t>SUB-014052-4-001</t>
        </is>
      </c>
      <c r="J207" s="150" t="n">
        <v>10</v>
      </c>
      <c r="K207" s="151" t="inlineStr">
        <is>
          <t>grams</t>
        </is>
      </c>
      <c r="L207" s="151" t="inlineStr">
        <is>
          <t>IMMERSION BLENDER</t>
        </is>
      </c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inlineStr">
        <is>
          <t>FA-DE Spice, Black Pepper, Ground /Gewürz, schwarzer Pfeffer, gemahlen</t>
        </is>
      </c>
      <c r="X207" s="151" t="inlineStr">
        <is>
          <t>SPI-00-139334-5</t>
        </is>
      </c>
      <c r="Y207" s="151" t="inlineStr">
        <is>
          <t>0,2</t>
        </is>
      </c>
      <c r="Z207" s="149" t="inlineStr">
        <is>
          <t>0,2</t>
        </is>
      </c>
      <c r="AA207" s="151" t="inlineStr">
        <is>
          <t>grams</t>
        </is>
      </c>
      <c r="AB207" s="151" t="n"/>
      <c r="AC207" s="151" t="n"/>
      <c r="AD207" s="150" t="n">
        <v>0.93809</v>
      </c>
      <c r="AE207" s="149" t="n">
        <v>0.2</v>
      </c>
      <c r="AF207" s="151" t="inlineStr">
        <is>
          <t>grams</t>
        </is>
      </c>
      <c r="AG207" s="151" t="n"/>
      <c r="AH207" s="151" t="n"/>
    </row>
    <row r="208">
      <c r="A208" s="151" t="inlineStr">
        <is>
          <t>FV0281A - Baja Salmon [BNL]</t>
        </is>
      </c>
      <c r="B208" s="151" t="inlineStr">
        <is>
          <t>REC-014197-4-006</t>
        </is>
      </c>
      <c r="C208" s="151" t="inlineStr">
        <is>
          <t>Salmon - BAJA Salmon - Batch</t>
        </is>
      </c>
      <c r="D208" s="151" t="inlineStr">
        <is>
          <t>SUB-014053-4-001</t>
        </is>
      </c>
      <c r="E208" s="150" t="n">
        <v>1</v>
      </c>
      <c r="F208" s="151" t="inlineStr">
        <is>
          <t>each</t>
        </is>
      </c>
      <c r="G208" s="151" t="inlineStr">
        <is>
          <t>BLAST CHILLER, HAND MARINADE, OVEN, THAW</t>
        </is>
      </c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inlineStr">
        <is>
          <t>FA-DE Salmon, Skinless, Boneless, Filet/Lachs, ohne Haut, ohne Knochen, Filet - IQF</t>
        </is>
      </c>
      <c r="X208" s="151" t="inlineStr">
        <is>
          <t>PTN-00-139968-1</t>
        </is>
      </c>
      <c r="Y208" s="150" t="n">
        <v>140</v>
      </c>
      <c r="Z208" s="152" t="n">
        <v>140</v>
      </c>
      <c r="AA208" s="151" t="inlineStr">
        <is>
          <t>grams</t>
        </is>
      </c>
      <c r="AB208" s="151" t="inlineStr">
        <is>
          <t>FISCH</t>
        </is>
      </c>
      <c r="AC208" s="151" t="n"/>
      <c r="AD208" s="150" t="n">
        <v>0.79681</v>
      </c>
      <c r="AE208" s="152" t="n">
        <v>140</v>
      </c>
      <c r="AF208" s="151" t="inlineStr">
        <is>
          <t>grams</t>
        </is>
      </c>
      <c r="AG208" s="151" t="n"/>
      <c r="AH208" s="151" t="n"/>
    </row>
    <row r="209">
      <c r="A209" s="151" t="inlineStr">
        <is>
          <t>FV0281A - Baja Salmon [BNL]</t>
        </is>
      </c>
      <c r="B209" s="151" t="inlineStr">
        <is>
          <t>REC-014197-4-006</t>
        </is>
      </c>
      <c r="C209" s="151" t="inlineStr">
        <is>
          <t>Compound butter - Chili-Garlic Butter - master batch</t>
        </is>
      </c>
      <c r="D209" s="151" t="inlineStr">
        <is>
          <t>SUB-014054-4-001</t>
        </is>
      </c>
      <c r="E209" s="150" t="n">
        <v>12</v>
      </c>
      <c r="F209" s="151" t="inlineStr">
        <is>
          <t>grams</t>
        </is>
      </c>
      <c r="G209" s="151" t="inlineStr">
        <is>
          <t>BLAST CHILLER, PLANETARY MIXER, SCOOPER (BUTTER)</t>
        </is>
      </c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inlineStr">
        <is>
          <t>FA-DE Spice, Minced Garlic, Toasted, Dry /Gewürz, gehackter Knoblauch, geröstet, trocken</t>
        </is>
      </c>
      <c r="X209" s="151" t="inlineStr">
        <is>
          <t>SPI-00-139367-5</t>
        </is>
      </c>
      <c r="Y209" s="151" t="inlineStr">
        <is>
          <t>0,42</t>
        </is>
      </c>
      <c r="Z209" s="149" t="inlineStr">
        <is>
          <t>0,42</t>
        </is>
      </c>
      <c r="AA209" s="151" t="inlineStr">
        <is>
          <t>grams</t>
        </is>
      </c>
      <c r="AB209" s="151" t="n"/>
      <c r="AC209" s="151" t="n"/>
      <c r="AD209" s="150" t="n">
        <v>0.97993</v>
      </c>
      <c r="AE209" s="149" t="n">
        <v>0.42</v>
      </c>
      <c r="AF209" s="151" t="inlineStr">
        <is>
          <t>grams</t>
        </is>
      </c>
      <c r="AG209" s="151" t="n"/>
      <c r="AH209" s="151" t="n"/>
    </row>
    <row r="210">
      <c r="A210" s="151" t="inlineStr">
        <is>
          <t>FV0281A - Baja Salmon [BNL]</t>
        </is>
      </c>
      <c r="B210" s="151" t="inlineStr">
        <is>
          <t>REC-014197-4-006</t>
        </is>
      </c>
      <c r="C210" s="151" t="inlineStr">
        <is>
          <t>Compound butter - Chili-Garlic Butter - master batch</t>
        </is>
      </c>
      <c r="D210" s="151" t="inlineStr">
        <is>
          <t>SUB-014054-4-001</t>
        </is>
      </c>
      <c r="E210" s="150" t="n">
        <v>12</v>
      </c>
      <c r="F210" s="151" t="inlineStr">
        <is>
          <t>grams</t>
        </is>
      </c>
      <c r="G210" s="151" t="inlineStr">
        <is>
          <t>BLAST CHILLER, PLANETARY MIXER, SCOOPER (BUTTER)</t>
        </is>
      </c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inlineStr">
        <is>
          <t>FA-DE Spice, Gochugaru Chili Pepper Flakes /Gewürz, Gochugaru-Chili-Pfefferflocken</t>
        </is>
      </c>
      <c r="X210" s="151" t="inlineStr">
        <is>
          <t>SPI-00-139356-5</t>
        </is>
      </c>
      <c r="Y210" s="151" t="inlineStr">
        <is>
          <t>0,14</t>
        </is>
      </c>
      <c r="Z210" s="149" t="inlineStr">
        <is>
          <t>0,14</t>
        </is>
      </c>
      <c r="AA210" s="151" t="inlineStr">
        <is>
          <t>grams</t>
        </is>
      </c>
      <c r="AB210" s="151" t="n"/>
      <c r="AC210" s="151" t="n"/>
      <c r="AD210" s="150" t="n">
        <v>0.97993</v>
      </c>
      <c r="AE210" s="149" t="n">
        <v>0.14</v>
      </c>
      <c r="AF210" s="151" t="inlineStr">
        <is>
          <t>grams</t>
        </is>
      </c>
      <c r="AG210" s="151" t="n"/>
      <c r="AH210" s="151" t="n"/>
    </row>
    <row r="211">
      <c r="A211" s="151" t="inlineStr">
        <is>
          <t>FV0281A - Baja Salmon [BNL]</t>
        </is>
      </c>
      <c r="B211" s="151" t="inlineStr">
        <is>
          <t>REC-014197-4-006</t>
        </is>
      </c>
      <c r="C211" s="151" t="inlineStr">
        <is>
          <t>Compound butter - Chili-Garlic Butter - master batch</t>
        </is>
      </c>
      <c r="D211" s="151" t="inlineStr">
        <is>
          <t>SUB-014054-4-001</t>
        </is>
      </c>
      <c r="E211" s="150" t="n">
        <v>12</v>
      </c>
      <c r="F211" s="151" t="inlineStr">
        <is>
          <t>grams</t>
        </is>
      </c>
      <c r="G211" s="151" t="inlineStr">
        <is>
          <t>BLAST CHILLER, PLANETARY MIXER, SCOOPER (BUTTER)</t>
        </is>
      </c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inlineStr">
        <is>
          <t>FA-DE Spice, Sea Salt /Gewürze, Meersalz</t>
        </is>
      </c>
      <c r="X211" s="151" t="inlineStr">
        <is>
          <t>SPI-00-139378-5</t>
        </is>
      </c>
      <c r="Y211" s="151" t="inlineStr">
        <is>
          <t>0,14</t>
        </is>
      </c>
      <c r="Z211" s="149" t="inlineStr">
        <is>
          <t>0,14</t>
        </is>
      </c>
      <c r="AA211" s="151" t="inlineStr">
        <is>
          <t>grams</t>
        </is>
      </c>
      <c r="AB211" s="151" t="n"/>
      <c r="AC211" s="151" t="n"/>
      <c r="AD211" s="150" t="n">
        <v>0.97993</v>
      </c>
      <c r="AE211" s="149" t="n">
        <v>0.14</v>
      </c>
      <c r="AF211" s="151" t="inlineStr">
        <is>
          <t>grams</t>
        </is>
      </c>
      <c r="AG211" s="151" t="n"/>
      <c r="AH211" s="151" t="n"/>
    </row>
    <row r="212">
      <c r="A212" s="151" t="inlineStr">
        <is>
          <t>FV0281A - Baja Salmon [BNL]</t>
        </is>
      </c>
      <c r="B212" s="151" t="inlineStr">
        <is>
          <t>REC-014197-4-006</t>
        </is>
      </c>
      <c r="C212" s="151" t="inlineStr">
        <is>
          <t>Compound butter - Chili-Garlic Butter - master batch</t>
        </is>
      </c>
      <c r="D212" s="151" t="inlineStr">
        <is>
          <t>SUB-014054-4-001</t>
        </is>
      </c>
      <c r="E212" s="150" t="n">
        <v>12</v>
      </c>
      <c r="F212" s="151" t="inlineStr">
        <is>
          <t>grams</t>
        </is>
      </c>
      <c r="G212" s="151" t="inlineStr">
        <is>
          <t>BLAST CHILLER, PLANETARY MIXER, SCOOPER (BUTTER)</t>
        </is>
      </c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inlineStr">
        <is>
          <t>FA-DE Spice, Black Pepper, Ground /Gewürz, schwarzer Pfeffer, gemahlen</t>
        </is>
      </c>
      <c r="X212" s="151" t="inlineStr">
        <is>
          <t>SPI-00-139334-5</t>
        </is>
      </c>
      <c r="Y212" s="151" t="inlineStr">
        <is>
          <t>0,14</t>
        </is>
      </c>
      <c r="Z212" s="149" t="inlineStr">
        <is>
          <t>0,14</t>
        </is>
      </c>
      <c r="AA212" s="151" t="inlineStr">
        <is>
          <t>grams</t>
        </is>
      </c>
      <c r="AB212" s="151" t="n"/>
      <c r="AC212" s="151" t="n"/>
      <c r="AD212" s="150" t="n">
        <v>0.97993</v>
      </c>
      <c r="AE212" s="149" t="n">
        <v>0.14</v>
      </c>
      <c r="AF212" s="151" t="inlineStr">
        <is>
          <t>grams</t>
        </is>
      </c>
      <c r="AG212" s="151" t="n"/>
      <c r="AH212" s="151" t="n"/>
    </row>
    <row r="213">
      <c r="A213" s="151" t="inlineStr">
        <is>
          <t>FV0281A - Baja Salmon [BNL]</t>
        </is>
      </c>
      <c r="B213" s="151" t="inlineStr">
        <is>
          <t>REC-014197-4-006</t>
        </is>
      </c>
      <c r="C213" s="151" t="inlineStr">
        <is>
          <t>Compound butter - Chili-Garlic Butter - master batch</t>
        </is>
      </c>
      <c r="D213" s="151" t="inlineStr">
        <is>
          <t>SUB-014054-4-001</t>
        </is>
      </c>
      <c r="E213" s="150" t="n">
        <v>12</v>
      </c>
      <c r="F213" s="151" t="inlineStr">
        <is>
          <t>grams</t>
        </is>
      </c>
      <c r="G213" s="151" t="inlineStr">
        <is>
          <t>BLAST CHILLER, PLANETARY MIXER, SCOOPER (BUTTER)</t>
        </is>
      </c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inlineStr">
        <is>
          <t>FA-DE Butter, Unsalted /Butter, ungesalzen</t>
        </is>
      </c>
      <c r="X213" s="151" t="inlineStr">
        <is>
          <t>DAI-00-139146-3</t>
        </is>
      </c>
      <c r="Y213" s="153" t="inlineStr">
        <is>
          <t>11,26</t>
        </is>
      </c>
      <c r="Z213" s="149" t="inlineStr">
        <is>
          <t>11,26</t>
        </is>
      </c>
      <c r="AA213" s="151" t="inlineStr">
        <is>
          <t>grams</t>
        </is>
      </c>
      <c r="AB213" s="151" t="inlineStr">
        <is>
          <t>MILCH (EINSCHLIESSLICH LAKTOSE)</t>
        </is>
      </c>
      <c r="AC213" s="151" t="n"/>
      <c r="AD213" s="150" t="n">
        <v>0.97993</v>
      </c>
      <c r="AE213" s="149" t="n">
        <v>11.26</v>
      </c>
      <c r="AF213" s="151" t="inlineStr">
        <is>
          <t>grams</t>
        </is>
      </c>
      <c r="AG213" s="151" t="n"/>
      <c r="AH213" s="151" t="n"/>
    </row>
    <row r="214">
      <c r="A214" s="151" t="inlineStr">
        <is>
          <t>FV0281A - Baja Salmon [BNL]</t>
        </is>
      </c>
      <c r="B214" s="151" t="inlineStr">
        <is>
          <t>REC-014197-4-006</t>
        </is>
      </c>
      <c r="C214" s="151" t="inlineStr">
        <is>
          <t>Compound butter - Chili-Garlic Butter - master batch</t>
        </is>
      </c>
      <c r="D214" s="151" t="inlineStr">
        <is>
          <t>SUB-014054-4-001</t>
        </is>
      </c>
      <c r="E214" s="150" t="n">
        <v>12</v>
      </c>
      <c r="F214" s="151" t="inlineStr">
        <is>
          <t>grams</t>
        </is>
      </c>
      <c r="G214" s="151" t="inlineStr">
        <is>
          <t>BLAST CHILLER, PLANETARY MIXER, SCOOPER (BUTTER)</t>
        </is>
      </c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inlineStr">
        <is>
          <t>FA-DE Spice, Guajillo Peppers, Ground /Gewürze, Guajillo-Paprikaschoten, gemahlen</t>
        </is>
      </c>
      <c r="X214" s="151" t="inlineStr">
        <is>
          <t>SPI-00-139358-5</t>
        </is>
      </c>
      <c r="Y214" s="151" t="inlineStr">
        <is>
          <t>0,14</t>
        </is>
      </c>
      <c r="Z214" s="149" t="inlineStr">
        <is>
          <t>0,14</t>
        </is>
      </c>
      <c r="AA214" s="151" t="inlineStr">
        <is>
          <t>grams</t>
        </is>
      </c>
      <c r="AB214" s="151" t="n"/>
      <c r="AC214" s="151" t="n"/>
      <c r="AD214" s="150" t="n">
        <v>0.97993</v>
      </c>
      <c r="AE214" s="149" t="n">
        <v>0.14</v>
      </c>
      <c r="AF214" s="151" t="inlineStr">
        <is>
          <t>grams</t>
        </is>
      </c>
      <c r="AG214" s="151" t="n"/>
      <c r="AH214" s="151" t="n"/>
    </row>
    <row r="215">
      <c r="A215" s="151" t="inlineStr">
        <is>
          <t>FV0281A - Baja Salmon [BNL]</t>
        </is>
      </c>
      <c r="B215" s="151" t="inlineStr">
        <is>
          <t>REC-014197-4-006</t>
        </is>
      </c>
      <c r="C215" s="151" t="inlineStr">
        <is>
          <t>Broccoli - S&amp;P Broccoli FLORETS - less salt</t>
        </is>
      </c>
      <c r="D215" s="151" t="inlineStr">
        <is>
          <t>SUB-013822-4-001</t>
        </is>
      </c>
      <c r="E215" s="150" t="n">
        <v>85</v>
      </c>
      <c r="F215" s="151" t="inlineStr">
        <is>
          <t>grams</t>
        </is>
      </c>
      <c r="G215" s="151" t="inlineStr">
        <is>
          <t>HAND MIX</t>
        </is>
      </c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inlineStr">
        <is>
          <t>FA-DE Broccoli, Florets, /Brokkoli, Röschen</t>
        </is>
      </c>
      <c r="X215" s="151" t="inlineStr">
        <is>
          <t>PHF-00-143425-3</t>
        </is>
      </c>
      <c r="Y215" s="151" t="inlineStr">
        <is>
          <t>103,24</t>
        </is>
      </c>
      <c r="Z215" s="149" t="inlineStr">
        <is>
          <t>103,24</t>
        </is>
      </c>
      <c r="AA215" s="151" t="inlineStr">
        <is>
          <t>grams</t>
        </is>
      </c>
      <c r="AB215" s="151" t="n"/>
      <c r="AC215" s="151" t="n"/>
      <c r="AD215" s="150" t="n">
        <v>0.75359</v>
      </c>
      <c r="AE215" s="149" t="n">
        <v>103.24</v>
      </c>
      <c r="AF215" s="151" t="inlineStr">
        <is>
          <t>grams</t>
        </is>
      </c>
      <c r="AG215" s="151" t="n"/>
      <c r="AH215" s="151" t="n"/>
    </row>
    <row r="216">
      <c r="A216" s="151" t="inlineStr">
        <is>
          <t>FV0281A - Baja Salmon [BNL]</t>
        </is>
      </c>
      <c r="B216" s="151" t="inlineStr">
        <is>
          <t>REC-014197-4-006</t>
        </is>
      </c>
      <c r="C216" s="151" t="inlineStr">
        <is>
          <t>Broccoli - S&amp;P Broccoli FLORETS - less salt</t>
        </is>
      </c>
      <c r="D216" s="151" t="inlineStr">
        <is>
          <t>SUB-013822-4-001</t>
        </is>
      </c>
      <c r="E216" s="150" t="n">
        <v>85</v>
      </c>
      <c r="F216" s="151" t="inlineStr">
        <is>
          <t>grams</t>
        </is>
      </c>
      <c r="G216" s="151" t="inlineStr">
        <is>
          <t>HAND MIX</t>
        </is>
      </c>
      <c r="H216" s="151" t="inlineStr">
        <is>
          <t>Broccoli Marinade</t>
        </is>
      </c>
      <c r="I216" s="151" t="inlineStr">
        <is>
          <t>SUB-031970-4-001</t>
        </is>
      </c>
      <c r="J216" s="150" t="n">
        <v>9.550000000000001</v>
      </c>
      <c r="K216" s="151" t="inlineStr">
        <is>
          <t>grams</t>
        </is>
      </c>
      <c r="L216" s="151" t="inlineStr">
        <is>
          <t>IMMERSION BLENDER</t>
        </is>
      </c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inlineStr">
        <is>
          <t>FA-DE Spice, Sea Salt /Gewürze, Meersalz</t>
        </is>
      </c>
      <c r="X216" s="151" t="inlineStr">
        <is>
          <t>SPI-00-139378-5</t>
        </is>
      </c>
      <c r="Y216" s="151" t="inlineStr">
        <is>
          <t>0,38</t>
        </is>
      </c>
      <c r="Z216" s="149" t="inlineStr">
        <is>
          <t>0,38</t>
        </is>
      </c>
      <c r="AA216" s="151" t="inlineStr">
        <is>
          <t>grams</t>
        </is>
      </c>
      <c r="AB216" s="151" t="n"/>
      <c r="AC216" s="151" t="n"/>
      <c r="AD216" s="150" t="n">
        <v>0.97994</v>
      </c>
      <c r="AE216" s="149" t="n">
        <v>0.38</v>
      </c>
      <c r="AF216" s="151" t="inlineStr">
        <is>
          <t>grams</t>
        </is>
      </c>
      <c r="AG216" s="151" t="n"/>
      <c r="AH216" s="151" t="n"/>
    </row>
    <row r="217">
      <c r="A217" s="151" t="inlineStr">
        <is>
          <t>FV0281A - Baja Salmon [BNL]</t>
        </is>
      </c>
      <c r="B217" s="151" t="inlineStr">
        <is>
          <t>REC-014197-4-006</t>
        </is>
      </c>
      <c r="C217" s="151" t="inlineStr">
        <is>
          <t>Broccoli - S&amp;P Broccoli FLORETS - less salt</t>
        </is>
      </c>
      <c r="D217" s="151" t="inlineStr">
        <is>
          <t>SUB-013822-4-001</t>
        </is>
      </c>
      <c r="E217" s="150" t="n">
        <v>85</v>
      </c>
      <c r="F217" s="151" t="inlineStr">
        <is>
          <t>grams</t>
        </is>
      </c>
      <c r="G217" s="151" t="inlineStr">
        <is>
          <t>HAND MIX</t>
        </is>
      </c>
      <c r="H217" s="151" t="inlineStr">
        <is>
          <t>Broccoli Marinade</t>
        </is>
      </c>
      <c r="I217" s="151" t="inlineStr">
        <is>
          <t>SUB-031970-4-001</t>
        </is>
      </c>
      <c r="J217" s="150" t="n">
        <v>9.550000000000001</v>
      </c>
      <c r="K217" s="151" t="inlineStr">
        <is>
          <t>grams</t>
        </is>
      </c>
      <c r="L217" s="151" t="inlineStr">
        <is>
          <t>IMMERSION BLENDER</t>
        </is>
      </c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inlineStr">
        <is>
          <t>FA-DE Oil, Olive /Öl, Olivenöl</t>
        </is>
      </c>
      <c r="X217" s="151" t="inlineStr">
        <is>
          <t>PRO-00-139277-5</t>
        </is>
      </c>
      <c r="Y217" s="151" t="inlineStr">
        <is>
          <t>8,67</t>
        </is>
      </c>
      <c r="Z217" s="149" t="inlineStr">
        <is>
          <t>8,67</t>
        </is>
      </c>
      <c r="AA217" s="151" t="inlineStr">
        <is>
          <t>grams</t>
        </is>
      </c>
      <c r="AB217" s="151" t="n"/>
      <c r="AC217" s="151" t="n"/>
      <c r="AD217" s="150" t="n">
        <v>0.97994</v>
      </c>
      <c r="AE217" s="149" t="n">
        <v>8.67</v>
      </c>
      <c r="AF217" s="151" t="inlineStr">
        <is>
          <t>grams</t>
        </is>
      </c>
      <c r="AG217" s="151" t="n"/>
      <c r="AH217" s="151" t="n"/>
    </row>
    <row r="218">
      <c r="A218" s="151" t="inlineStr">
        <is>
          <t>FV0281A - Baja Salmon [BNL]</t>
        </is>
      </c>
      <c r="B218" s="151" t="inlineStr">
        <is>
          <t>REC-014197-4-006</t>
        </is>
      </c>
      <c r="C218" s="151" t="inlineStr">
        <is>
          <t>Broccoli - S&amp;P Broccoli FLORETS - less salt</t>
        </is>
      </c>
      <c r="D218" s="151" t="inlineStr">
        <is>
          <t>SUB-013822-4-001</t>
        </is>
      </c>
      <c r="E218" s="150" t="n">
        <v>85</v>
      </c>
      <c r="F218" s="151" t="inlineStr">
        <is>
          <t>grams</t>
        </is>
      </c>
      <c r="G218" s="151" t="inlineStr">
        <is>
          <t>HAND MIX</t>
        </is>
      </c>
      <c r="H218" s="151" t="inlineStr">
        <is>
          <t>Broccoli Marinade</t>
        </is>
      </c>
      <c r="I218" s="151" t="inlineStr">
        <is>
          <t>SUB-031970-4-001</t>
        </is>
      </c>
      <c r="J218" s="150" t="n">
        <v>9.550000000000001</v>
      </c>
      <c r="K218" s="151" t="inlineStr">
        <is>
          <t>grams</t>
        </is>
      </c>
      <c r="L218" s="151" t="inlineStr">
        <is>
          <t>IMMERSION BLENDER</t>
        </is>
      </c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inlineStr">
        <is>
          <t>FA-DE Spice, Garlic Powder, Toasted /Gewürz, Knoblauchpulver, geröstet</t>
        </is>
      </c>
      <c r="X218" s="151" t="inlineStr">
        <is>
          <t>SPI-00-139354-5</t>
        </is>
      </c>
      <c r="Y218" s="151" t="inlineStr">
        <is>
          <t>0,31</t>
        </is>
      </c>
      <c r="Z218" s="149" t="inlineStr">
        <is>
          <t>0,31</t>
        </is>
      </c>
      <c r="AA218" s="151" t="inlineStr">
        <is>
          <t>grams</t>
        </is>
      </c>
      <c r="AB218" s="151" t="n"/>
      <c r="AC218" s="151" t="n"/>
      <c r="AD218" s="150" t="n">
        <v>0.97994</v>
      </c>
      <c r="AE218" s="149" t="n">
        <v>0.31</v>
      </c>
      <c r="AF218" s="151" t="inlineStr">
        <is>
          <t>grams</t>
        </is>
      </c>
      <c r="AG218" s="151" t="n"/>
      <c r="AH218" s="151" t="n"/>
    </row>
    <row r="219">
      <c r="A219" s="151" t="inlineStr">
        <is>
          <t>FV0281A - Baja Salmon [BNL]</t>
        </is>
      </c>
      <c r="B219" s="151" t="inlineStr">
        <is>
          <t>REC-014197-4-006</t>
        </is>
      </c>
      <c r="C219" s="151" t="inlineStr">
        <is>
          <t>Broccoli - S&amp;P Broccoli FLORETS - less salt</t>
        </is>
      </c>
      <c r="D219" s="151" t="inlineStr">
        <is>
          <t>SUB-013822-4-001</t>
        </is>
      </c>
      <c r="E219" s="150" t="n">
        <v>85</v>
      </c>
      <c r="F219" s="151" t="inlineStr">
        <is>
          <t>grams</t>
        </is>
      </c>
      <c r="G219" s="151" t="inlineStr">
        <is>
          <t>HAND MIX</t>
        </is>
      </c>
      <c r="H219" s="151" t="inlineStr">
        <is>
          <t>Broccoli Marinade</t>
        </is>
      </c>
      <c r="I219" s="151" t="inlineStr">
        <is>
          <t>SUB-031970-4-001</t>
        </is>
      </c>
      <c r="J219" s="150" t="n">
        <v>9.550000000000001</v>
      </c>
      <c r="K219" s="151" t="inlineStr">
        <is>
          <t>grams</t>
        </is>
      </c>
      <c r="L219" s="151" t="inlineStr">
        <is>
          <t>IMMERSION BLENDER</t>
        </is>
      </c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inlineStr">
        <is>
          <t>FA-DE Spice, Black Pepper, Ground /Gewürz, schwarzer Pfeffer, gemahlen</t>
        </is>
      </c>
      <c r="X219" s="151" t="inlineStr">
        <is>
          <t>SPI-00-139334-5</t>
        </is>
      </c>
      <c r="Y219" s="151" t="inlineStr">
        <is>
          <t>0,38</t>
        </is>
      </c>
      <c r="Z219" s="149" t="inlineStr">
        <is>
          <t>0,38</t>
        </is>
      </c>
      <c r="AA219" s="151" t="inlineStr">
        <is>
          <t>grams</t>
        </is>
      </c>
      <c r="AB219" s="151" t="n"/>
      <c r="AC219" s="151" t="n"/>
      <c r="AD219" s="150" t="n">
        <v>0.97994</v>
      </c>
      <c r="AE219" s="149" t="n">
        <v>0.38</v>
      </c>
      <c r="AF219" s="151" t="inlineStr">
        <is>
          <t>grams</t>
        </is>
      </c>
      <c r="AG219" s="151" t="n"/>
      <c r="AH219" s="151" t="n"/>
    </row>
    <row r="220">
      <c r="A220" s="151" t="inlineStr">
        <is>
          <t>FV0281A - Baja Salmon [BNL]</t>
        </is>
      </c>
      <c r="B220" s="151" t="inlineStr">
        <is>
          <t>REC-014197-4-006</t>
        </is>
      </c>
      <c r="C220" s="151" t="inlineStr">
        <is>
          <t>Sauce - Cilantro Sour Cream</t>
        </is>
      </c>
      <c r="D220" s="151" t="inlineStr">
        <is>
          <t>SUB-013701-4-001</t>
        </is>
      </c>
      <c r="E220" s="150" t="n">
        <v>40</v>
      </c>
      <c r="F220" s="151" t="inlineStr">
        <is>
          <t>grams</t>
        </is>
      </c>
      <c r="G220" s="151" t="inlineStr">
        <is>
          <t>CUPPING, IMMERSION BLENDER</t>
        </is>
      </c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inlineStr">
        <is>
          <t>FA-DE Spice, Sea Salt /Gewürze, Meersalz</t>
        </is>
      </c>
      <c r="X220" s="151" t="inlineStr">
        <is>
          <t>SPI-00-139378-5</t>
        </is>
      </c>
      <c r="Y220" s="151" t="inlineStr">
        <is>
          <t>0,29</t>
        </is>
      </c>
      <c r="Z220" s="149" t="inlineStr">
        <is>
          <t>0,29</t>
        </is>
      </c>
      <c r="AA220" s="151" t="inlineStr">
        <is>
          <t>grams</t>
        </is>
      </c>
      <c r="AB220" s="151" t="n"/>
      <c r="AC220" s="151" t="n"/>
      <c r="AD220" s="150" t="n">
        <v>0.98001</v>
      </c>
      <c r="AE220" s="149" t="n">
        <v>0.29</v>
      </c>
      <c r="AF220" s="151" t="inlineStr">
        <is>
          <t>grams</t>
        </is>
      </c>
      <c r="AG220" s="151" t="n"/>
      <c r="AH220" s="151" t="n"/>
    </row>
    <row r="221">
      <c r="A221" s="151" t="inlineStr">
        <is>
          <t>FV0281A - Baja Salmon [BNL]</t>
        </is>
      </c>
      <c r="B221" s="151" t="inlineStr">
        <is>
          <t>REC-014197-4-006</t>
        </is>
      </c>
      <c r="C221" s="151" t="inlineStr">
        <is>
          <t>Sauce - Cilantro Sour Cream</t>
        </is>
      </c>
      <c r="D221" s="151" t="inlineStr">
        <is>
          <t>SUB-013701-4-001</t>
        </is>
      </c>
      <c r="E221" s="150" t="n">
        <v>40</v>
      </c>
      <c r="F221" s="151" t="inlineStr">
        <is>
          <t>grams</t>
        </is>
      </c>
      <c r="G221" s="151" t="inlineStr">
        <is>
          <t>CUPPING, IMMERSION BLENDER</t>
        </is>
      </c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inlineStr">
        <is>
          <t>FA-DE Jalapeno Peppers, Diced 5mm /Jalapeno-Paprikaschoten, gewürfelt, 5 mm</t>
        </is>
      </c>
      <c r="X221" s="151" t="inlineStr">
        <is>
          <t>PHF-00-139201-3</t>
        </is>
      </c>
      <c r="Y221" s="151" t="inlineStr">
        <is>
          <t>1,49</t>
        </is>
      </c>
      <c r="Z221" s="149" t="inlineStr">
        <is>
          <t>1,49</t>
        </is>
      </c>
      <c r="AA221" s="151" t="inlineStr">
        <is>
          <t>grams</t>
        </is>
      </c>
      <c r="AB221" s="151" t="n"/>
      <c r="AC221" s="151" t="n"/>
      <c r="AD221" s="150" t="n">
        <v>0.98001</v>
      </c>
      <c r="AE221" s="149" t="n">
        <v>1.49</v>
      </c>
      <c r="AF221" s="151" t="inlineStr">
        <is>
          <t>grams</t>
        </is>
      </c>
      <c r="AG221" s="151" t="n"/>
      <c r="AH221" s="151" t="n"/>
    </row>
    <row r="222">
      <c r="A222" s="151" t="inlineStr">
        <is>
          <t>FV0281A - Baja Salmon [BNL]</t>
        </is>
      </c>
      <c r="B222" s="151" t="inlineStr">
        <is>
          <t>REC-014197-4-006</t>
        </is>
      </c>
      <c r="C222" s="151" t="inlineStr">
        <is>
          <t>Sauce - Cilantro Sour Cream</t>
        </is>
      </c>
      <c r="D222" s="151" t="inlineStr">
        <is>
          <t>SUB-013701-4-001</t>
        </is>
      </c>
      <c r="E222" s="150" t="n">
        <v>40</v>
      </c>
      <c r="F222" s="151" t="inlineStr">
        <is>
          <t>grams</t>
        </is>
      </c>
      <c r="G222" s="151" t="inlineStr">
        <is>
          <t>CUPPING, IMMERSION BLENDER</t>
        </is>
      </c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inlineStr">
        <is>
          <t>FA-DE Juice, Lime /Saft, Limette</t>
        </is>
      </c>
      <c r="X222" s="151" t="inlineStr">
        <is>
          <t>PRO-00-139268-5</t>
        </is>
      </c>
      <c r="Y222" s="151" t="inlineStr">
        <is>
          <t>1,49</t>
        </is>
      </c>
      <c r="Z222" s="149" t="inlineStr">
        <is>
          <t>1,49</t>
        </is>
      </c>
      <c r="AA222" s="151" t="inlineStr">
        <is>
          <t>grams</t>
        </is>
      </c>
      <c r="AB222" s="151" t="n"/>
      <c r="AC222" s="151" t="n"/>
      <c r="AD222" s="150" t="n">
        <v>0.98001</v>
      </c>
      <c r="AE222" s="149" t="n">
        <v>1.49</v>
      </c>
      <c r="AF222" s="151" t="inlineStr">
        <is>
          <t>grams</t>
        </is>
      </c>
      <c r="AG222" s="151" t="n"/>
      <c r="AH222" s="151" t="n"/>
    </row>
    <row r="223">
      <c r="A223" s="151" t="inlineStr">
        <is>
          <t>FV0281A - Baja Salmon [BNL]</t>
        </is>
      </c>
      <c r="B223" s="151" t="inlineStr">
        <is>
          <t>REC-014197-4-006</t>
        </is>
      </c>
      <c r="C223" s="151" t="inlineStr">
        <is>
          <t>Sauce - Cilantro Sour Cream</t>
        </is>
      </c>
      <c r="D223" s="151" t="inlineStr">
        <is>
          <t>SUB-013701-4-001</t>
        </is>
      </c>
      <c r="E223" s="150" t="n">
        <v>40</v>
      </c>
      <c r="F223" s="151" t="inlineStr">
        <is>
          <t>grams</t>
        </is>
      </c>
      <c r="G223" s="151" t="inlineStr">
        <is>
          <t>CUPPING, IMMERSION BLENDER</t>
        </is>
      </c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inlineStr">
        <is>
          <t>FA-DE Garlic, Peeled, Whole Cloves [10kg] /Knoblauch, geschält, ganze Nelken [10kg]</t>
        </is>
      </c>
      <c r="X223" s="151" t="inlineStr">
        <is>
          <t>PHF-00-139197-3</t>
        </is>
      </c>
      <c r="Y223" s="151" t="inlineStr">
        <is>
          <t>0,29</t>
        </is>
      </c>
      <c r="Z223" s="149" t="inlineStr">
        <is>
          <t>0,29</t>
        </is>
      </c>
      <c r="AA223" s="151" t="inlineStr">
        <is>
          <t>grams</t>
        </is>
      </c>
      <c r="AB223" s="151" t="n"/>
      <c r="AC223" s="151" t="n"/>
      <c r="AD223" s="150" t="n">
        <v>0.98001</v>
      </c>
      <c r="AE223" s="149" t="n">
        <v>0.29</v>
      </c>
      <c r="AF223" s="151" t="inlineStr">
        <is>
          <t>grams</t>
        </is>
      </c>
      <c r="AG223" s="151" t="n"/>
      <c r="AH223" s="151" t="n"/>
    </row>
    <row r="224">
      <c r="A224" s="151" t="inlineStr">
        <is>
          <t>FV0281A - Baja Salmon [BNL]</t>
        </is>
      </c>
      <c r="B224" s="151" t="inlineStr">
        <is>
          <t>REC-014197-4-006</t>
        </is>
      </c>
      <c r="C224" s="151" t="inlineStr">
        <is>
          <t>Sauce - Cilantro Sour Cream</t>
        </is>
      </c>
      <c r="D224" s="151" t="inlineStr">
        <is>
          <t>SUB-013701-4-001</t>
        </is>
      </c>
      <c r="E224" s="150" t="n">
        <v>40</v>
      </c>
      <c r="F224" s="151" t="inlineStr">
        <is>
          <t>grams</t>
        </is>
      </c>
      <c r="G224" s="151" t="inlineStr">
        <is>
          <t>CUPPING, IMMERSION BLENDER</t>
        </is>
      </c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inlineStr">
        <is>
          <t>FA-DE Sour Cream /Sauerrahm</t>
        </is>
      </c>
      <c r="X224" s="151" t="inlineStr">
        <is>
          <t>DAI-00-139141-3</t>
        </is>
      </c>
      <c r="Y224" s="151" t="inlineStr">
        <is>
          <t>29,81</t>
        </is>
      </c>
      <c r="Z224" s="149" t="inlineStr">
        <is>
          <t>29,81</t>
        </is>
      </c>
      <c r="AA224" s="151" t="inlineStr">
        <is>
          <t>grams</t>
        </is>
      </c>
      <c r="AB224" s="151" t="inlineStr">
        <is>
          <t>MILCH (EINSCHLIESSLICH LAKTOSE)</t>
        </is>
      </c>
      <c r="AC224" s="151" t="n"/>
      <c r="AD224" s="150" t="n">
        <v>0.98001</v>
      </c>
      <c r="AE224" s="149" t="n">
        <v>29.81</v>
      </c>
      <c r="AF224" s="151" t="inlineStr">
        <is>
          <t>grams</t>
        </is>
      </c>
      <c r="AG224" s="151" t="n"/>
      <c r="AH224" s="151" t="n"/>
    </row>
    <row r="225">
      <c r="A225" s="151" t="inlineStr">
        <is>
          <t>FV0281A - Baja Salmon [BNL]</t>
        </is>
      </c>
      <c r="B225" s="151" t="inlineStr">
        <is>
          <t>REC-014197-4-006</t>
        </is>
      </c>
      <c r="C225" s="151" t="inlineStr">
        <is>
          <t>Sauce - Cilantro Sour Cream</t>
        </is>
      </c>
      <c r="D225" s="151" t="inlineStr">
        <is>
          <t>SUB-013701-4-001</t>
        </is>
      </c>
      <c r="E225" s="150" t="n">
        <v>40</v>
      </c>
      <c r="F225" s="151" t="inlineStr">
        <is>
          <t>grams</t>
        </is>
      </c>
      <c r="G225" s="151" t="inlineStr">
        <is>
          <t>CUPPING, IMMERSION BLENDER</t>
        </is>
      </c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inlineStr">
        <is>
          <t>FA-DE Coriander, Chopped /Koriander, gehackt</t>
        </is>
      </c>
      <c r="X225" s="151" t="inlineStr">
        <is>
          <t>PHF-00-139192-3</t>
        </is>
      </c>
      <c r="Y225" s="151" t="inlineStr">
        <is>
          <t>7,45</t>
        </is>
      </c>
      <c r="Z225" s="149" t="inlineStr">
        <is>
          <t>7,45</t>
        </is>
      </c>
      <c r="AA225" s="151" t="inlineStr">
        <is>
          <t>grams</t>
        </is>
      </c>
      <c r="AB225" s="151" t="n"/>
      <c r="AC225" s="151" t="n"/>
      <c r="AD225" s="150" t="n">
        <v>0.98001</v>
      </c>
      <c r="AE225" s="149" t="n">
        <v>7.45</v>
      </c>
      <c r="AF225" s="151" t="inlineStr">
        <is>
          <t>grams</t>
        </is>
      </c>
      <c r="AG225" s="151" t="n"/>
      <c r="AH225" s="151" t="n"/>
    </row>
    <row r="226">
      <c r="A226" s="151" t="inlineStr">
        <is>
          <t>FV0281A - Baja Salmon [DE]</t>
        </is>
      </c>
      <c r="B226" s="151" t="inlineStr">
        <is>
          <t>REC-014197-4-004</t>
        </is>
      </c>
      <c r="C226" s="151" t="inlineStr">
        <is>
          <t>Mexican Cauliflower Rice</t>
        </is>
      </c>
      <c r="D226" s="151" t="inlineStr">
        <is>
          <t>SUB-014051-4-001</t>
        </is>
      </c>
      <c r="E226" s="150" t="n">
        <v>120</v>
      </c>
      <c r="F226" s="151" t="inlineStr">
        <is>
          <t>grams</t>
        </is>
      </c>
      <c r="G226" s="151" t="inlineStr">
        <is>
          <t>OVEN</t>
        </is>
      </c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inlineStr">
        <is>
          <t>FA-DE Oil, Olive /Öl, Olivenöl</t>
        </is>
      </c>
      <c r="X226" s="151" t="inlineStr">
        <is>
          <t>PRO-00-139277-5</t>
        </is>
      </c>
      <c r="Y226" s="154" t="inlineStr">
        <is>
          <t>3,02</t>
        </is>
      </c>
      <c r="Z226" s="149" t="inlineStr">
        <is>
          <t>3,02</t>
        </is>
      </c>
      <c r="AA226" s="151" t="inlineStr">
        <is>
          <t>grams</t>
        </is>
      </c>
      <c r="AB226" s="151" t="n"/>
      <c r="AC226" s="151" t="n"/>
      <c r="AD226" s="150" t="n">
        <v>0.76391</v>
      </c>
      <c r="AE226" s="149" t="n">
        <v>3.02</v>
      </c>
      <c r="AF226" s="151" t="inlineStr">
        <is>
          <t>grams</t>
        </is>
      </c>
      <c r="AG226" s="151" t="n"/>
      <c r="AH226" s="151" t="n"/>
    </row>
    <row r="227">
      <c r="A227" s="151" t="inlineStr">
        <is>
          <t>FV0281A - Baja Salmon [DE]</t>
        </is>
      </c>
      <c r="B227" s="151" t="inlineStr">
        <is>
          <t>REC-014197-4-004</t>
        </is>
      </c>
      <c r="C227" s="151" t="inlineStr">
        <is>
          <t>Mexican Cauliflower Rice</t>
        </is>
      </c>
      <c r="D227" s="151" t="inlineStr">
        <is>
          <t>SUB-014051-4-001</t>
        </is>
      </c>
      <c r="E227" s="150" t="n">
        <v>120</v>
      </c>
      <c r="F227" s="151" t="inlineStr">
        <is>
          <t>grams</t>
        </is>
      </c>
      <c r="G227" s="151" t="inlineStr">
        <is>
          <t>OVEN</t>
        </is>
      </c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inlineStr">
        <is>
          <t>FA-DE Spice, Sea Salt /Gewürze, Meersalz</t>
        </is>
      </c>
      <c r="X227" s="151" t="inlineStr">
        <is>
          <t>SPI-00-139378-5</t>
        </is>
      </c>
      <c r="Y227" s="151" t="inlineStr">
        <is>
          <t>0,37</t>
        </is>
      </c>
      <c r="Z227" s="149" t="inlineStr">
        <is>
          <t>0,37</t>
        </is>
      </c>
      <c r="AA227" s="151" t="inlineStr">
        <is>
          <t>grams</t>
        </is>
      </c>
      <c r="AB227" s="151" t="n"/>
      <c r="AC227" s="151" t="n"/>
      <c r="AD227" s="150" t="n">
        <v>0.76391</v>
      </c>
      <c r="AE227" s="149" t="n">
        <v>0.37</v>
      </c>
      <c r="AF227" s="151" t="inlineStr">
        <is>
          <t>grams</t>
        </is>
      </c>
      <c r="AG227" s="151" t="n"/>
      <c r="AH227" s="151" t="n"/>
    </row>
    <row r="228">
      <c r="A228" s="151" t="inlineStr">
        <is>
          <t>FV0281A - Baja Salmon [DE]</t>
        </is>
      </c>
      <c r="B228" s="151" t="inlineStr">
        <is>
          <t>REC-014197-4-004</t>
        </is>
      </c>
      <c r="C228" s="151" t="inlineStr">
        <is>
          <t>Mexican Cauliflower Rice</t>
        </is>
      </c>
      <c r="D228" s="151" t="inlineStr">
        <is>
          <t>SUB-014051-4-001</t>
        </is>
      </c>
      <c r="E228" s="150" t="n">
        <v>120</v>
      </c>
      <c r="F228" s="151" t="inlineStr">
        <is>
          <t>grams</t>
        </is>
      </c>
      <c r="G228" s="151" t="inlineStr">
        <is>
          <t>OVEN</t>
        </is>
      </c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inlineStr">
        <is>
          <t>FA-DE Spice, Chili Powder /Gewürz, Chilipulver</t>
        </is>
      </c>
      <c r="X228" s="151" t="inlineStr">
        <is>
          <t>SPI-00-139340-5</t>
        </is>
      </c>
      <c r="Y228" s="151" t="inlineStr">
        <is>
          <t>0,37</t>
        </is>
      </c>
      <c r="Z228" s="149" t="inlineStr">
        <is>
          <t>0,37</t>
        </is>
      </c>
      <c r="AA228" s="151" t="inlineStr">
        <is>
          <t>grams</t>
        </is>
      </c>
      <c r="AB228" s="151" t="n"/>
      <c r="AC228" s="151" t="n"/>
      <c r="AD228" s="150" t="n">
        <v>0.76391</v>
      </c>
      <c r="AE228" s="149" t="n">
        <v>0.37</v>
      </c>
      <c r="AF228" s="151" t="inlineStr">
        <is>
          <t>grams</t>
        </is>
      </c>
      <c r="AG228" s="151" t="n"/>
      <c r="AH228" s="151" t="n"/>
    </row>
    <row r="229">
      <c r="A229" s="151" t="inlineStr">
        <is>
          <t>FV0281A - Baja Salmon [DE]</t>
        </is>
      </c>
      <c r="B229" s="151" t="inlineStr">
        <is>
          <t>REC-014197-4-004</t>
        </is>
      </c>
      <c r="C229" s="151" t="inlineStr">
        <is>
          <t>Mexican Cauliflower Rice</t>
        </is>
      </c>
      <c r="D229" s="151" t="inlineStr">
        <is>
          <t>SUB-014051-4-001</t>
        </is>
      </c>
      <c r="E229" s="150" t="n">
        <v>120</v>
      </c>
      <c r="F229" s="151" t="inlineStr">
        <is>
          <t>grams</t>
        </is>
      </c>
      <c r="G229" s="151" t="inlineStr">
        <is>
          <t>OVEN</t>
        </is>
      </c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inlineStr">
        <is>
          <t>FA-DE Bell Peppers, Green, Diced 10mm /Paprika, grün, gewürfelt 10 mm</t>
        </is>
      </c>
      <c r="X229" s="151" t="inlineStr">
        <is>
          <t>PHF-00-139176-3</t>
        </is>
      </c>
      <c r="Y229" s="151" t="inlineStr">
        <is>
          <t>6,79</t>
        </is>
      </c>
      <c r="Z229" s="149" t="inlineStr">
        <is>
          <t>6,79</t>
        </is>
      </c>
      <c r="AA229" s="151" t="inlineStr">
        <is>
          <t>grams</t>
        </is>
      </c>
      <c r="AB229" s="151" t="n"/>
      <c r="AC229" s="151" t="n"/>
      <c r="AD229" s="150" t="n">
        <v>0.76391</v>
      </c>
      <c r="AE229" s="149" t="n">
        <v>6.79</v>
      </c>
      <c r="AF229" s="151" t="inlineStr">
        <is>
          <t>grams</t>
        </is>
      </c>
      <c r="AG229" s="151" t="n"/>
      <c r="AH229" s="151" t="n"/>
    </row>
    <row r="230">
      <c r="A230" s="151" t="inlineStr">
        <is>
          <t>FV0281A - Baja Salmon [DE]</t>
        </is>
      </c>
      <c r="B230" s="151" t="inlineStr">
        <is>
          <t>REC-014197-4-004</t>
        </is>
      </c>
      <c r="C230" s="151" t="inlineStr">
        <is>
          <t>Mexican Cauliflower Rice</t>
        </is>
      </c>
      <c r="D230" s="151" t="inlineStr">
        <is>
          <t>SUB-014051-4-001</t>
        </is>
      </c>
      <c r="E230" s="150" t="n">
        <v>120</v>
      </c>
      <c r="F230" s="151" t="inlineStr">
        <is>
          <t>grams</t>
        </is>
      </c>
      <c r="G230" s="151" t="inlineStr">
        <is>
          <t>OVEN</t>
        </is>
      </c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inlineStr">
        <is>
          <t>FA-DE Bell Peppers, Red, Diced 10mm /Paprika, rot, gewürfelt 10 mm</t>
        </is>
      </c>
      <c r="X230" s="151" t="inlineStr">
        <is>
          <t>PHF-00-139179-3</t>
        </is>
      </c>
      <c r="Y230" s="151" t="inlineStr">
        <is>
          <t>20,77</t>
        </is>
      </c>
      <c r="Z230" s="149" t="inlineStr">
        <is>
          <t>20,77</t>
        </is>
      </c>
      <c r="AA230" s="151" t="inlineStr">
        <is>
          <t>grams</t>
        </is>
      </c>
      <c r="AB230" s="151" t="n"/>
      <c r="AC230" s="151" t="n"/>
      <c r="AD230" s="150" t="n">
        <v>0.76391</v>
      </c>
      <c r="AE230" s="149" t="n">
        <v>20.77</v>
      </c>
      <c r="AF230" s="151" t="inlineStr">
        <is>
          <t>grams</t>
        </is>
      </c>
      <c r="AG230" s="151" t="n"/>
      <c r="AH230" s="151" t="n"/>
    </row>
    <row r="231">
      <c r="A231" s="151" t="inlineStr">
        <is>
          <t>FV0281A - Baja Salmon [DE]</t>
        </is>
      </c>
      <c r="B231" s="151" t="inlineStr">
        <is>
          <t>REC-014197-4-004</t>
        </is>
      </c>
      <c r="C231" s="151" t="inlineStr">
        <is>
          <t>Mexican Cauliflower Rice</t>
        </is>
      </c>
      <c r="D231" s="151" t="inlineStr">
        <is>
          <t>SUB-014051-4-001</t>
        </is>
      </c>
      <c r="E231" s="150" t="n">
        <v>120</v>
      </c>
      <c r="F231" s="151" t="inlineStr">
        <is>
          <t>grams</t>
        </is>
      </c>
      <c r="G231" s="151" t="inlineStr">
        <is>
          <t>OVEN</t>
        </is>
      </c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inlineStr">
        <is>
          <t>FA-DE Spice, Paprika /Gewürze, Paprika</t>
        </is>
      </c>
      <c r="X231" s="151" t="inlineStr">
        <is>
          <t>SPI-00-139373-5</t>
        </is>
      </c>
      <c r="Y231" s="151" t="inlineStr">
        <is>
          <t>0,37</t>
        </is>
      </c>
      <c r="Z231" s="149" t="inlineStr">
        <is>
          <t>0,37</t>
        </is>
      </c>
      <c r="AA231" s="151" t="inlineStr">
        <is>
          <t>grams</t>
        </is>
      </c>
      <c r="AB231" s="151" t="n"/>
      <c r="AC231" s="151" t="n"/>
      <c r="AD231" s="150" t="n">
        <v>0.76391</v>
      </c>
      <c r="AE231" s="149" t="n">
        <v>0.37</v>
      </c>
      <c r="AF231" s="151" t="inlineStr">
        <is>
          <t>grams</t>
        </is>
      </c>
      <c r="AG231" s="151" t="n"/>
      <c r="AH231" s="151" t="n"/>
    </row>
    <row r="232">
      <c r="A232" s="151" t="inlineStr">
        <is>
          <t>FV0281A - Baja Salmon [DE]</t>
        </is>
      </c>
      <c r="B232" s="151" t="inlineStr">
        <is>
          <t>REC-014197-4-004</t>
        </is>
      </c>
      <c r="C232" s="151" t="inlineStr">
        <is>
          <t>Mexican Cauliflower Rice</t>
        </is>
      </c>
      <c r="D232" s="151" t="inlineStr">
        <is>
          <t>SUB-014051-4-001</t>
        </is>
      </c>
      <c r="E232" s="150" t="n">
        <v>120</v>
      </c>
      <c r="F232" s="151" t="inlineStr">
        <is>
          <t>grams</t>
        </is>
      </c>
      <c r="G232" s="151" t="inlineStr">
        <is>
          <t>OVEN</t>
        </is>
      </c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inlineStr">
        <is>
          <t>FA-DE Cauliflower, Riced, IQF /Blumenkohl, Reis, IQF</t>
        </is>
      </c>
      <c r="X232" s="151" t="inlineStr">
        <is>
          <t>PHF-00-139233-1</t>
        </is>
      </c>
      <c r="Y232" s="151" t="inlineStr">
        <is>
          <t>111,41</t>
        </is>
      </c>
      <c r="Z232" s="149" t="inlineStr">
        <is>
          <t>111,41</t>
        </is>
      </c>
      <c r="AA232" s="151" t="inlineStr">
        <is>
          <t>grams</t>
        </is>
      </c>
      <c r="AB232" s="151" t="n"/>
      <c r="AC232" s="151" t="n"/>
      <c r="AD232" s="150" t="n">
        <v>0.76391</v>
      </c>
      <c r="AE232" s="149" t="n">
        <v>111.41</v>
      </c>
      <c r="AF232" s="151" t="inlineStr">
        <is>
          <t>grams</t>
        </is>
      </c>
      <c r="AG232" s="151" t="n"/>
      <c r="AH232" s="151" t="n"/>
    </row>
    <row r="233">
      <c r="A233" s="151" t="inlineStr">
        <is>
          <t>FV0281A - Baja Salmon [DE]</t>
        </is>
      </c>
      <c r="B233" s="151" t="inlineStr">
        <is>
          <t>REC-014197-4-004</t>
        </is>
      </c>
      <c r="C233" s="151" t="inlineStr">
        <is>
          <t>Mexican Cauliflower Rice</t>
        </is>
      </c>
      <c r="D233" s="151" t="inlineStr">
        <is>
          <t>SUB-014051-4-001</t>
        </is>
      </c>
      <c r="E233" s="150" t="n">
        <v>120</v>
      </c>
      <c r="F233" s="151" t="inlineStr">
        <is>
          <t>grams</t>
        </is>
      </c>
      <c r="G233" s="151" t="inlineStr">
        <is>
          <t>OVEN</t>
        </is>
      </c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inlineStr">
        <is>
          <t>FA-DE Spice, Cumin Ground /Gewürz, gemahlener Kreuzkümmel</t>
        </is>
      </c>
      <c r="X233" s="151" t="inlineStr">
        <is>
          <t>SPI-00-139345-5</t>
        </is>
      </c>
      <c r="Y233" s="151" t="inlineStr">
        <is>
          <t>0,37</t>
        </is>
      </c>
      <c r="Z233" s="149" t="inlineStr">
        <is>
          <t>0,37</t>
        </is>
      </c>
      <c r="AA233" s="151" t="inlineStr">
        <is>
          <t>grams</t>
        </is>
      </c>
      <c r="AB233" s="151" t="n"/>
      <c r="AC233" s="151" t="n"/>
      <c r="AD233" s="150" t="n">
        <v>0.76391</v>
      </c>
      <c r="AE233" s="149" t="n">
        <v>0.37</v>
      </c>
      <c r="AF233" s="151" t="inlineStr">
        <is>
          <t>grams</t>
        </is>
      </c>
      <c r="AG233" s="151" t="n"/>
      <c r="AH233" s="151" t="n"/>
    </row>
    <row r="234">
      <c r="A234" s="151" t="inlineStr">
        <is>
          <t>FV0281A - Baja Salmon [DE]</t>
        </is>
      </c>
      <c r="B234" s="151" t="inlineStr">
        <is>
          <t>REC-014197-4-004</t>
        </is>
      </c>
      <c r="C234" s="151" t="inlineStr">
        <is>
          <t>Mexican Cauliflower Rice</t>
        </is>
      </c>
      <c r="D234" s="151" t="inlineStr">
        <is>
          <t>SUB-014051-4-001</t>
        </is>
      </c>
      <c r="E234" s="150" t="n">
        <v>120</v>
      </c>
      <c r="F234" s="151" t="inlineStr">
        <is>
          <t>grams</t>
        </is>
      </c>
      <c r="G234" s="151" t="inlineStr">
        <is>
          <t>OVEN</t>
        </is>
      </c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inlineStr">
        <is>
          <t>FA-DE Onion, Red, Diced 5mm /Zwiebeln, rot, gewürfelt 5 mm</t>
        </is>
      </c>
      <c r="X234" s="151" t="inlineStr">
        <is>
          <t>PHF-00-139213-3</t>
        </is>
      </c>
      <c r="Y234" s="155" t="inlineStr">
        <is>
          <t>13,6</t>
        </is>
      </c>
      <c r="Z234" s="149" t="inlineStr">
        <is>
          <t>13,6</t>
        </is>
      </c>
      <c r="AA234" s="151" t="inlineStr">
        <is>
          <t>grams</t>
        </is>
      </c>
      <c r="AB234" s="151" t="n"/>
      <c r="AC234" s="151" t="n"/>
      <c r="AD234" s="150" t="n">
        <v>0.76391</v>
      </c>
      <c r="AE234" s="149" t="n">
        <v>13.6</v>
      </c>
      <c r="AF234" s="151" t="inlineStr">
        <is>
          <t>grams</t>
        </is>
      </c>
      <c r="AG234" s="151" t="n"/>
      <c r="AH234" s="151" t="n"/>
    </row>
    <row r="235">
      <c r="A235" s="151" t="inlineStr">
        <is>
          <t>FV0281A - Baja Salmon [DE]</t>
        </is>
      </c>
      <c r="B235" s="151" t="inlineStr">
        <is>
          <t>REC-014197-4-004</t>
        </is>
      </c>
      <c r="C235" s="151" t="inlineStr">
        <is>
          <t>Salmon - BAJA Salmon - Batch</t>
        </is>
      </c>
      <c r="D235" s="151" t="inlineStr">
        <is>
          <t>SUB-014053-4-001</t>
        </is>
      </c>
      <c r="E235" s="150" t="n">
        <v>1</v>
      </c>
      <c r="F235" s="151" t="inlineStr">
        <is>
          <t>each</t>
        </is>
      </c>
      <c r="G235" s="151" t="inlineStr">
        <is>
          <t>BLAST CHILLER, HAND MARINADE, OVEN, THAW</t>
        </is>
      </c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inlineStr">
        <is>
          <t>FA-DE Spice, Sea Salt /Gewürze, Meersalz</t>
        </is>
      </c>
      <c r="X235" s="151" t="inlineStr">
        <is>
          <t>SPI-00-139378-5</t>
        </is>
      </c>
      <c r="Y235" s="151" t="inlineStr">
        <is>
          <t>0,6</t>
        </is>
      </c>
      <c r="Z235" s="149" t="inlineStr">
        <is>
          <t>0,6</t>
        </is>
      </c>
      <c r="AA235" s="151" t="inlineStr">
        <is>
          <t>grams</t>
        </is>
      </c>
      <c r="AB235" s="151" t="n"/>
      <c r="AC235" s="151" t="n"/>
      <c r="AD235" s="150" t="n">
        <v>0.79681</v>
      </c>
      <c r="AE235" s="149" t="n">
        <v>0.6</v>
      </c>
      <c r="AF235" s="151" t="inlineStr">
        <is>
          <t>grams</t>
        </is>
      </c>
      <c r="AG235" s="151" t="n"/>
      <c r="AH235" s="151" t="n"/>
    </row>
    <row r="236">
      <c r="A236" s="151" t="inlineStr">
        <is>
          <t>FV0281A - Baja Salmon [DE]</t>
        </is>
      </c>
      <c r="B236" s="151" t="inlineStr">
        <is>
          <t>REC-014197-4-004</t>
        </is>
      </c>
      <c r="C236" s="151" t="inlineStr">
        <is>
          <t>Salmon - BAJA Salmon - Batch</t>
        </is>
      </c>
      <c r="D236" s="151" t="inlineStr">
        <is>
          <t>SUB-014053-4-001</t>
        </is>
      </c>
      <c r="E236" s="150" t="n">
        <v>1</v>
      </c>
      <c r="F236" s="151" t="inlineStr">
        <is>
          <t>each</t>
        </is>
      </c>
      <c r="G236" s="151" t="inlineStr">
        <is>
          <t>BLAST CHILLER, HAND MARINADE, OVEN, THAW</t>
        </is>
      </c>
      <c r="H236" s="151" t="inlineStr">
        <is>
          <t>Marinade - Baja Marinade</t>
        </is>
      </c>
      <c r="I236" s="151" t="inlineStr">
        <is>
          <t>SUB-014052-4-001</t>
        </is>
      </c>
      <c r="J236" s="150" t="n">
        <v>10</v>
      </c>
      <c r="K236" s="151" t="inlineStr">
        <is>
          <t>grams</t>
        </is>
      </c>
      <c r="L236" s="151" t="inlineStr">
        <is>
          <t>IMMERSION BLENDER</t>
        </is>
      </c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inlineStr">
        <is>
          <t>FA-DE Spice, Onion Granulated /Gewürze, Zwiebeln granuliert</t>
        </is>
      </c>
      <c r="X236" s="151" t="inlineStr">
        <is>
          <t>SPI-00-139370-5</t>
        </is>
      </c>
      <c r="Y236" s="151" t="inlineStr">
        <is>
          <t>0,54</t>
        </is>
      </c>
      <c r="Z236" s="149" t="inlineStr">
        <is>
          <t>0,54</t>
        </is>
      </c>
      <c r="AA236" s="151" t="inlineStr">
        <is>
          <t>grams</t>
        </is>
      </c>
      <c r="AB236" s="151" t="n"/>
      <c r="AC236" s="151" t="n"/>
      <c r="AD236" s="150" t="n">
        <v>0.93809</v>
      </c>
      <c r="AE236" s="149" t="n">
        <v>0.54</v>
      </c>
      <c r="AF236" s="151" t="inlineStr">
        <is>
          <t>grams</t>
        </is>
      </c>
      <c r="AG236" s="151" t="n"/>
      <c r="AH236" s="151" t="n"/>
    </row>
    <row r="237">
      <c r="A237" s="151" t="inlineStr">
        <is>
          <t>FV0281A - Baja Salmon [DE]</t>
        </is>
      </c>
      <c r="B237" s="151" t="inlineStr">
        <is>
          <t>REC-014197-4-004</t>
        </is>
      </c>
      <c r="C237" s="151" t="inlineStr">
        <is>
          <t>Salmon - BAJA Salmon - Batch</t>
        </is>
      </c>
      <c r="D237" s="151" t="inlineStr">
        <is>
          <t>SUB-014053-4-001</t>
        </is>
      </c>
      <c r="E237" s="150" t="n">
        <v>1</v>
      </c>
      <c r="F237" s="151" t="inlineStr">
        <is>
          <t>each</t>
        </is>
      </c>
      <c r="G237" s="151" t="inlineStr">
        <is>
          <t>BLAST CHILLER, HAND MARINADE, OVEN, THAW</t>
        </is>
      </c>
      <c r="H237" s="151" t="inlineStr">
        <is>
          <t>Marinade - Baja Marinade</t>
        </is>
      </c>
      <c r="I237" s="151" t="inlineStr">
        <is>
          <t>SUB-014052-4-001</t>
        </is>
      </c>
      <c r="J237" s="150" t="n">
        <v>10</v>
      </c>
      <c r="K237" s="151" t="inlineStr">
        <is>
          <t>grams</t>
        </is>
      </c>
      <c r="L237" s="151" t="inlineStr">
        <is>
          <t>IMMERSION BLENDER</t>
        </is>
      </c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inlineStr">
        <is>
          <t>FA-DE Juice, Lime /Saft, Limette</t>
        </is>
      </c>
      <c r="X237" s="151" t="inlineStr">
        <is>
          <t>PRO-00-139268-5</t>
        </is>
      </c>
      <c r="Y237" s="151" t="inlineStr">
        <is>
          <t>0,37</t>
        </is>
      </c>
      <c r="Z237" s="149" t="inlineStr">
        <is>
          <t>0,37</t>
        </is>
      </c>
      <c r="AA237" s="151" t="inlineStr">
        <is>
          <t>grams</t>
        </is>
      </c>
      <c r="AB237" s="151" t="n"/>
      <c r="AC237" s="151" t="n"/>
      <c r="AD237" s="150" t="n">
        <v>0.93809</v>
      </c>
      <c r="AE237" s="149" t="n">
        <v>0.37</v>
      </c>
      <c r="AF237" s="151" t="inlineStr">
        <is>
          <t>grams</t>
        </is>
      </c>
      <c r="AG237" s="151" t="n"/>
      <c r="AH237" s="151" t="n"/>
    </row>
    <row r="238">
      <c r="A238" s="151" t="inlineStr">
        <is>
          <t>FV0281A - Baja Salmon [DE]</t>
        </is>
      </c>
      <c r="B238" s="151" t="inlineStr">
        <is>
          <t>REC-014197-4-004</t>
        </is>
      </c>
      <c r="C238" s="151" t="inlineStr">
        <is>
          <t>Salmon - BAJA Salmon - Batch</t>
        </is>
      </c>
      <c r="D238" s="151" t="inlineStr">
        <is>
          <t>SUB-014053-4-001</t>
        </is>
      </c>
      <c r="E238" s="150" t="n">
        <v>1</v>
      </c>
      <c r="F238" s="151" t="inlineStr">
        <is>
          <t>each</t>
        </is>
      </c>
      <c r="G238" s="151" t="inlineStr">
        <is>
          <t>BLAST CHILLER, HAND MARINADE, OVEN, THAW</t>
        </is>
      </c>
      <c r="H238" s="151" t="inlineStr">
        <is>
          <t>Marinade - Baja Marinade</t>
        </is>
      </c>
      <c r="I238" s="151" t="inlineStr">
        <is>
          <t>SUB-014052-4-001</t>
        </is>
      </c>
      <c r="J238" s="150" t="n">
        <v>10</v>
      </c>
      <c r="K238" s="151" t="inlineStr">
        <is>
          <t>grams</t>
        </is>
      </c>
      <c r="L238" s="151" t="inlineStr">
        <is>
          <t>IMMERSION BLENDER</t>
        </is>
      </c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inlineStr">
        <is>
          <t>FA-DE Spice, Smoked Paprika /Gewürz, geräucherter Paprika</t>
        </is>
      </c>
      <c r="X238" s="151" t="inlineStr">
        <is>
          <t>SPI-00-139383-5</t>
        </is>
      </c>
      <c r="Y238" s="151" t="inlineStr">
        <is>
          <t>0,11</t>
        </is>
      </c>
      <c r="Z238" s="149" t="inlineStr">
        <is>
          <t>0,11</t>
        </is>
      </c>
      <c r="AA238" s="151" t="inlineStr">
        <is>
          <t>grams</t>
        </is>
      </c>
      <c r="AB238" s="151" t="n"/>
      <c r="AC238" s="151" t="n"/>
      <c r="AD238" s="150" t="n">
        <v>0.93809</v>
      </c>
      <c r="AE238" s="149" t="n">
        <v>0.11</v>
      </c>
      <c r="AF238" s="151" t="inlineStr">
        <is>
          <t>grams</t>
        </is>
      </c>
      <c r="AG238" s="151" t="n"/>
      <c r="AH238" s="151" t="n"/>
    </row>
    <row r="239">
      <c r="A239" s="151" t="inlineStr">
        <is>
          <t>FV0281A - Baja Salmon [DE]</t>
        </is>
      </c>
      <c r="B239" s="151" t="inlineStr">
        <is>
          <t>REC-014197-4-004</t>
        </is>
      </c>
      <c r="C239" s="151" t="inlineStr">
        <is>
          <t>Salmon - BAJA Salmon - Batch</t>
        </is>
      </c>
      <c r="D239" s="151" t="inlineStr">
        <is>
          <t>SUB-014053-4-001</t>
        </is>
      </c>
      <c r="E239" s="150" t="n">
        <v>1</v>
      </c>
      <c r="F239" s="151" t="inlineStr">
        <is>
          <t>each</t>
        </is>
      </c>
      <c r="G239" s="151" t="inlineStr">
        <is>
          <t>BLAST CHILLER, HAND MARINADE, OVEN, THAW</t>
        </is>
      </c>
      <c r="H239" s="151" t="inlineStr">
        <is>
          <t>Marinade - Baja Marinade</t>
        </is>
      </c>
      <c r="I239" s="151" t="inlineStr">
        <is>
          <t>SUB-014052-4-001</t>
        </is>
      </c>
      <c r="J239" s="150" t="n">
        <v>10</v>
      </c>
      <c r="K239" s="151" t="inlineStr">
        <is>
          <t>grams</t>
        </is>
      </c>
      <c r="L239" s="151" t="inlineStr">
        <is>
          <t>IMMERSION BLENDER</t>
        </is>
      </c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inlineStr">
        <is>
          <t>FA-DE Juice, Orange /Saft, Orange</t>
        </is>
      </c>
      <c r="X239" s="151" t="inlineStr">
        <is>
          <t>PRO-00-139267-5</t>
        </is>
      </c>
      <c r="Y239" s="151" t="inlineStr">
        <is>
          <t>0,37</t>
        </is>
      </c>
      <c r="Z239" s="149" t="inlineStr">
        <is>
          <t>0,37</t>
        </is>
      </c>
      <c r="AA239" s="151" t="inlineStr">
        <is>
          <t>grams</t>
        </is>
      </c>
      <c r="AB239" s="151" t="n"/>
      <c r="AC239" s="151" t="n"/>
      <c r="AD239" s="150" t="n">
        <v>0.93809</v>
      </c>
      <c r="AE239" s="149" t="n">
        <v>0.37</v>
      </c>
      <c r="AF239" s="151" t="inlineStr">
        <is>
          <t>grams</t>
        </is>
      </c>
      <c r="AG239" s="151" t="n"/>
      <c r="AH239" s="151" t="n"/>
    </row>
    <row r="240">
      <c r="A240" s="151" t="inlineStr">
        <is>
          <t>FV0281A - Baja Salmon [DE]</t>
        </is>
      </c>
      <c r="B240" s="151" t="inlineStr">
        <is>
          <t>REC-014197-4-004</t>
        </is>
      </c>
      <c r="C240" s="151" t="inlineStr">
        <is>
          <t>Salmon - BAJA Salmon - Batch</t>
        </is>
      </c>
      <c r="D240" s="151" t="inlineStr">
        <is>
          <t>SUB-014053-4-001</t>
        </is>
      </c>
      <c r="E240" s="150" t="n">
        <v>1</v>
      </c>
      <c r="F240" s="151" t="inlineStr">
        <is>
          <t>each</t>
        </is>
      </c>
      <c r="G240" s="151" t="inlineStr">
        <is>
          <t>BLAST CHILLER, HAND MARINADE, OVEN, THAW</t>
        </is>
      </c>
      <c r="H240" s="151" t="inlineStr">
        <is>
          <t>Marinade - Baja Marinade</t>
        </is>
      </c>
      <c r="I240" s="151" t="inlineStr">
        <is>
          <t>SUB-014052-4-001</t>
        </is>
      </c>
      <c r="J240" s="150" t="n">
        <v>10</v>
      </c>
      <c r="K240" s="151" t="inlineStr">
        <is>
          <t>grams</t>
        </is>
      </c>
      <c r="L240" s="151" t="inlineStr">
        <is>
          <t>IMMERSION BLENDER</t>
        </is>
      </c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inlineStr">
        <is>
          <t>FA-DE Oil, Olive /Öl, Olivenöl</t>
        </is>
      </c>
      <c r="X240" s="151" t="inlineStr">
        <is>
          <t>PRO-00-139277-5</t>
        </is>
      </c>
      <c r="Y240" s="151" t="inlineStr">
        <is>
          <t>5,27</t>
        </is>
      </c>
      <c r="Z240" s="149" t="inlineStr">
        <is>
          <t>5,27</t>
        </is>
      </c>
      <c r="AA240" s="151" t="inlineStr">
        <is>
          <t>grams</t>
        </is>
      </c>
      <c r="AB240" s="151" t="n"/>
      <c r="AC240" s="151" t="n"/>
      <c r="AD240" s="150" t="n">
        <v>0.93809</v>
      </c>
      <c r="AE240" s="149" t="n">
        <v>5.27</v>
      </c>
      <c r="AF240" s="151" t="inlineStr">
        <is>
          <t>grams</t>
        </is>
      </c>
      <c r="AG240" s="151" t="n"/>
      <c r="AH240" s="151" t="n"/>
    </row>
    <row r="241">
      <c r="A241" s="151" t="inlineStr">
        <is>
          <t>FV0281A - Baja Salmon [DE]</t>
        </is>
      </c>
      <c r="B241" s="151" t="inlineStr">
        <is>
          <t>REC-014197-4-004</t>
        </is>
      </c>
      <c r="C241" s="151" t="inlineStr">
        <is>
          <t>Salmon - BAJA Salmon - Batch</t>
        </is>
      </c>
      <c r="D241" s="151" t="inlineStr">
        <is>
          <t>SUB-014053-4-001</t>
        </is>
      </c>
      <c r="E241" s="150" t="n">
        <v>1</v>
      </c>
      <c r="F241" s="151" t="inlineStr">
        <is>
          <t>each</t>
        </is>
      </c>
      <c r="G241" s="151" t="inlineStr">
        <is>
          <t>BLAST CHILLER, HAND MARINADE, OVEN, THAW</t>
        </is>
      </c>
      <c r="H241" s="151" t="inlineStr">
        <is>
          <t>Marinade - Baja Marinade</t>
        </is>
      </c>
      <c r="I241" s="151" t="inlineStr">
        <is>
          <t>SUB-014052-4-001</t>
        </is>
      </c>
      <c r="J241" s="150" t="n">
        <v>10</v>
      </c>
      <c r="K241" s="151" t="inlineStr">
        <is>
          <t>grams</t>
        </is>
      </c>
      <c r="L241" s="151" t="inlineStr">
        <is>
          <t>IMMERSION BLENDER</t>
        </is>
      </c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inlineStr">
        <is>
          <t>FA-DE Spice, Ancho Chili Powder /Gewürz, Ancho-Chili-Pulver</t>
        </is>
      </c>
      <c r="X241" s="151" t="inlineStr">
        <is>
          <t>SPI-00-139329-5</t>
        </is>
      </c>
      <c r="Y241" s="151" t="inlineStr">
        <is>
          <t>0,85</t>
        </is>
      </c>
      <c r="Z241" s="149" t="inlineStr">
        <is>
          <t>0,85</t>
        </is>
      </c>
      <c r="AA241" s="151" t="inlineStr">
        <is>
          <t>grams</t>
        </is>
      </c>
      <c r="AB241" s="151" t="n"/>
      <c r="AC241" s="151" t="n"/>
      <c r="AD241" s="150" t="n">
        <v>0.93809</v>
      </c>
      <c r="AE241" s="149" t="n">
        <v>0.85</v>
      </c>
      <c r="AF241" s="151" t="inlineStr">
        <is>
          <t>grams</t>
        </is>
      </c>
      <c r="AG241" s="151" t="n"/>
      <c r="AH241" s="151" t="n"/>
    </row>
    <row r="242">
      <c r="A242" s="151" t="inlineStr">
        <is>
          <t>FV0281A - Baja Salmon [DE]</t>
        </is>
      </c>
      <c r="B242" s="151" t="inlineStr">
        <is>
          <t>REC-014197-4-004</t>
        </is>
      </c>
      <c r="C242" s="151" t="inlineStr">
        <is>
          <t>Salmon - BAJA Salmon - Batch</t>
        </is>
      </c>
      <c r="D242" s="151" t="inlineStr">
        <is>
          <t>SUB-014053-4-001</t>
        </is>
      </c>
      <c r="E242" s="150" t="n">
        <v>1</v>
      </c>
      <c r="F242" s="151" t="inlineStr">
        <is>
          <t>each</t>
        </is>
      </c>
      <c r="G242" s="151" t="inlineStr">
        <is>
          <t>BLAST CHILLER, HAND MARINADE, OVEN, THAW</t>
        </is>
      </c>
      <c r="H242" s="151" t="inlineStr">
        <is>
          <t>Marinade - Baja Marinade</t>
        </is>
      </c>
      <c r="I242" s="151" t="inlineStr">
        <is>
          <t>SUB-014052-4-001</t>
        </is>
      </c>
      <c r="J242" s="150" t="n">
        <v>10</v>
      </c>
      <c r="K242" s="151" t="inlineStr">
        <is>
          <t>grams</t>
        </is>
      </c>
      <c r="L242" s="151" t="inlineStr">
        <is>
          <t>IMMERSION BLENDER</t>
        </is>
      </c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inlineStr">
        <is>
          <t>FA-DE Garlic, IQF, Diced 4 mm /Knoblauch, IQF, gewürfelt 4 mm</t>
        </is>
      </c>
      <c r="X242" s="151" t="inlineStr">
        <is>
          <t>PHF-00-139237-1</t>
        </is>
      </c>
      <c r="Y242" s="154" t="inlineStr">
        <is>
          <t>2,1</t>
        </is>
      </c>
      <c r="Z242" s="149" t="inlineStr">
        <is>
          <t>2,1</t>
        </is>
      </c>
      <c r="AA242" s="151" t="inlineStr">
        <is>
          <t>grams</t>
        </is>
      </c>
      <c r="AB242" s="151" t="inlineStr">
        <is>
          <t>SCHWEFELDIOXIDE UND SULFITE</t>
        </is>
      </c>
      <c r="AC242" s="151" t="n"/>
      <c r="AD242" s="150" t="n">
        <v>0.93809</v>
      </c>
      <c r="AE242" s="149" t="n">
        <v>2.1</v>
      </c>
      <c r="AF242" s="151" t="inlineStr">
        <is>
          <t>grams</t>
        </is>
      </c>
      <c r="AG242" s="151" t="n"/>
      <c r="AH242" s="151" t="n"/>
    </row>
    <row r="243">
      <c r="A243" s="151" t="inlineStr">
        <is>
          <t>FV0281A - Baja Salmon [DE]</t>
        </is>
      </c>
      <c r="B243" s="151" t="inlineStr">
        <is>
          <t>REC-014197-4-004</t>
        </is>
      </c>
      <c r="C243" s="151" t="inlineStr">
        <is>
          <t>Salmon - BAJA Salmon - Batch</t>
        </is>
      </c>
      <c r="D243" s="151" t="inlineStr">
        <is>
          <t>SUB-014053-4-001</t>
        </is>
      </c>
      <c r="E243" s="150" t="n">
        <v>1</v>
      </c>
      <c r="F243" s="151" t="inlineStr">
        <is>
          <t>each</t>
        </is>
      </c>
      <c r="G243" s="151" t="inlineStr">
        <is>
          <t>BLAST CHILLER, HAND MARINADE, OVEN, THAW</t>
        </is>
      </c>
      <c r="H243" s="151" t="inlineStr">
        <is>
          <t>Marinade - Baja Marinade</t>
        </is>
      </c>
      <c r="I243" s="151" t="inlineStr">
        <is>
          <t>SUB-014052-4-001</t>
        </is>
      </c>
      <c r="J243" s="150" t="n">
        <v>10</v>
      </c>
      <c r="K243" s="151" t="inlineStr">
        <is>
          <t>grams</t>
        </is>
      </c>
      <c r="L243" s="151" t="inlineStr">
        <is>
          <t>IMMERSION BLENDER</t>
        </is>
      </c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inlineStr">
        <is>
          <t>FA-DE Spice, Cumin Ground /Gewürz, gemahlener Kreuzkümmel</t>
        </is>
      </c>
      <c r="X243" s="151" t="inlineStr">
        <is>
          <t>SPI-00-139345-5</t>
        </is>
      </c>
      <c r="Y243" s="151" t="inlineStr">
        <is>
          <t>0,54</t>
        </is>
      </c>
      <c r="Z243" s="149" t="inlineStr">
        <is>
          <t>0,54</t>
        </is>
      </c>
      <c r="AA243" s="151" t="inlineStr">
        <is>
          <t>grams</t>
        </is>
      </c>
      <c r="AB243" s="151" t="n"/>
      <c r="AC243" s="151" t="n"/>
      <c r="AD243" s="150" t="n">
        <v>0.93809</v>
      </c>
      <c r="AE243" s="149" t="n">
        <v>0.54</v>
      </c>
      <c r="AF243" s="151" t="inlineStr">
        <is>
          <t>grams</t>
        </is>
      </c>
      <c r="AG243" s="151" t="n"/>
      <c r="AH243" s="151" t="n"/>
    </row>
    <row r="244">
      <c r="A244" s="151" t="inlineStr">
        <is>
          <t>FV0281A - Baja Salmon [DE]</t>
        </is>
      </c>
      <c r="B244" s="151" t="inlineStr">
        <is>
          <t>REC-014197-4-004</t>
        </is>
      </c>
      <c r="C244" s="151" t="inlineStr">
        <is>
          <t>Salmon - BAJA Salmon - Batch</t>
        </is>
      </c>
      <c r="D244" s="151" t="inlineStr">
        <is>
          <t>SUB-014053-4-001</t>
        </is>
      </c>
      <c r="E244" s="150" t="n">
        <v>1</v>
      </c>
      <c r="F244" s="151" t="inlineStr">
        <is>
          <t>each</t>
        </is>
      </c>
      <c r="G244" s="151" t="inlineStr">
        <is>
          <t>BLAST CHILLER, HAND MARINADE, OVEN, THAW</t>
        </is>
      </c>
      <c r="H244" s="151" t="inlineStr">
        <is>
          <t>Marinade - Baja Marinade</t>
        </is>
      </c>
      <c r="I244" s="151" t="inlineStr">
        <is>
          <t>SUB-014052-4-001</t>
        </is>
      </c>
      <c r="J244" s="150" t="n">
        <v>10</v>
      </c>
      <c r="K244" s="151" t="inlineStr">
        <is>
          <t>grams</t>
        </is>
      </c>
      <c r="L244" s="151" t="inlineStr">
        <is>
          <t>IMMERSION BLENDER</t>
        </is>
      </c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inlineStr">
        <is>
          <t>FA-DE Spice, Sea Salt /Gewürze, Meersalz</t>
        </is>
      </c>
      <c r="X244" s="151" t="inlineStr">
        <is>
          <t>SPI-00-139378-5</t>
        </is>
      </c>
      <c r="Y244" s="151" t="inlineStr">
        <is>
          <t>0,31</t>
        </is>
      </c>
      <c r="Z244" s="149" t="inlineStr">
        <is>
          <t>0,31</t>
        </is>
      </c>
      <c r="AA244" s="151" t="inlineStr">
        <is>
          <t>grams</t>
        </is>
      </c>
      <c r="AB244" s="151" t="n"/>
      <c r="AC244" s="151" t="n"/>
      <c r="AD244" s="150" t="n">
        <v>0.93809</v>
      </c>
      <c r="AE244" s="149" t="n">
        <v>0.31</v>
      </c>
      <c r="AF244" s="151" t="inlineStr">
        <is>
          <t>grams</t>
        </is>
      </c>
      <c r="AG244" s="151" t="n"/>
      <c r="AH244" s="151" t="n"/>
    </row>
    <row r="245">
      <c r="A245" s="151" t="inlineStr">
        <is>
          <t>FV0281A - Baja Salmon [DE]</t>
        </is>
      </c>
      <c r="B245" s="151" t="inlineStr">
        <is>
          <t>REC-014197-4-004</t>
        </is>
      </c>
      <c r="C245" s="151" t="inlineStr">
        <is>
          <t>Salmon - BAJA Salmon - Batch</t>
        </is>
      </c>
      <c r="D245" s="151" t="inlineStr">
        <is>
          <t>SUB-014053-4-001</t>
        </is>
      </c>
      <c r="E245" s="150" t="n">
        <v>1</v>
      </c>
      <c r="F245" s="151" t="inlineStr">
        <is>
          <t>each</t>
        </is>
      </c>
      <c r="G245" s="151" t="inlineStr">
        <is>
          <t>BLAST CHILLER, HAND MARINADE, OVEN, THAW</t>
        </is>
      </c>
      <c r="H245" s="151" t="inlineStr">
        <is>
          <t>Marinade - Baja Marinade</t>
        </is>
      </c>
      <c r="I245" s="151" t="inlineStr">
        <is>
          <t>SUB-014052-4-001</t>
        </is>
      </c>
      <c r="J245" s="150" t="n">
        <v>10</v>
      </c>
      <c r="K245" s="151" t="inlineStr">
        <is>
          <t>grams</t>
        </is>
      </c>
      <c r="L245" s="151" t="inlineStr">
        <is>
          <t>IMMERSION BLENDER</t>
        </is>
      </c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inlineStr">
        <is>
          <t>FA-DE Spice, Black Pepper, Ground /Gewürz, schwarzer Pfeffer, gemahlen</t>
        </is>
      </c>
      <c r="X245" s="151" t="inlineStr">
        <is>
          <t>SPI-00-139334-5</t>
        </is>
      </c>
      <c r="Y245" s="151" t="inlineStr">
        <is>
          <t>0,2</t>
        </is>
      </c>
      <c r="Z245" s="149" t="inlineStr">
        <is>
          <t>0,2</t>
        </is>
      </c>
      <c r="AA245" s="151" t="inlineStr">
        <is>
          <t>grams</t>
        </is>
      </c>
      <c r="AB245" s="151" t="n"/>
      <c r="AC245" s="151" t="n"/>
      <c r="AD245" s="150" t="n">
        <v>0.93809</v>
      </c>
      <c r="AE245" s="149" t="n">
        <v>0.2</v>
      </c>
      <c r="AF245" s="151" t="inlineStr">
        <is>
          <t>grams</t>
        </is>
      </c>
      <c r="AG245" s="151" t="n"/>
      <c r="AH245" s="151" t="n"/>
    </row>
    <row r="246">
      <c r="A246" s="151" t="inlineStr">
        <is>
          <t>FV0281A - Baja Salmon [DE]</t>
        </is>
      </c>
      <c r="B246" s="151" t="inlineStr">
        <is>
          <t>REC-014197-4-004</t>
        </is>
      </c>
      <c r="C246" s="151" t="inlineStr">
        <is>
          <t>Salmon - BAJA Salmon - Batch</t>
        </is>
      </c>
      <c r="D246" s="151" t="inlineStr">
        <is>
          <t>SUB-014053-4-001</t>
        </is>
      </c>
      <c r="E246" s="150" t="n">
        <v>1</v>
      </c>
      <c r="F246" s="151" t="inlineStr">
        <is>
          <t>each</t>
        </is>
      </c>
      <c r="G246" s="151" t="inlineStr">
        <is>
          <t>BLAST CHILLER, HAND MARINADE, OVEN, THAW</t>
        </is>
      </c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inlineStr">
        <is>
          <t>FA-DE Salmon, Skinless, Boneless, Filet/Lachs, ohne Haut, ohne Knochen, Filet - IQF</t>
        </is>
      </c>
      <c r="X246" s="151" t="inlineStr">
        <is>
          <t>PTN-00-139968-1</t>
        </is>
      </c>
      <c r="Y246" s="150" t="n">
        <v>140</v>
      </c>
      <c r="Z246" s="152" t="n">
        <v>140</v>
      </c>
      <c r="AA246" s="151" t="inlineStr">
        <is>
          <t>grams</t>
        </is>
      </c>
      <c r="AB246" s="151" t="inlineStr">
        <is>
          <t>FISCH</t>
        </is>
      </c>
      <c r="AC246" s="151" t="n"/>
      <c r="AD246" s="150" t="n">
        <v>0.79681</v>
      </c>
      <c r="AE246" s="152" t="n">
        <v>140</v>
      </c>
      <c r="AF246" s="151" t="inlineStr">
        <is>
          <t>grams</t>
        </is>
      </c>
      <c r="AG246" s="151" t="n"/>
      <c r="AH246" s="151" t="n"/>
    </row>
    <row r="247">
      <c r="A247" s="151" t="inlineStr">
        <is>
          <t>FV0281A - Baja Salmon [DE]</t>
        </is>
      </c>
      <c r="B247" s="151" t="inlineStr">
        <is>
          <t>REC-014197-4-004</t>
        </is>
      </c>
      <c r="C247" s="151" t="inlineStr">
        <is>
          <t>Compound butter - Chili-Garlic Butter - master batch</t>
        </is>
      </c>
      <c r="D247" s="151" t="inlineStr">
        <is>
          <t>SUB-014054-4-001</t>
        </is>
      </c>
      <c r="E247" s="150" t="n">
        <v>12</v>
      </c>
      <c r="F247" s="151" t="inlineStr">
        <is>
          <t>grams</t>
        </is>
      </c>
      <c r="G247" s="151" t="inlineStr">
        <is>
          <t>BLAST CHILLER, PLANETARY MIXER, SCOOPER (BUTTER)</t>
        </is>
      </c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inlineStr">
        <is>
          <t>FA-DE Spice, Minced Garlic, Toasted, Dry /Gewürz, gehackter Knoblauch, geröstet, trocken</t>
        </is>
      </c>
      <c r="X247" s="151" t="inlineStr">
        <is>
          <t>SPI-00-139367-5</t>
        </is>
      </c>
      <c r="Y247" s="151" t="inlineStr">
        <is>
          <t>0,42</t>
        </is>
      </c>
      <c r="Z247" s="149" t="inlineStr">
        <is>
          <t>0,42</t>
        </is>
      </c>
      <c r="AA247" s="151" t="inlineStr">
        <is>
          <t>grams</t>
        </is>
      </c>
      <c r="AB247" s="151" t="n"/>
      <c r="AC247" s="151" t="n"/>
      <c r="AD247" s="150" t="n">
        <v>0.97993</v>
      </c>
      <c r="AE247" s="149" t="n">
        <v>0.42</v>
      </c>
      <c r="AF247" s="151" t="inlineStr">
        <is>
          <t>grams</t>
        </is>
      </c>
      <c r="AG247" s="151" t="n"/>
      <c r="AH247" s="151" t="n"/>
    </row>
    <row r="248">
      <c r="A248" s="151" t="inlineStr">
        <is>
          <t>FV0281A - Baja Salmon [DE]</t>
        </is>
      </c>
      <c r="B248" s="151" t="inlineStr">
        <is>
          <t>REC-014197-4-004</t>
        </is>
      </c>
      <c r="C248" s="151" t="inlineStr">
        <is>
          <t>Compound butter - Chili-Garlic Butter - master batch</t>
        </is>
      </c>
      <c r="D248" s="151" t="inlineStr">
        <is>
          <t>SUB-014054-4-001</t>
        </is>
      </c>
      <c r="E248" s="150" t="n">
        <v>12</v>
      </c>
      <c r="F248" s="151" t="inlineStr">
        <is>
          <t>grams</t>
        </is>
      </c>
      <c r="G248" s="151" t="inlineStr">
        <is>
          <t>BLAST CHILLER, PLANETARY MIXER, SCOOPER (BUTTER)</t>
        </is>
      </c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inlineStr">
        <is>
          <t>FA-DE Spice, Gochugaru Chili Pepper Flakes /Gewürz, Gochugaru-Chili-Pfefferflocken</t>
        </is>
      </c>
      <c r="X248" s="151" t="inlineStr">
        <is>
          <t>SPI-00-139356-5</t>
        </is>
      </c>
      <c r="Y248" s="151" t="inlineStr">
        <is>
          <t>0,14</t>
        </is>
      </c>
      <c r="Z248" s="149" t="inlineStr">
        <is>
          <t>0,14</t>
        </is>
      </c>
      <c r="AA248" s="151" t="inlineStr">
        <is>
          <t>grams</t>
        </is>
      </c>
      <c r="AB248" s="151" t="n"/>
      <c r="AC248" s="151" t="n"/>
      <c r="AD248" s="150" t="n">
        <v>0.97993</v>
      </c>
      <c r="AE248" s="149" t="n">
        <v>0.14</v>
      </c>
      <c r="AF248" s="151" t="inlineStr">
        <is>
          <t>grams</t>
        </is>
      </c>
      <c r="AG248" s="151" t="n"/>
      <c r="AH248" s="151" t="n"/>
    </row>
    <row r="249">
      <c r="A249" s="151" t="inlineStr">
        <is>
          <t>FV0281A - Baja Salmon [DE]</t>
        </is>
      </c>
      <c r="B249" s="151" t="inlineStr">
        <is>
          <t>REC-014197-4-004</t>
        </is>
      </c>
      <c r="C249" s="151" t="inlineStr">
        <is>
          <t>Compound butter - Chili-Garlic Butter - master batch</t>
        </is>
      </c>
      <c r="D249" s="151" t="inlineStr">
        <is>
          <t>SUB-014054-4-001</t>
        </is>
      </c>
      <c r="E249" s="150" t="n">
        <v>12</v>
      </c>
      <c r="F249" s="151" t="inlineStr">
        <is>
          <t>grams</t>
        </is>
      </c>
      <c r="G249" s="151" t="inlineStr">
        <is>
          <t>BLAST CHILLER, PLANETARY MIXER, SCOOPER (BUTTER)</t>
        </is>
      </c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inlineStr">
        <is>
          <t>FA-DE Spice, Sea Salt /Gewürze, Meersalz</t>
        </is>
      </c>
      <c r="X249" s="151" t="inlineStr">
        <is>
          <t>SPI-00-139378-5</t>
        </is>
      </c>
      <c r="Y249" s="151" t="inlineStr">
        <is>
          <t>0,14</t>
        </is>
      </c>
      <c r="Z249" s="149" t="inlineStr">
        <is>
          <t>0,14</t>
        </is>
      </c>
      <c r="AA249" s="151" t="inlineStr">
        <is>
          <t>grams</t>
        </is>
      </c>
      <c r="AB249" s="151" t="n"/>
      <c r="AC249" s="151" t="n"/>
      <c r="AD249" s="150" t="n">
        <v>0.97993</v>
      </c>
      <c r="AE249" s="149" t="n">
        <v>0.14</v>
      </c>
      <c r="AF249" s="151" t="inlineStr">
        <is>
          <t>grams</t>
        </is>
      </c>
      <c r="AG249" s="151" t="n"/>
      <c r="AH249" s="151" t="n"/>
    </row>
    <row r="250">
      <c r="A250" s="151" t="inlineStr">
        <is>
          <t>FV0281A - Baja Salmon [DE]</t>
        </is>
      </c>
      <c r="B250" s="151" t="inlineStr">
        <is>
          <t>REC-014197-4-004</t>
        </is>
      </c>
      <c r="C250" s="151" t="inlineStr">
        <is>
          <t>Compound butter - Chili-Garlic Butter - master batch</t>
        </is>
      </c>
      <c r="D250" s="151" t="inlineStr">
        <is>
          <t>SUB-014054-4-001</t>
        </is>
      </c>
      <c r="E250" s="150" t="n">
        <v>12</v>
      </c>
      <c r="F250" s="151" t="inlineStr">
        <is>
          <t>grams</t>
        </is>
      </c>
      <c r="G250" s="151" t="inlineStr">
        <is>
          <t>BLAST CHILLER, PLANETARY MIXER, SCOOPER (BUTTER)</t>
        </is>
      </c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inlineStr">
        <is>
          <t>FA-DE Spice, Black Pepper, Ground /Gewürz, schwarzer Pfeffer, gemahlen</t>
        </is>
      </c>
      <c r="X250" s="151" t="inlineStr">
        <is>
          <t>SPI-00-139334-5</t>
        </is>
      </c>
      <c r="Y250" s="151" t="inlineStr">
        <is>
          <t>0,14</t>
        </is>
      </c>
      <c r="Z250" s="149" t="inlineStr">
        <is>
          <t>0,14</t>
        </is>
      </c>
      <c r="AA250" s="151" t="inlineStr">
        <is>
          <t>grams</t>
        </is>
      </c>
      <c r="AB250" s="151" t="n"/>
      <c r="AC250" s="151" t="n"/>
      <c r="AD250" s="150" t="n">
        <v>0.97993</v>
      </c>
      <c r="AE250" s="149" t="n">
        <v>0.14</v>
      </c>
      <c r="AF250" s="151" t="inlineStr">
        <is>
          <t>grams</t>
        </is>
      </c>
      <c r="AG250" s="151" t="n"/>
      <c r="AH250" s="151" t="n"/>
    </row>
    <row r="251">
      <c r="A251" s="151" t="inlineStr">
        <is>
          <t>FV0281A - Baja Salmon [DE]</t>
        </is>
      </c>
      <c r="B251" s="151" t="inlineStr">
        <is>
          <t>REC-014197-4-004</t>
        </is>
      </c>
      <c r="C251" s="151" t="inlineStr">
        <is>
          <t>Compound butter - Chili-Garlic Butter - master batch</t>
        </is>
      </c>
      <c r="D251" s="151" t="inlineStr">
        <is>
          <t>SUB-014054-4-001</t>
        </is>
      </c>
      <c r="E251" s="150" t="n">
        <v>12</v>
      </c>
      <c r="F251" s="151" t="inlineStr">
        <is>
          <t>grams</t>
        </is>
      </c>
      <c r="G251" s="151" t="inlineStr">
        <is>
          <t>BLAST CHILLER, PLANETARY MIXER, SCOOPER (BUTTER)</t>
        </is>
      </c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inlineStr">
        <is>
          <t>FA-DE Butter, Unsalted /Butter, ungesalzen</t>
        </is>
      </c>
      <c r="X251" s="151" t="inlineStr">
        <is>
          <t>DAI-00-139146-3</t>
        </is>
      </c>
      <c r="Y251" s="153" t="inlineStr">
        <is>
          <t>11,26</t>
        </is>
      </c>
      <c r="Z251" s="149" t="inlineStr">
        <is>
          <t>11,26</t>
        </is>
      </c>
      <c r="AA251" s="151" t="inlineStr">
        <is>
          <t>grams</t>
        </is>
      </c>
      <c r="AB251" s="151" t="inlineStr">
        <is>
          <t>MILCH (EINSCHLIESSLICH LAKTOSE)</t>
        </is>
      </c>
      <c r="AC251" s="151" t="n"/>
      <c r="AD251" s="150" t="n">
        <v>0.97993</v>
      </c>
      <c r="AE251" s="149" t="n">
        <v>11.26</v>
      </c>
      <c r="AF251" s="151" t="inlineStr">
        <is>
          <t>grams</t>
        </is>
      </c>
      <c r="AG251" s="151" t="n"/>
      <c r="AH251" s="151" t="n"/>
    </row>
    <row r="252">
      <c r="A252" s="151" t="inlineStr">
        <is>
          <t>FV0281A - Baja Salmon [DE]</t>
        </is>
      </c>
      <c r="B252" s="151" t="inlineStr">
        <is>
          <t>REC-014197-4-004</t>
        </is>
      </c>
      <c r="C252" s="151" t="inlineStr">
        <is>
          <t>Compound butter - Chili-Garlic Butter - master batch</t>
        </is>
      </c>
      <c r="D252" s="151" t="inlineStr">
        <is>
          <t>SUB-014054-4-001</t>
        </is>
      </c>
      <c r="E252" s="150" t="n">
        <v>12</v>
      </c>
      <c r="F252" s="151" t="inlineStr">
        <is>
          <t>grams</t>
        </is>
      </c>
      <c r="G252" s="151" t="inlineStr">
        <is>
          <t>BLAST CHILLER, PLANETARY MIXER, SCOOPER (BUTTER)</t>
        </is>
      </c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inlineStr">
        <is>
          <t>FA-DE Spice, Guajillo Peppers, Ground /Gewürze, Guajillo-Paprikaschoten, gemahlen</t>
        </is>
      </c>
      <c r="X252" s="151" t="inlineStr">
        <is>
          <t>SPI-00-139358-5</t>
        </is>
      </c>
      <c r="Y252" s="151" t="inlineStr">
        <is>
          <t>0,14</t>
        </is>
      </c>
      <c r="Z252" s="149" t="inlineStr">
        <is>
          <t>0,14</t>
        </is>
      </c>
      <c r="AA252" s="151" t="inlineStr">
        <is>
          <t>grams</t>
        </is>
      </c>
      <c r="AB252" s="151" t="n"/>
      <c r="AC252" s="151" t="n"/>
      <c r="AD252" s="150" t="n">
        <v>0.97993</v>
      </c>
      <c r="AE252" s="149" t="n">
        <v>0.14</v>
      </c>
      <c r="AF252" s="151" t="inlineStr">
        <is>
          <t>grams</t>
        </is>
      </c>
      <c r="AG252" s="151" t="n"/>
      <c r="AH252" s="151" t="n"/>
    </row>
    <row r="253">
      <c r="A253" s="151" t="inlineStr">
        <is>
          <t>FV0281A - Baja Salmon [DE]</t>
        </is>
      </c>
      <c r="B253" s="151" t="inlineStr">
        <is>
          <t>REC-014197-4-004</t>
        </is>
      </c>
      <c r="C253" s="151" t="inlineStr">
        <is>
          <t>Broccoli - S&amp;P Broccoli FLORETS - less salt</t>
        </is>
      </c>
      <c r="D253" s="151" t="inlineStr">
        <is>
          <t>SUB-013822-4-001</t>
        </is>
      </c>
      <c r="E253" s="150" t="n">
        <v>85</v>
      </c>
      <c r="F253" s="151" t="inlineStr">
        <is>
          <t>grams</t>
        </is>
      </c>
      <c r="G253" s="151" t="inlineStr">
        <is>
          <t>HAND MIX</t>
        </is>
      </c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inlineStr">
        <is>
          <t>FA-DE Broccoli, Florets, /Brokkoli, Röschen</t>
        </is>
      </c>
      <c r="X253" s="151" t="inlineStr">
        <is>
          <t>PHF-00-143425-3</t>
        </is>
      </c>
      <c r="Y253" s="151" t="inlineStr">
        <is>
          <t>103,24</t>
        </is>
      </c>
      <c r="Z253" s="149" t="inlineStr">
        <is>
          <t>103,24</t>
        </is>
      </c>
      <c r="AA253" s="151" t="inlineStr">
        <is>
          <t>grams</t>
        </is>
      </c>
      <c r="AB253" s="151" t="n"/>
      <c r="AC253" s="151" t="n"/>
      <c r="AD253" s="150" t="n">
        <v>0.75359</v>
      </c>
      <c r="AE253" s="149" t="n">
        <v>103.24</v>
      </c>
      <c r="AF253" s="151" t="inlineStr">
        <is>
          <t>grams</t>
        </is>
      </c>
      <c r="AG253" s="151" t="n"/>
      <c r="AH253" s="151" t="n"/>
    </row>
    <row r="254">
      <c r="A254" s="151" t="inlineStr">
        <is>
          <t>FV0281A - Baja Salmon [DE]</t>
        </is>
      </c>
      <c r="B254" s="151" t="inlineStr">
        <is>
          <t>REC-014197-4-004</t>
        </is>
      </c>
      <c r="C254" s="151" t="inlineStr">
        <is>
          <t>Broccoli - S&amp;P Broccoli FLORETS - less salt</t>
        </is>
      </c>
      <c r="D254" s="151" t="inlineStr">
        <is>
          <t>SUB-013822-4-001</t>
        </is>
      </c>
      <c r="E254" s="150" t="n">
        <v>85</v>
      </c>
      <c r="F254" s="151" t="inlineStr">
        <is>
          <t>grams</t>
        </is>
      </c>
      <c r="G254" s="151" t="inlineStr">
        <is>
          <t>HAND MIX</t>
        </is>
      </c>
      <c r="H254" s="151" t="inlineStr">
        <is>
          <t>Broccoli Marinade</t>
        </is>
      </c>
      <c r="I254" s="151" t="inlineStr">
        <is>
          <t>SUB-031970-4-001</t>
        </is>
      </c>
      <c r="J254" s="150" t="n">
        <v>9.550000000000001</v>
      </c>
      <c r="K254" s="151" t="inlineStr">
        <is>
          <t>grams</t>
        </is>
      </c>
      <c r="L254" s="151" t="inlineStr">
        <is>
          <t>IMMERSION BLENDER</t>
        </is>
      </c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inlineStr">
        <is>
          <t>FA-DE Spice, Sea Salt /Gewürze, Meersalz</t>
        </is>
      </c>
      <c r="X254" s="151" t="inlineStr">
        <is>
          <t>SPI-00-139378-5</t>
        </is>
      </c>
      <c r="Y254" s="151" t="inlineStr">
        <is>
          <t>0,38</t>
        </is>
      </c>
      <c r="Z254" s="149" t="inlineStr">
        <is>
          <t>0,38</t>
        </is>
      </c>
      <c r="AA254" s="151" t="inlineStr">
        <is>
          <t>grams</t>
        </is>
      </c>
      <c r="AB254" s="151" t="n"/>
      <c r="AC254" s="151" t="n"/>
      <c r="AD254" s="150" t="n">
        <v>0.97994</v>
      </c>
      <c r="AE254" s="149" t="n">
        <v>0.38</v>
      </c>
      <c r="AF254" s="151" t="inlineStr">
        <is>
          <t>grams</t>
        </is>
      </c>
      <c r="AG254" s="151" t="n"/>
      <c r="AH254" s="151" t="n"/>
    </row>
    <row r="255">
      <c r="A255" s="151" t="inlineStr">
        <is>
          <t>FV0281A - Baja Salmon [DE]</t>
        </is>
      </c>
      <c r="B255" s="151" t="inlineStr">
        <is>
          <t>REC-014197-4-004</t>
        </is>
      </c>
      <c r="C255" s="151" t="inlineStr">
        <is>
          <t>Broccoli - S&amp;P Broccoli FLORETS - less salt</t>
        </is>
      </c>
      <c r="D255" s="151" t="inlineStr">
        <is>
          <t>SUB-013822-4-001</t>
        </is>
      </c>
      <c r="E255" s="150" t="n">
        <v>85</v>
      </c>
      <c r="F255" s="151" t="inlineStr">
        <is>
          <t>grams</t>
        </is>
      </c>
      <c r="G255" s="151" t="inlineStr">
        <is>
          <t>HAND MIX</t>
        </is>
      </c>
      <c r="H255" s="151" t="inlineStr">
        <is>
          <t>Broccoli Marinade</t>
        </is>
      </c>
      <c r="I255" s="151" t="inlineStr">
        <is>
          <t>SUB-031970-4-001</t>
        </is>
      </c>
      <c r="J255" s="150" t="n">
        <v>9.550000000000001</v>
      </c>
      <c r="K255" s="151" t="inlineStr">
        <is>
          <t>grams</t>
        </is>
      </c>
      <c r="L255" s="151" t="inlineStr">
        <is>
          <t>IMMERSION BLENDER</t>
        </is>
      </c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inlineStr">
        <is>
          <t>FA-DE Oil, Olive /Öl, Olivenöl</t>
        </is>
      </c>
      <c r="X255" s="151" t="inlineStr">
        <is>
          <t>PRO-00-139277-5</t>
        </is>
      </c>
      <c r="Y255" s="151" t="inlineStr">
        <is>
          <t>8,67</t>
        </is>
      </c>
      <c r="Z255" s="149" t="inlineStr">
        <is>
          <t>8,67</t>
        </is>
      </c>
      <c r="AA255" s="151" t="inlineStr">
        <is>
          <t>grams</t>
        </is>
      </c>
      <c r="AB255" s="151" t="n"/>
      <c r="AC255" s="151" t="n"/>
      <c r="AD255" s="150" t="n">
        <v>0.97994</v>
      </c>
      <c r="AE255" s="149" t="n">
        <v>8.67</v>
      </c>
      <c r="AF255" s="151" t="inlineStr">
        <is>
          <t>grams</t>
        </is>
      </c>
      <c r="AG255" s="151" t="n"/>
      <c r="AH255" s="151" t="n"/>
    </row>
    <row r="256">
      <c r="A256" s="151" t="inlineStr">
        <is>
          <t>FV0281A - Baja Salmon [DE]</t>
        </is>
      </c>
      <c r="B256" s="151" t="inlineStr">
        <is>
          <t>REC-014197-4-004</t>
        </is>
      </c>
      <c r="C256" s="151" t="inlineStr">
        <is>
          <t>Broccoli - S&amp;P Broccoli FLORETS - less salt</t>
        </is>
      </c>
      <c r="D256" s="151" t="inlineStr">
        <is>
          <t>SUB-013822-4-001</t>
        </is>
      </c>
      <c r="E256" s="150" t="n">
        <v>85</v>
      </c>
      <c r="F256" s="151" t="inlineStr">
        <is>
          <t>grams</t>
        </is>
      </c>
      <c r="G256" s="151" t="inlineStr">
        <is>
          <t>HAND MIX</t>
        </is>
      </c>
      <c r="H256" s="151" t="inlineStr">
        <is>
          <t>Broccoli Marinade</t>
        </is>
      </c>
      <c r="I256" s="151" t="inlineStr">
        <is>
          <t>SUB-031970-4-001</t>
        </is>
      </c>
      <c r="J256" s="150" t="n">
        <v>9.550000000000001</v>
      </c>
      <c r="K256" s="151" t="inlineStr">
        <is>
          <t>grams</t>
        </is>
      </c>
      <c r="L256" s="151" t="inlineStr">
        <is>
          <t>IMMERSION BLENDER</t>
        </is>
      </c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inlineStr">
        <is>
          <t>FA-DE Spice, Garlic Powder, Toasted /Gewürz, Knoblauchpulver, geröstet</t>
        </is>
      </c>
      <c r="X256" s="151" t="inlineStr">
        <is>
          <t>SPI-00-139354-5</t>
        </is>
      </c>
      <c r="Y256" s="151" t="inlineStr">
        <is>
          <t>0,31</t>
        </is>
      </c>
      <c r="Z256" s="149" t="inlineStr">
        <is>
          <t>0,31</t>
        </is>
      </c>
      <c r="AA256" s="151" t="inlineStr">
        <is>
          <t>grams</t>
        </is>
      </c>
      <c r="AB256" s="151" t="n"/>
      <c r="AC256" s="151" t="n"/>
      <c r="AD256" s="150" t="n">
        <v>0.97994</v>
      </c>
      <c r="AE256" s="149" t="n">
        <v>0.31</v>
      </c>
      <c r="AF256" s="151" t="inlineStr">
        <is>
          <t>grams</t>
        </is>
      </c>
      <c r="AG256" s="151" t="n"/>
      <c r="AH256" s="151" t="n"/>
    </row>
    <row r="257">
      <c r="A257" s="151" t="inlineStr">
        <is>
          <t>FV0281A - Baja Salmon [DE]</t>
        </is>
      </c>
      <c r="B257" s="151" t="inlineStr">
        <is>
          <t>REC-014197-4-004</t>
        </is>
      </c>
      <c r="C257" s="151" t="inlineStr">
        <is>
          <t>Broccoli - S&amp;P Broccoli FLORETS - less salt</t>
        </is>
      </c>
      <c r="D257" s="151" t="inlineStr">
        <is>
          <t>SUB-013822-4-001</t>
        </is>
      </c>
      <c r="E257" s="150" t="n">
        <v>85</v>
      </c>
      <c r="F257" s="151" t="inlineStr">
        <is>
          <t>grams</t>
        </is>
      </c>
      <c r="G257" s="151" t="inlineStr">
        <is>
          <t>HAND MIX</t>
        </is>
      </c>
      <c r="H257" s="151" t="inlineStr">
        <is>
          <t>Broccoli Marinade</t>
        </is>
      </c>
      <c r="I257" s="151" t="inlineStr">
        <is>
          <t>SUB-031970-4-001</t>
        </is>
      </c>
      <c r="J257" s="150" t="n">
        <v>9.550000000000001</v>
      </c>
      <c r="K257" s="151" t="inlineStr">
        <is>
          <t>grams</t>
        </is>
      </c>
      <c r="L257" s="151" t="inlineStr">
        <is>
          <t>IMMERSION BLENDER</t>
        </is>
      </c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inlineStr">
        <is>
          <t>FA-DE Spice, Black Pepper, Ground /Gewürz, schwarzer Pfeffer, gemahlen</t>
        </is>
      </c>
      <c r="X257" s="151" t="inlineStr">
        <is>
          <t>SPI-00-139334-5</t>
        </is>
      </c>
      <c r="Y257" s="151" t="inlineStr">
        <is>
          <t>0,38</t>
        </is>
      </c>
      <c r="Z257" s="149" t="inlineStr">
        <is>
          <t>0,38</t>
        </is>
      </c>
      <c r="AA257" s="151" t="inlineStr">
        <is>
          <t>grams</t>
        </is>
      </c>
      <c r="AB257" s="151" t="n"/>
      <c r="AC257" s="151" t="n"/>
      <c r="AD257" s="150" t="n">
        <v>0.97994</v>
      </c>
      <c r="AE257" s="149" t="n">
        <v>0.38</v>
      </c>
      <c r="AF257" s="151" t="inlineStr">
        <is>
          <t>grams</t>
        </is>
      </c>
      <c r="AG257" s="151" t="n"/>
      <c r="AH257" s="151" t="n"/>
    </row>
    <row r="258">
      <c r="A258" s="151" t="inlineStr">
        <is>
          <t>FV0281A - Baja Salmon [DE]</t>
        </is>
      </c>
      <c r="B258" s="151" t="inlineStr">
        <is>
          <t>REC-014197-4-004</t>
        </is>
      </c>
      <c r="C258" s="151" t="inlineStr">
        <is>
          <t>Sauce - Cilantro Sour Cream</t>
        </is>
      </c>
      <c r="D258" s="151" t="inlineStr">
        <is>
          <t>SUB-013701-4-001</t>
        </is>
      </c>
      <c r="E258" s="150" t="n">
        <v>40</v>
      </c>
      <c r="F258" s="151" t="inlineStr">
        <is>
          <t>grams</t>
        </is>
      </c>
      <c r="G258" s="151" t="inlineStr">
        <is>
          <t>CUPPING, IMMERSION BLENDER</t>
        </is>
      </c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inlineStr">
        <is>
          <t>FA-DE Spice, Sea Salt /Gewürze, Meersalz</t>
        </is>
      </c>
      <c r="X258" s="151" t="inlineStr">
        <is>
          <t>SPI-00-139378-5</t>
        </is>
      </c>
      <c r="Y258" s="151" t="inlineStr">
        <is>
          <t>0,29</t>
        </is>
      </c>
      <c r="Z258" s="149" t="inlineStr">
        <is>
          <t>0,29</t>
        </is>
      </c>
      <c r="AA258" s="151" t="inlineStr">
        <is>
          <t>grams</t>
        </is>
      </c>
      <c r="AB258" s="151" t="n"/>
      <c r="AC258" s="151" t="n"/>
      <c r="AD258" s="150" t="n">
        <v>0.98001</v>
      </c>
      <c r="AE258" s="149" t="n">
        <v>0.29</v>
      </c>
      <c r="AF258" s="151" t="inlineStr">
        <is>
          <t>grams</t>
        </is>
      </c>
      <c r="AG258" s="151" t="n"/>
      <c r="AH258" s="151" t="n"/>
    </row>
    <row r="259">
      <c r="A259" s="151" t="inlineStr">
        <is>
          <t>FV0281A - Baja Salmon [DE]</t>
        </is>
      </c>
      <c r="B259" s="151" t="inlineStr">
        <is>
          <t>REC-014197-4-004</t>
        </is>
      </c>
      <c r="C259" s="151" t="inlineStr">
        <is>
          <t>Sauce - Cilantro Sour Cream</t>
        </is>
      </c>
      <c r="D259" s="151" t="inlineStr">
        <is>
          <t>SUB-013701-4-001</t>
        </is>
      </c>
      <c r="E259" s="150" t="n">
        <v>40</v>
      </c>
      <c r="F259" s="151" t="inlineStr">
        <is>
          <t>grams</t>
        </is>
      </c>
      <c r="G259" s="151" t="inlineStr">
        <is>
          <t>CUPPING, IMMERSION BLENDER</t>
        </is>
      </c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inlineStr">
        <is>
          <t>FA-DE Jalapeno Peppers, Diced 5mm /Jalapeno-Paprikaschoten, gewürfelt, 5 mm</t>
        </is>
      </c>
      <c r="X259" s="151" t="inlineStr">
        <is>
          <t>PHF-00-139201-3</t>
        </is>
      </c>
      <c r="Y259" s="151" t="inlineStr">
        <is>
          <t>1,49</t>
        </is>
      </c>
      <c r="Z259" s="149" t="inlineStr">
        <is>
          <t>1,49</t>
        </is>
      </c>
      <c r="AA259" s="151" t="inlineStr">
        <is>
          <t>grams</t>
        </is>
      </c>
      <c r="AB259" s="151" t="n"/>
      <c r="AC259" s="151" t="n"/>
      <c r="AD259" s="150" t="n">
        <v>0.98001</v>
      </c>
      <c r="AE259" s="149" t="n">
        <v>1.49</v>
      </c>
      <c r="AF259" s="151" t="inlineStr">
        <is>
          <t>grams</t>
        </is>
      </c>
      <c r="AG259" s="151" t="n"/>
      <c r="AH259" s="151" t="n"/>
    </row>
    <row r="260">
      <c r="A260" s="151" t="inlineStr">
        <is>
          <t>FV0281A - Baja Salmon [DE]</t>
        </is>
      </c>
      <c r="B260" s="151" t="inlineStr">
        <is>
          <t>REC-014197-4-004</t>
        </is>
      </c>
      <c r="C260" s="151" t="inlineStr">
        <is>
          <t>Sauce - Cilantro Sour Cream</t>
        </is>
      </c>
      <c r="D260" s="151" t="inlineStr">
        <is>
          <t>SUB-013701-4-001</t>
        </is>
      </c>
      <c r="E260" s="150" t="n">
        <v>40</v>
      </c>
      <c r="F260" s="151" t="inlineStr">
        <is>
          <t>grams</t>
        </is>
      </c>
      <c r="G260" s="151" t="inlineStr">
        <is>
          <t>CUPPING, IMMERSION BLENDER</t>
        </is>
      </c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inlineStr">
        <is>
          <t>FA-DE Juice, Lime /Saft, Limette</t>
        </is>
      </c>
      <c r="X260" s="151" t="inlineStr">
        <is>
          <t>PRO-00-139268-5</t>
        </is>
      </c>
      <c r="Y260" s="151" t="inlineStr">
        <is>
          <t>1,49</t>
        </is>
      </c>
      <c r="Z260" s="149" t="inlineStr">
        <is>
          <t>1,49</t>
        </is>
      </c>
      <c r="AA260" s="151" t="inlineStr">
        <is>
          <t>grams</t>
        </is>
      </c>
      <c r="AB260" s="151" t="n"/>
      <c r="AC260" s="151" t="n"/>
      <c r="AD260" s="150" t="n">
        <v>0.98001</v>
      </c>
      <c r="AE260" s="149" t="n">
        <v>1.49</v>
      </c>
      <c r="AF260" s="151" t="inlineStr">
        <is>
          <t>grams</t>
        </is>
      </c>
      <c r="AG260" s="151" t="n"/>
      <c r="AH260" s="151" t="n"/>
    </row>
    <row r="261">
      <c r="A261" s="151" t="inlineStr">
        <is>
          <t>FV0281A - Baja Salmon [DE]</t>
        </is>
      </c>
      <c r="B261" s="151" t="inlineStr">
        <is>
          <t>REC-014197-4-004</t>
        </is>
      </c>
      <c r="C261" s="151" t="inlineStr">
        <is>
          <t>Sauce - Cilantro Sour Cream</t>
        </is>
      </c>
      <c r="D261" s="151" t="inlineStr">
        <is>
          <t>SUB-013701-4-001</t>
        </is>
      </c>
      <c r="E261" s="150" t="n">
        <v>40</v>
      </c>
      <c r="F261" s="151" t="inlineStr">
        <is>
          <t>grams</t>
        </is>
      </c>
      <c r="G261" s="151" t="inlineStr">
        <is>
          <t>CUPPING, IMMERSION BLENDER</t>
        </is>
      </c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inlineStr">
        <is>
          <t>FA-DE Garlic, Peeled, Whole Cloves [10kg] /Knoblauch, geschält, ganze Nelken [10kg]</t>
        </is>
      </c>
      <c r="X261" s="151" t="inlineStr">
        <is>
          <t>PHF-00-139197-3</t>
        </is>
      </c>
      <c r="Y261" s="151" t="inlineStr">
        <is>
          <t>0,29</t>
        </is>
      </c>
      <c r="Z261" s="149" t="inlineStr">
        <is>
          <t>0,29</t>
        </is>
      </c>
      <c r="AA261" s="151" t="inlineStr">
        <is>
          <t>grams</t>
        </is>
      </c>
      <c r="AB261" s="151" t="n"/>
      <c r="AC261" s="151" t="n"/>
      <c r="AD261" s="150" t="n">
        <v>0.98001</v>
      </c>
      <c r="AE261" s="149" t="n">
        <v>0.29</v>
      </c>
      <c r="AF261" s="151" t="inlineStr">
        <is>
          <t>grams</t>
        </is>
      </c>
      <c r="AG261" s="151" t="n"/>
      <c r="AH261" s="151" t="n"/>
    </row>
    <row r="262">
      <c r="A262" s="151" t="inlineStr">
        <is>
          <t>FV0281A - Baja Salmon [DE]</t>
        </is>
      </c>
      <c r="B262" s="151" t="inlineStr">
        <is>
          <t>REC-014197-4-004</t>
        </is>
      </c>
      <c r="C262" s="151" t="inlineStr">
        <is>
          <t>Sauce - Cilantro Sour Cream</t>
        </is>
      </c>
      <c r="D262" s="151" t="inlineStr">
        <is>
          <t>SUB-013701-4-001</t>
        </is>
      </c>
      <c r="E262" s="150" t="n">
        <v>40</v>
      </c>
      <c r="F262" s="151" t="inlineStr">
        <is>
          <t>grams</t>
        </is>
      </c>
      <c r="G262" s="151" t="inlineStr">
        <is>
          <t>CUPPING, IMMERSION BLENDER</t>
        </is>
      </c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inlineStr">
        <is>
          <t>FA-DE Sour Cream /Sauerrahm</t>
        </is>
      </c>
      <c r="X262" s="151" t="inlineStr">
        <is>
          <t>DAI-00-139141-3</t>
        </is>
      </c>
      <c r="Y262" s="151" t="inlineStr">
        <is>
          <t>29,81</t>
        </is>
      </c>
      <c r="Z262" s="149" t="inlineStr">
        <is>
          <t>29,81</t>
        </is>
      </c>
      <c r="AA262" s="151" t="inlineStr">
        <is>
          <t>grams</t>
        </is>
      </c>
      <c r="AB262" s="151" t="inlineStr">
        <is>
          <t>MILCH (EINSCHLIESSLICH LAKTOSE)</t>
        </is>
      </c>
      <c r="AC262" s="151" t="n"/>
      <c r="AD262" s="150" t="n">
        <v>0.98001</v>
      </c>
      <c r="AE262" s="149" t="n">
        <v>29.81</v>
      </c>
      <c r="AF262" s="151" t="inlineStr">
        <is>
          <t>grams</t>
        </is>
      </c>
      <c r="AG262" s="151" t="n"/>
      <c r="AH262" s="151" t="n"/>
    </row>
    <row r="263">
      <c r="A263" s="151" t="inlineStr">
        <is>
          <t>FV0281A - Baja Salmon [DE]</t>
        </is>
      </c>
      <c r="B263" s="151" t="inlineStr">
        <is>
          <t>REC-014197-4-004</t>
        </is>
      </c>
      <c r="C263" s="151" t="inlineStr">
        <is>
          <t>Sauce - Cilantro Sour Cream</t>
        </is>
      </c>
      <c r="D263" s="151" t="inlineStr">
        <is>
          <t>SUB-013701-4-001</t>
        </is>
      </c>
      <c r="E263" s="150" t="n">
        <v>40</v>
      </c>
      <c r="F263" s="151" t="inlineStr">
        <is>
          <t>grams</t>
        </is>
      </c>
      <c r="G263" s="151" t="inlineStr">
        <is>
          <t>CUPPING, IMMERSION BLENDER</t>
        </is>
      </c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inlineStr">
        <is>
          <t>FA-DE Coriander, Chopped /Koriander, gehackt</t>
        </is>
      </c>
      <c r="X263" s="151" t="inlineStr">
        <is>
          <t>PHF-00-139192-3</t>
        </is>
      </c>
      <c r="Y263" s="151" t="inlineStr">
        <is>
          <t>7,45</t>
        </is>
      </c>
      <c r="Z263" s="149" t="inlineStr">
        <is>
          <t>7,45</t>
        </is>
      </c>
      <c r="AA263" s="151" t="inlineStr">
        <is>
          <t>grams</t>
        </is>
      </c>
      <c r="AB263" s="151" t="n"/>
      <c r="AC263" s="151" t="n"/>
      <c r="AD263" s="150" t="n">
        <v>0.98001</v>
      </c>
      <c r="AE263" s="149" t="n">
        <v>7.45</v>
      </c>
      <c r="AF263" s="151" t="inlineStr">
        <is>
          <t>grams</t>
        </is>
      </c>
      <c r="AG263" s="151" t="n"/>
      <c r="AH263" s="151" t="n"/>
    </row>
    <row r="264">
      <c r="A264" s="151" t="inlineStr">
        <is>
          <t>FV0281A - Baja Salmon [DKSE]</t>
        </is>
      </c>
      <c r="B264" s="151" t="inlineStr">
        <is>
          <t>REC-014197-4-005</t>
        </is>
      </c>
      <c r="C264" s="151" t="inlineStr">
        <is>
          <t>Mexican Cauliflower Rice</t>
        </is>
      </c>
      <c r="D264" s="151" t="inlineStr">
        <is>
          <t>SUB-014051-4-001</t>
        </is>
      </c>
      <c r="E264" s="150" t="n">
        <v>120</v>
      </c>
      <c r="F264" s="151" t="inlineStr">
        <is>
          <t>grams</t>
        </is>
      </c>
      <c r="G264" s="151" t="inlineStr">
        <is>
          <t>OVEN</t>
        </is>
      </c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inlineStr">
        <is>
          <t>FA-DE Oil, Olive /Öl, Olivenöl</t>
        </is>
      </c>
      <c r="X264" s="151" t="inlineStr">
        <is>
          <t>PRO-00-139277-5</t>
        </is>
      </c>
      <c r="Y264" s="154" t="inlineStr">
        <is>
          <t>3,02</t>
        </is>
      </c>
      <c r="Z264" s="149" t="inlineStr">
        <is>
          <t>3,02</t>
        </is>
      </c>
      <c r="AA264" s="151" t="inlineStr">
        <is>
          <t>grams</t>
        </is>
      </c>
      <c r="AB264" s="151" t="n"/>
      <c r="AC264" s="151" t="n"/>
      <c r="AD264" s="150" t="n">
        <v>0.76391</v>
      </c>
      <c r="AE264" s="149" t="n">
        <v>3.02</v>
      </c>
      <c r="AF264" s="151" t="inlineStr">
        <is>
          <t>grams</t>
        </is>
      </c>
      <c r="AG264" s="151" t="n"/>
      <c r="AH264" s="151" t="n"/>
    </row>
    <row r="265">
      <c r="A265" s="151" t="inlineStr">
        <is>
          <t>FV0281A - Baja Salmon [DKSE]</t>
        </is>
      </c>
      <c r="B265" s="151" t="inlineStr">
        <is>
          <t>REC-014197-4-005</t>
        </is>
      </c>
      <c r="C265" s="151" t="inlineStr">
        <is>
          <t>Mexican Cauliflower Rice</t>
        </is>
      </c>
      <c r="D265" s="151" t="inlineStr">
        <is>
          <t>SUB-014051-4-001</t>
        </is>
      </c>
      <c r="E265" s="150" t="n">
        <v>120</v>
      </c>
      <c r="F265" s="151" t="inlineStr">
        <is>
          <t>grams</t>
        </is>
      </c>
      <c r="G265" s="151" t="inlineStr">
        <is>
          <t>OVEN</t>
        </is>
      </c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inlineStr">
        <is>
          <t>FA-DE Spice, Sea Salt /Gewürze, Meersalz</t>
        </is>
      </c>
      <c r="X265" s="151" t="inlineStr">
        <is>
          <t>SPI-00-139378-5</t>
        </is>
      </c>
      <c r="Y265" s="151" t="inlineStr">
        <is>
          <t>0,37</t>
        </is>
      </c>
      <c r="Z265" s="149" t="inlineStr">
        <is>
          <t>0,37</t>
        </is>
      </c>
      <c r="AA265" s="151" t="inlineStr">
        <is>
          <t>grams</t>
        </is>
      </c>
      <c r="AB265" s="151" t="n"/>
      <c r="AC265" s="151" t="n"/>
      <c r="AD265" s="150" t="n">
        <v>0.76391</v>
      </c>
      <c r="AE265" s="149" t="n">
        <v>0.37</v>
      </c>
      <c r="AF265" s="151" t="inlineStr">
        <is>
          <t>grams</t>
        </is>
      </c>
      <c r="AG265" s="151" t="n"/>
      <c r="AH265" s="151" t="n"/>
    </row>
    <row r="266">
      <c r="A266" s="151" t="inlineStr">
        <is>
          <t>FV0281A - Baja Salmon [DKSE]</t>
        </is>
      </c>
      <c r="B266" s="151" t="inlineStr">
        <is>
          <t>REC-014197-4-005</t>
        </is>
      </c>
      <c r="C266" s="151" t="inlineStr">
        <is>
          <t>Mexican Cauliflower Rice</t>
        </is>
      </c>
      <c r="D266" s="151" t="inlineStr">
        <is>
          <t>SUB-014051-4-001</t>
        </is>
      </c>
      <c r="E266" s="150" t="n">
        <v>120</v>
      </c>
      <c r="F266" s="151" t="inlineStr">
        <is>
          <t>grams</t>
        </is>
      </c>
      <c r="G266" s="151" t="inlineStr">
        <is>
          <t>OVEN</t>
        </is>
      </c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inlineStr">
        <is>
          <t>FA-DE Spice, Chili Powder /Gewürz, Chilipulver</t>
        </is>
      </c>
      <c r="X266" s="151" t="inlineStr">
        <is>
          <t>SPI-00-139340-5</t>
        </is>
      </c>
      <c r="Y266" s="151" t="inlineStr">
        <is>
          <t>0,37</t>
        </is>
      </c>
      <c r="Z266" s="149" t="inlineStr">
        <is>
          <t>0,37</t>
        </is>
      </c>
      <c r="AA266" s="151" t="inlineStr">
        <is>
          <t>grams</t>
        </is>
      </c>
      <c r="AB266" s="151" t="n"/>
      <c r="AC266" s="151" t="n"/>
      <c r="AD266" s="150" t="n">
        <v>0.76391</v>
      </c>
      <c r="AE266" s="149" t="n">
        <v>0.37</v>
      </c>
      <c r="AF266" s="151" t="inlineStr">
        <is>
          <t>grams</t>
        </is>
      </c>
      <c r="AG266" s="151" t="n"/>
      <c r="AH266" s="151" t="n"/>
    </row>
    <row r="267">
      <c r="A267" s="151" t="inlineStr">
        <is>
          <t>FV0281A - Baja Salmon [DKSE]</t>
        </is>
      </c>
      <c r="B267" s="151" t="inlineStr">
        <is>
          <t>REC-014197-4-005</t>
        </is>
      </c>
      <c r="C267" s="151" t="inlineStr">
        <is>
          <t>Mexican Cauliflower Rice</t>
        </is>
      </c>
      <c r="D267" s="151" t="inlineStr">
        <is>
          <t>SUB-014051-4-001</t>
        </is>
      </c>
      <c r="E267" s="150" t="n">
        <v>120</v>
      </c>
      <c r="F267" s="151" t="inlineStr">
        <is>
          <t>grams</t>
        </is>
      </c>
      <c r="G267" s="151" t="inlineStr">
        <is>
          <t>OVEN</t>
        </is>
      </c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inlineStr">
        <is>
          <t>FA-DE Bell Peppers, Green, Diced 10mm /Paprika, grün, gewürfelt 10 mm</t>
        </is>
      </c>
      <c r="X267" s="151" t="inlineStr">
        <is>
          <t>PHF-00-139176-3</t>
        </is>
      </c>
      <c r="Y267" s="151" t="inlineStr">
        <is>
          <t>6,79</t>
        </is>
      </c>
      <c r="Z267" s="149" t="inlineStr">
        <is>
          <t>6,79</t>
        </is>
      </c>
      <c r="AA267" s="151" t="inlineStr">
        <is>
          <t>grams</t>
        </is>
      </c>
      <c r="AB267" s="151" t="n"/>
      <c r="AC267" s="151" t="n"/>
      <c r="AD267" s="150" t="n">
        <v>0.76391</v>
      </c>
      <c r="AE267" s="149" t="n">
        <v>6.79</v>
      </c>
      <c r="AF267" s="151" t="inlineStr">
        <is>
          <t>grams</t>
        </is>
      </c>
      <c r="AG267" s="151" t="n"/>
      <c r="AH267" s="151" t="n"/>
    </row>
    <row r="268">
      <c r="A268" s="151" t="inlineStr">
        <is>
          <t>FV0281A - Baja Salmon [DKSE]</t>
        </is>
      </c>
      <c r="B268" s="151" t="inlineStr">
        <is>
          <t>REC-014197-4-005</t>
        </is>
      </c>
      <c r="C268" s="151" t="inlineStr">
        <is>
          <t>Mexican Cauliflower Rice</t>
        </is>
      </c>
      <c r="D268" s="151" t="inlineStr">
        <is>
          <t>SUB-014051-4-001</t>
        </is>
      </c>
      <c r="E268" s="150" t="n">
        <v>120</v>
      </c>
      <c r="F268" s="151" t="inlineStr">
        <is>
          <t>grams</t>
        </is>
      </c>
      <c r="G268" s="151" t="inlineStr">
        <is>
          <t>OVEN</t>
        </is>
      </c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inlineStr">
        <is>
          <t>FA-DE Bell Peppers, Red, Diced 10mm /Paprika, rot, gewürfelt 10 mm</t>
        </is>
      </c>
      <c r="X268" s="151" t="inlineStr">
        <is>
          <t>PHF-00-139179-3</t>
        </is>
      </c>
      <c r="Y268" s="151" t="inlineStr">
        <is>
          <t>20,77</t>
        </is>
      </c>
      <c r="Z268" s="149" t="inlineStr">
        <is>
          <t>20,77</t>
        </is>
      </c>
      <c r="AA268" s="151" t="inlineStr">
        <is>
          <t>grams</t>
        </is>
      </c>
      <c r="AB268" s="151" t="n"/>
      <c r="AC268" s="151" t="n"/>
      <c r="AD268" s="150" t="n">
        <v>0.76391</v>
      </c>
      <c r="AE268" s="149" t="n">
        <v>20.77</v>
      </c>
      <c r="AF268" s="151" t="inlineStr">
        <is>
          <t>grams</t>
        </is>
      </c>
      <c r="AG268" s="151" t="n"/>
      <c r="AH268" s="151" t="n"/>
    </row>
    <row r="269">
      <c r="A269" s="151" t="inlineStr">
        <is>
          <t>FV0281A - Baja Salmon [DKSE]</t>
        </is>
      </c>
      <c r="B269" s="151" t="inlineStr">
        <is>
          <t>REC-014197-4-005</t>
        </is>
      </c>
      <c r="C269" s="151" t="inlineStr">
        <is>
          <t>Mexican Cauliflower Rice</t>
        </is>
      </c>
      <c r="D269" s="151" t="inlineStr">
        <is>
          <t>SUB-014051-4-001</t>
        </is>
      </c>
      <c r="E269" s="150" t="n">
        <v>120</v>
      </c>
      <c r="F269" s="151" t="inlineStr">
        <is>
          <t>grams</t>
        </is>
      </c>
      <c r="G269" s="151" t="inlineStr">
        <is>
          <t>OVEN</t>
        </is>
      </c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inlineStr">
        <is>
          <t>FA-DE Spice, Paprika /Gewürze, Paprika</t>
        </is>
      </c>
      <c r="X269" s="151" t="inlineStr">
        <is>
          <t>SPI-00-139373-5</t>
        </is>
      </c>
      <c r="Y269" s="151" t="inlineStr">
        <is>
          <t>0,37</t>
        </is>
      </c>
      <c r="Z269" s="149" t="inlineStr">
        <is>
          <t>0,37</t>
        </is>
      </c>
      <c r="AA269" s="151" t="inlineStr">
        <is>
          <t>grams</t>
        </is>
      </c>
      <c r="AB269" s="151" t="n"/>
      <c r="AC269" s="151" t="n"/>
      <c r="AD269" s="150" t="n">
        <v>0.76391</v>
      </c>
      <c r="AE269" s="149" t="n">
        <v>0.37</v>
      </c>
      <c r="AF269" s="151" t="inlineStr">
        <is>
          <t>grams</t>
        </is>
      </c>
      <c r="AG269" s="151" t="n"/>
      <c r="AH269" s="151" t="n"/>
    </row>
    <row r="270">
      <c r="A270" s="151" t="inlineStr">
        <is>
          <t>FV0281A - Baja Salmon [DKSE]</t>
        </is>
      </c>
      <c r="B270" s="151" t="inlineStr">
        <is>
          <t>REC-014197-4-005</t>
        </is>
      </c>
      <c r="C270" s="151" t="inlineStr">
        <is>
          <t>Mexican Cauliflower Rice</t>
        </is>
      </c>
      <c r="D270" s="151" t="inlineStr">
        <is>
          <t>SUB-014051-4-001</t>
        </is>
      </c>
      <c r="E270" s="150" t="n">
        <v>120</v>
      </c>
      <c r="F270" s="151" t="inlineStr">
        <is>
          <t>grams</t>
        </is>
      </c>
      <c r="G270" s="151" t="inlineStr">
        <is>
          <t>OVEN</t>
        </is>
      </c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inlineStr">
        <is>
          <t>FA-DE Cauliflower, Riced, IQF /Blumenkohl, Reis, IQF</t>
        </is>
      </c>
      <c r="X270" s="151" t="inlineStr">
        <is>
          <t>PHF-00-139233-1</t>
        </is>
      </c>
      <c r="Y270" s="151" t="inlineStr">
        <is>
          <t>111,41</t>
        </is>
      </c>
      <c r="Z270" s="149" t="inlineStr">
        <is>
          <t>111,41</t>
        </is>
      </c>
      <c r="AA270" s="151" t="inlineStr">
        <is>
          <t>grams</t>
        </is>
      </c>
      <c r="AB270" s="151" t="n"/>
      <c r="AC270" s="151" t="n"/>
      <c r="AD270" s="150" t="n">
        <v>0.76391</v>
      </c>
      <c r="AE270" s="149" t="n">
        <v>111.41</v>
      </c>
      <c r="AF270" s="151" t="inlineStr">
        <is>
          <t>grams</t>
        </is>
      </c>
      <c r="AG270" s="151" t="n"/>
      <c r="AH270" s="151" t="n"/>
    </row>
    <row r="271">
      <c r="A271" s="151" t="inlineStr">
        <is>
          <t>FV0281A - Baja Salmon [DKSE]</t>
        </is>
      </c>
      <c r="B271" s="151" t="inlineStr">
        <is>
          <t>REC-014197-4-005</t>
        </is>
      </c>
      <c r="C271" s="151" t="inlineStr">
        <is>
          <t>Mexican Cauliflower Rice</t>
        </is>
      </c>
      <c r="D271" s="151" t="inlineStr">
        <is>
          <t>SUB-014051-4-001</t>
        </is>
      </c>
      <c r="E271" s="150" t="n">
        <v>120</v>
      </c>
      <c r="F271" s="151" t="inlineStr">
        <is>
          <t>grams</t>
        </is>
      </c>
      <c r="G271" s="151" t="inlineStr">
        <is>
          <t>OVEN</t>
        </is>
      </c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inlineStr">
        <is>
          <t>FA-DE Spice, Cumin Ground /Gewürz, gemahlener Kreuzkümmel</t>
        </is>
      </c>
      <c r="X271" s="151" t="inlineStr">
        <is>
          <t>SPI-00-139345-5</t>
        </is>
      </c>
      <c r="Y271" s="151" t="inlineStr">
        <is>
          <t>0,37</t>
        </is>
      </c>
      <c r="Z271" s="149" t="inlineStr">
        <is>
          <t>0,37</t>
        </is>
      </c>
      <c r="AA271" s="151" t="inlineStr">
        <is>
          <t>grams</t>
        </is>
      </c>
      <c r="AB271" s="151" t="n"/>
      <c r="AC271" s="151" t="n"/>
      <c r="AD271" s="150" t="n">
        <v>0.76391</v>
      </c>
      <c r="AE271" s="149" t="n">
        <v>0.37</v>
      </c>
      <c r="AF271" s="151" t="inlineStr">
        <is>
          <t>grams</t>
        </is>
      </c>
      <c r="AG271" s="151" t="n"/>
      <c r="AH271" s="151" t="n"/>
    </row>
    <row r="272">
      <c r="A272" s="151" t="inlineStr">
        <is>
          <t>FV0281A - Baja Salmon [DKSE]</t>
        </is>
      </c>
      <c r="B272" s="151" t="inlineStr">
        <is>
          <t>REC-014197-4-005</t>
        </is>
      </c>
      <c r="C272" s="151" t="inlineStr">
        <is>
          <t>Mexican Cauliflower Rice</t>
        </is>
      </c>
      <c r="D272" s="151" t="inlineStr">
        <is>
          <t>SUB-014051-4-001</t>
        </is>
      </c>
      <c r="E272" s="150" t="n">
        <v>120</v>
      </c>
      <c r="F272" s="151" t="inlineStr">
        <is>
          <t>grams</t>
        </is>
      </c>
      <c r="G272" s="151" t="inlineStr">
        <is>
          <t>OVEN</t>
        </is>
      </c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inlineStr">
        <is>
          <t>FA-DE Onion, Red, Diced 5mm /Zwiebeln, rot, gewürfelt 5 mm</t>
        </is>
      </c>
      <c r="X272" s="151" t="inlineStr">
        <is>
          <t>PHF-00-139213-3</t>
        </is>
      </c>
      <c r="Y272" s="155" t="inlineStr">
        <is>
          <t>13,6</t>
        </is>
      </c>
      <c r="Z272" s="149" t="inlineStr">
        <is>
          <t>13,6</t>
        </is>
      </c>
      <c r="AA272" s="151" t="inlineStr">
        <is>
          <t>grams</t>
        </is>
      </c>
      <c r="AB272" s="151" t="n"/>
      <c r="AC272" s="151" t="n"/>
      <c r="AD272" s="150" t="n">
        <v>0.76391</v>
      </c>
      <c r="AE272" s="149" t="n">
        <v>13.6</v>
      </c>
      <c r="AF272" s="151" t="inlineStr">
        <is>
          <t>grams</t>
        </is>
      </c>
      <c r="AG272" s="151" t="n"/>
      <c r="AH272" s="151" t="n"/>
    </row>
    <row r="273">
      <c r="A273" s="151" t="inlineStr">
        <is>
          <t>FV0281A - Baja Salmon [DKSE]</t>
        </is>
      </c>
      <c r="B273" s="151" t="inlineStr">
        <is>
          <t>REC-014197-4-005</t>
        </is>
      </c>
      <c r="C273" s="151" t="inlineStr">
        <is>
          <t>Salmon - BAJA Salmon - Batch</t>
        </is>
      </c>
      <c r="D273" s="151" t="inlineStr">
        <is>
          <t>SUB-014053-4-001</t>
        </is>
      </c>
      <c r="E273" s="150" t="n">
        <v>1</v>
      </c>
      <c r="F273" s="151" t="inlineStr">
        <is>
          <t>each</t>
        </is>
      </c>
      <c r="G273" s="151" t="inlineStr">
        <is>
          <t>BLAST CHILLER, HAND MARINADE, OVEN, THAW</t>
        </is>
      </c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inlineStr">
        <is>
          <t>FA-DE Spice, Sea Salt /Gewürze, Meersalz</t>
        </is>
      </c>
      <c r="X273" s="151" t="inlineStr">
        <is>
          <t>SPI-00-139378-5</t>
        </is>
      </c>
      <c r="Y273" s="151" t="inlineStr">
        <is>
          <t>0,6</t>
        </is>
      </c>
      <c r="Z273" s="149" t="inlineStr">
        <is>
          <t>0,6</t>
        </is>
      </c>
      <c r="AA273" s="151" t="inlineStr">
        <is>
          <t>grams</t>
        </is>
      </c>
      <c r="AB273" s="151" t="n"/>
      <c r="AC273" s="151" t="n"/>
      <c r="AD273" s="150" t="n">
        <v>0.79681</v>
      </c>
      <c r="AE273" s="149" t="n">
        <v>0.6</v>
      </c>
      <c r="AF273" s="151" t="inlineStr">
        <is>
          <t>grams</t>
        </is>
      </c>
      <c r="AG273" s="151" t="n"/>
      <c r="AH273" s="151" t="n"/>
    </row>
    <row r="274">
      <c r="A274" s="151" t="inlineStr">
        <is>
          <t>FV0281A - Baja Salmon [DKSE]</t>
        </is>
      </c>
      <c r="B274" s="151" t="inlineStr">
        <is>
          <t>REC-014197-4-005</t>
        </is>
      </c>
      <c r="C274" s="151" t="inlineStr">
        <is>
          <t>Salmon - BAJA Salmon - Batch</t>
        </is>
      </c>
      <c r="D274" s="151" t="inlineStr">
        <is>
          <t>SUB-014053-4-001</t>
        </is>
      </c>
      <c r="E274" s="150" t="n">
        <v>1</v>
      </c>
      <c r="F274" s="151" t="inlineStr">
        <is>
          <t>each</t>
        </is>
      </c>
      <c r="G274" s="151" t="inlineStr">
        <is>
          <t>BLAST CHILLER, HAND MARINADE, OVEN, THAW</t>
        </is>
      </c>
      <c r="H274" s="151" t="inlineStr">
        <is>
          <t>Marinade - Baja Marinade</t>
        </is>
      </c>
      <c r="I274" s="151" t="inlineStr">
        <is>
          <t>SUB-014052-4-001</t>
        </is>
      </c>
      <c r="J274" s="150" t="n">
        <v>10</v>
      </c>
      <c r="K274" s="151" t="inlineStr">
        <is>
          <t>grams</t>
        </is>
      </c>
      <c r="L274" s="151" t="inlineStr">
        <is>
          <t>IMMERSION BLENDER</t>
        </is>
      </c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inlineStr">
        <is>
          <t>FA-DE Spice, Onion Granulated /Gewürze, Zwiebeln granuliert</t>
        </is>
      </c>
      <c r="X274" s="151" t="inlineStr">
        <is>
          <t>SPI-00-139370-5</t>
        </is>
      </c>
      <c r="Y274" s="151" t="inlineStr">
        <is>
          <t>0,54</t>
        </is>
      </c>
      <c r="Z274" s="149" t="inlineStr">
        <is>
          <t>0,54</t>
        </is>
      </c>
      <c r="AA274" s="151" t="inlineStr">
        <is>
          <t>grams</t>
        </is>
      </c>
      <c r="AB274" s="151" t="n"/>
      <c r="AC274" s="151" t="n"/>
      <c r="AD274" s="150" t="n">
        <v>0.93809</v>
      </c>
      <c r="AE274" s="149" t="n">
        <v>0.54</v>
      </c>
      <c r="AF274" s="151" t="inlineStr">
        <is>
          <t>grams</t>
        </is>
      </c>
      <c r="AG274" s="151" t="n"/>
      <c r="AH274" s="151" t="n"/>
    </row>
    <row r="275">
      <c r="A275" s="151" t="inlineStr">
        <is>
          <t>FV0281A - Baja Salmon [DKSE]</t>
        </is>
      </c>
      <c r="B275" s="151" t="inlineStr">
        <is>
          <t>REC-014197-4-005</t>
        </is>
      </c>
      <c r="C275" s="151" t="inlineStr">
        <is>
          <t>Salmon - BAJA Salmon - Batch</t>
        </is>
      </c>
      <c r="D275" s="151" t="inlineStr">
        <is>
          <t>SUB-014053-4-001</t>
        </is>
      </c>
      <c r="E275" s="150" t="n">
        <v>1</v>
      </c>
      <c r="F275" s="151" t="inlineStr">
        <is>
          <t>each</t>
        </is>
      </c>
      <c r="G275" s="151" t="inlineStr">
        <is>
          <t>BLAST CHILLER, HAND MARINADE, OVEN, THAW</t>
        </is>
      </c>
      <c r="H275" s="151" t="inlineStr">
        <is>
          <t>Marinade - Baja Marinade</t>
        </is>
      </c>
      <c r="I275" s="151" t="inlineStr">
        <is>
          <t>SUB-014052-4-001</t>
        </is>
      </c>
      <c r="J275" s="150" t="n">
        <v>10</v>
      </c>
      <c r="K275" s="151" t="inlineStr">
        <is>
          <t>grams</t>
        </is>
      </c>
      <c r="L275" s="151" t="inlineStr">
        <is>
          <t>IMMERSION BLENDER</t>
        </is>
      </c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inlineStr">
        <is>
          <t>FA-DE Juice, Lime /Saft, Limette</t>
        </is>
      </c>
      <c r="X275" s="151" t="inlineStr">
        <is>
          <t>PRO-00-139268-5</t>
        </is>
      </c>
      <c r="Y275" s="151" t="inlineStr">
        <is>
          <t>0,37</t>
        </is>
      </c>
      <c r="Z275" s="149" t="inlineStr">
        <is>
          <t>0,37</t>
        </is>
      </c>
      <c r="AA275" s="151" t="inlineStr">
        <is>
          <t>grams</t>
        </is>
      </c>
      <c r="AB275" s="151" t="n"/>
      <c r="AC275" s="151" t="n"/>
      <c r="AD275" s="150" t="n">
        <v>0.93809</v>
      </c>
      <c r="AE275" s="149" t="n">
        <v>0.37</v>
      </c>
      <c r="AF275" s="151" t="inlineStr">
        <is>
          <t>grams</t>
        </is>
      </c>
      <c r="AG275" s="151" t="n"/>
      <c r="AH275" s="151" t="n"/>
    </row>
    <row r="276">
      <c r="A276" s="151" t="inlineStr">
        <is>
          <t>FV0281A - Baja Salmon [DKSE]</t>
        </is>
      </c>
      <c r="B276" s="151" t="inlineStr">
        <is>
          <t>REC-014197-4-005</t>
        </is>
      </c>
      <c r="C276" s="151" t="inlineStr">
        <is>
          <t>Salmon - BAJA Salmon - Batch</t>
        </is>
      </c>
      <c r="D276" s="151" t="inlineStr">
        <is>
          <t>SUB-014053-4-001</t>
        </is>
      </c>
      <c r="E276" s="150" t="n">
        <v>1</v>
      </c>
      <c r="F276" s="151" t="inlineStr">
        <is>
          <t>each</t>
        </is>
      </c>
      <c r="G276" s="151" t="inlineStr">
        <is>
          <t>BLAST CHILLER, HAND MARINADE, OVEN, THAW</t>
        </is>
      </c>
      <c r="H276" s="151" t="inlineStr">
        <is>
          <t>Marinade - Baja Marinade</t>
        </is>
      </c>
      <c r="I276" s="151" t="inlineStr">
        <is>
          <t>SUB-014052-4-001</t>
        </is>
      </c>
      <c r="J276" s="150" t="n">
        <v>10</v>
      </c>
      <c r="K276" s="151" t="inlineStr">
        <is>
          <t>grams</t>
        </is>
      </c>
      <c r="L276" s="151" t="inlineStr">
        <is>
          <t>IMMERSION BLENDER</t>
        </is>
      </c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inlineStr">
        <is>
          <t>FA-DE Spice, Smoked Paprika /Gewürz, geräucherter Paprika</t>
        </is>
      </c>
      <c r="X276" s="151" t="inlineStr">
        <is>
          <t>SPI-00-139383-5</t>
        </is>
      </c>
      <c r="Y276" s="151" t="inlineStr">
        <is>
          <t>0,11</t>
        </is>
      </c>
      <c r="Z276" s="149" t="inlineStr">
        <is>
          <t>0,11</t>
        </is>
      </c>
      <c r="AA276" s="151" t="inlineStr">
        <is>
          <t>grams</t>
        </is>
      </c>
      <c r="AB276" s="151" t="n"/>
      <c r="AC276" s="151" t="n"/>
      <c r="AD276" s="150" t="n">
        <v>0.93809</v>
      </c>
      <c r="AE276" s="149" t="n">
        <v>0.11</v>
      </c>
      <c r="AF276" s="151" t="inlineStr">
        <is>
          <t>grams</t>
        </is>
      </c>
      <c r="AG276" s="151" t="n"/>
      <c r="AH276" s="151" t="n"/>
    </row>
    <row r="277">
      <c r="A277" s="151" t="inlineStr">
        <is>
          <t>FV0281A - Baja Salmon [DKSE]</t>
        </is>
      </c>
      <c r="B277" s="151" t="inlineStr">
        <is>
          <t>REC-014197-4-005</t>
        </is>
      </c>
      <c r="C277" s="151" t="inlineStr">
        <is>
          <t>Salmon - BAJA Salmon - Batch</t>
        </is>
      </c>
      <c r="D277" s="151" t="inlineStr">
        <is>
          <t>SUB-014053-4-001</t>
        </is>
      </c>
      <c r="E277" s="150" t="n">
        <v>1</v>
      </c>
      <c r="F277" s="151" t="inlineStr">
        <is>
          <t>each</t>
        </is>
      </c>
      <c r="G277" s="151" t="inlineStr">
        <is>
          <t>BLAST CHILLER, HAND MARINADE, OVEN, THAW</t>
        </is>
      </c>
      <c r="H277" s="151" t="inlineStr">
        <is>
          <t>Marinade - Baja Marinade</t>
        </is>
      </c>
      <c r="I277" s="151" t="inlineStr">
        <is>
          <t>SUB-014052-4-001</t>
        </is>
      </c>
      <c r="J277" s="150" t="n">
        <v>10</v>
      </c>
      <c r="K277" s="151" t="inlineStr">
        <is>
          <t>grams</t>
        </is>
      </c>
      <c r="L277" s="151" t="inlineStr">
        <is>
          <t>IMMERSION BLENDER</t>
        </is>
      </c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inlineStr">
        <is>
          <t>FA-DE Juice, Orange /Saft, Orange</t>
        </is>
      </c>
      <c r="X277" s="151" t="inlineStr">
        <is>
          <t>PRO-00-139267-5</t>
        </is>
      </c>
      <c r="Y277" s="151" t="inlineStr">
        <is>
          <t>0,37</t>
        </is>
      </c>
      <c r="Z277" s="149" t="inlineStr">
        <is>
          <t>0,37</t>
        </is>
      </c>
      <c r="AA277" s="151" t="inlineStr">
        <is>
          <t>grams</t>
        </is>
      </c>
      <c r="AB277" s="151" t="n"/>
      <c r="AC277" s="151" t="n"/>
      <c r="AD277" s="150" t="n">
        <v>0.93809</v>
      </c>
      <c r="AE277" s="149" t="n">
        <v>0.37</v>
      </c>
      <c r="AF277" s="151" t="inlineStr">
        <is>
          <t>grams</t>
        </is>
      </c>
      <c r="AG277" s="151" t="n"/>
      <c r="AH277" s="151" t="n"/>
    </row>
    <row r="278">
      <c r="A278" s="151" t="inlineStr">
        <is>
          <t>FV0281A - Baja Salmon [DKSE]</t>
        </is>
      </c>
      <c r="B278" s="151" t="inlineStr">
        <is>
          <t>REC-014197-4-005</t>
        </is>
      </c>
      <c r="C278" s="151" t="inlineStr">
        <is>
          <t>Salmon - BAJA Salmon - Batch</t>
        </is>
      </c>
      <c r="D278" s="151" t="inlineStr">
        <is>
          <t>SUB-014053-4-001</t>
        </is>
      </c>
      <c r="E278" s="150" t="n">
        <v>1</v>
      </c>
      <c r="F278" s="151" t="inlineStr">
        <is>
          <t>each</t>
        </is>
      </c>
      <c r="G278" s="151" t="inlineStr">
        <is>
          <t>BLAST CHILLER, HAND MARINADE, OVEN, THAW</t>
        </is>
      </c>
      <c r="H278" s="151" t="inlineStr">
        <is>
          <t>Marinade - Baja Marinade</t>
        </is>
      </c>
      <c r="I278" s="151" t="inlineStr">
        <is>
          <t>SUB-014052-4-001</t>
        </is>
      </c>
      <c r="J278" s="150" t="n">
        <v>10</v>
      </c>
      <c r="K278" s="151" t="inlineStr">
        <is>
          <t>grams</t>
        </is>
      </c>
      <c r="L278" s="151" t="inlineStr">
        <is>
          <t>IMMERSION BLENDER</t>
        </is>
      </c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inlineStr">
        <is>
          <t>FA-DE Oil, Olive /Öl, Olivenöl</t>
        </is>
      </c>
      <c r="X278" s="151" t="inlineStr">
        <is>
          <t>PRO-00-139277-5</t>
        </is>
      </c>
      <c r="Y278" s="151" t="inlineStr">
        <is>
          <t>5,27</t>
        </is>
      </c>
      <c r="Z278" s="149" t="inlineStr">
        <is>
          <t>5,27</t>
        </is>
      </c>
      <c r="AA278" s="151" t="inlineStr">
        <is>
          <t>grams</t>
        </is>
      </c>
      <c r="AB278" s="151" t="n"/>
      <c r="AC278" s="151" t="n"/>
      <c r="AD278" s="150" t="n">
        <v>0.93809</v>
      </c>
      <c r="AE278" s="149" t="n">
        <v>5.27</v>
      </c>
      <c r="AF278" s="151" t="inlineStr">
        <is>
          <t>grams</t>
        </is>
      </c>
      <c r="AG278" s="151" t="n"/>
      <c r="AH278" s="151" t="n"/>
    </row>
    <row r="279">
      <c r="A279" s="151" t="inlineStr">
        <is>
          <t>FV0281A - Baja Salmon [DKSE]</t>
        </is>
      </c>
      <c r="B279" s="151" t="inlineStr">
        <is>
          <t>REC-014197-4-005</t>
        </is>
      </c>
      <c r="C279" s="151" t="inlineStr">
        <is>
          <t>Salmon - BAJA Salmon - Batch</t>
        </is>
      </c>
      <c r="D279" s="151" t="inlineStr">
        <is>
          <t>SUB-014053-4-001</t>
        </is>
      </c>
      <c r="E279" s="150" t="n">
        <v>1</v>
      </c>
      <c r="F279" s="151" t="inlineStr">
        <is>
          <t>each</t>
        </is>
      </c>
      <c r="G279" s="151" t="inlineStr">
        <is>
          <t>BLAST CHILLER, HAND MARINADE, OVEN, THAW</t>
        </is>
      </c>
      <c r="H279" s="151" t="inlineStr">
        <is>
          <t>Marinade - Baja Marinade</t>
        </is>
      </c>
      <c r="I279" s="151" t="inlineStr">
        <is>
          <t>SUB-014052-4-001</t>
        </is>
      </c>
      <c r="J279" s="150" t="n">
        <v>10</v>
      </c>
      <c r="K279" s="151" t="inlineStr">
        <is>
          <t>grams</t>
        </is>
      </c>
      <c r="L279" s="151" t="inlineStr">
        <is>
          <t>IMMERSION BLENDER</t>
        </is>
      </c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inlineStr">
        <is>
          <t>FA-DE Spice, Ancho Chili Powder /Gewürz, Ancho-Chili-Pulver</t>
        </is>
      </c>
      <c r="X279" s="151" t="inlineStr">
        <is>
          <t>SPI-00-139329-5</t>
        </is>
      </c>
      <c r="Y279" s="151" t="inlineStr">
        <is>
          <t>0,85</t>
        </is>
      </c>
      <c r="Z279" s="149" t="inlineStr">
        <is>
          <t>0,85</t>
        </is>
      </c>
      <c r="AA279" s="151" t="inlineStr">
        <is>
          <t>grams</t>
        </is>
      </c>
      <c r="AB279" s="151" t="n"/>
      <c r="AC279" s="151" t="n"/>
      <c r="AD279" s="150" t="n">
        <v>0.93809</v>
      </c>
      <c r="AE279" s="149" t="n">
        <v>0.85</v>
      </c>
      <c r="AF279" s="151" t="inlineStr">
        <is>
          <t>grams</t>
        </is>
      </c>
      <c r="AG279" s="151" t="n"/>
      <c r="AH279" s="151" t="n"/>
    </row>
    <row r="280">
      <c r="A280" s="151" t="inlineStr">
        <is>
          <t>FV0281A - Baja Salmon [DKSE]</t>
        </is>
      </c>
      <c r="B280" s="151" t="inlineStr">
        <is>
          <t>REC-014197-4-005</t>
        </is>
      </c>
      <c r="C280" s="151" t="inlineStr">
        <is>
          <t>Salmon - BAJA Salmon - Batch</t>
        </is>
      </c>
      <c r="D280" s="151" t="inlineStr">
        <is>
          <t>SUB-014053-4-001</t>
        </is>
      </c>
      <c r="E280" s="150" t="n">
        <v>1</v>
      </c>
      <c r="F280" s="151" t="inlineStr">
        <is>
          <t>each</t>
        </is>
      </c>
      <c r="G280" s="151" t="inlineStr">
        <is>
          <t>BLAST CHILLER, HAND MARINADE, OVEN, THAW</t>
        </is>
      </c>
      <c r="H280" s="151" t="inlineStr">
        <is>
          <t>Marinade - Baja Marinade</t>
        </is>
      </c>
      <c r="I280" s="151" t="inlineStr">
        <is>
          <t>SUB-014052-4-001</t>
        </is>
      </c>
      <c r="J280" s="150" t="n">
        <v>10</v>
      </c>
      <c r="K280" s="151" t="inlineStr">
        <is>
          <t>grams</t>
        </is>
      </c>
      <c r="L280" s="151" t="inlineStr">
        <is>
          <t>IMMERSION BLENDER</t>
        </is>
      </c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inlineStr">
        <is>
          <t>FA-DE Garlic, IQF, Diced 4 mm /Knoblauch, IQF, gewürfelt 4 mm</t>
        </is>
      </c>
      <c r="X280" s="151" t="inlineStr">
        <is>
          <t>PHF-00-139237-1</t>
        </is>
      </c>
      <c r="Y280" s="154" t="inlineStr">
        <is>
          <t>2,1</t>
        </is>
      </c>
      <c r="Z280" s="149" t="inlineStr">
        <is>
          <t>2,1</t>
        </is>
      </c>
      <c r="AA280" s="151" t="inlineStr">
        <is>
          <t>grams</t>
        </is>
      </c>
      <c r="AB280" s="151" t="inlineStr">
        <is>
          <t>SCHWEFELDIOXIDE UND SULFITE</t>
        </is>
      </c>
      <c r="AC280" s="151" t="n"/>
      <c r="AD280" s="150" t="n">
        <v>0.93809</v>
      </c>
      <c r="AE280" s="149" t="n">
        <v>2.1</v>
      </c>
      <c r="AF280" s="151" t="inlineStr">
        <is>
          <t>grams</t>
        </is>
      </c>
      <c r="AG280" s="151" t="n"/>
      <c r="AH280" s="151" t="n"/>
    </row>
    <row r="281">
      <c r="A281" s="151" t="inlineStr">
        <is>
          <t>FV0281A - Baja Salmon [DKSE]</t>
        </is>
      </c>
      <c r="B281" s="151" t="inlineStr">
        <is>
          <t>REC-014197-4-005</t>
        </is>
      </c>
      <c r="C281" s="151" t="inlineStr">
        <is>
          <t>Salmon - BAJA Salmon - Batch</t>
        </is>
      </c>
      <c r="D281" s="151" t="inlineStr">
        <is>
          <t>SUB-014053-4-001</t>
        </is>
      </c>
      <c r="E281" s="150" t="n">
        <v>1</v>
      </c>
      <c r="F281" s="151" t="inlineStr">
        <is>
          <t>each</t>
        </is>
      </c>
      <c r="G281" s="151" t="inlineStr">
        <is>
          <t>BLAST CHILLER, HAND MARINADE, OVEN, THAW</t>
        </is>
      </c>
      <c r="H281" s="151" t="inlineStr">
        <is>
          <t>Marinade - Baja Marinade</t>
        </is>
      </c>
      <c r="I281" s="151" t="inlineStr">
        <is>
          <t>SUB-014052-4-001</t>
        </is>
      </c>
      <c r="J281" s="150" t="n">
        <v>10</v>
      </c>
      <c r="K281" s="151" t="inlineStr">
        <is>
          <t>grams</t>
        </is>
      </c>
      <c r="L281" s="151" t="inlineStr">
        <is>
          <t>IMMERSION BLENDER</t>
        </is>
      </c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inlineStr">
        <is>
          <t>FA-DE Spice, Cumin Ground /Gewürz, gemahlener Kreuzkümmel</t>
        </is>
      </c>
      <c r="X281" s="151" t="inlineStr">
        <is>
          <t>SPI-00-139345-5</t>
        </is>
      </c>
      <c r="Y281" s="151" t="inlineStr">
        <is>
          <t>0,54</t>
        </is>
      </c>
      <c r="Z281" s="149" t="inlineStr">
        <is>
          <t>0,54</t>
        </is>
      </c>
      <c r="AA281" s="151" t="inlineStr">
        <is>
          <t>grams</t>
        </is>
      </c>
      <c r="AB281" s="151" t="n"/>
      <c r="AC281" s="151" t="n"/>
      <c r="AD281" s="150" t="n">
        <v>0.93809</v>
      </c>
      <c r="AE281" s="149" t="n">
        <v>0.54</v>
      </c>
      <c r="AF281" s="151" t="inlineStr">
        <is>
          <t>grams</t>
        </is>
      </c>
      <c r="AG281" s="151" t="n"/>
      <c r="AH281" s="151" t="n"/>
    </row>
    <row r="282">
      <c r="A282" s="151" t="inlineStr">
        <is>
          <t>FV0281A - Baja Salmon [DKSE]</t>
        </is>
      </c>
      <c r="B282" s="151" t="inlineStr">
        <is>
          <t>REC-014197-4-005</t>
        </is>
      </c>
      <c r="C282" s="151" t="inlineStr">
        <is>
          <t>Salmon - BAJA Salmon - Batch</t>
        </is>
      </c>
      <c r="D282" s="151" t="inlineStr">
        <is>
          <t>SUB-014053-4-001</t>
        </is>
      </c>
      <c r="E282" s="150" t="n">
        <v>1</v>
      </c>
      <c r="F282" s="151" t="inlineStr">
        <is>
          <t>each</t>
        </is>
      </c>
      <c r="G282" s="151" t="inlineStr">
        <is>
          <t>BLAST CHILLER, HAND MARINADE, OVEN, THAW</t>
        </is>
      </c>
      <c r="H282" s="151" t="inlineStr">
        <is>
          <t>Marinade - Baja Marinade</t>
        </is>
      </c>
      <c r="I282" s="151" t="inlineStr">
        <is>
          <t>SUB-014052-4-001</t>
        </is>
      </c>
      <c r="J282" s="150" t="n">
        <v>10</v>
      </c>
      <c r="K282" s="151" t="inlineStr">
        <is>
          <t>grams</t>
        </is>
      </c>
      <c r="L282" s="151" t="inlineStr">
        <is>
          <t>IMMERSION BLENDER</t>
        </is>
      </c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inlineStr">
        <is>
          <t>FA-DE Spice, Sea Salt /Gewürze, Meersalz</t>
        </is>
      </c>
      <c r="X282" s="151" t="inlineStr">
        <is>
          <t>SPI-00-139378-5</t>
        </is>
      </c>
      <c r="Y282" s="151" t="inlineStr">
        <is>
          <t>0,31</t>
        </is>
      </c>
      <c r="Z282" s="149" t="inlineStr">
        <is>
          <t>0,31</t>
        </is>
      </c>
      <c r="AA282" s="151" t="inlineStr">
        <is>
          <t>grams</t>
        </is>
      </c>
      <c r="AB282" s="151" t="n"/>
      <c r="AC282" s="151" t="n"/>
      <c r="AD282" s="150" t="n">
        <v>0.93809</v>
      </c>
      <c r="AE282" s="149" t="n">
        <v>0.31</v>
      </c>
      <c r="AF282" s="151" t="inlineStr">
        <is>
          <t>grams</t>
        </is>
      </c>
      <c r="AG282" s="151" t="n"/>
      <c r="AH282" s="151" t="n"/>
    </row>
    <row r="283">
      <c r="A283" s="151" t="inlineStr">
        <is>
          <t>FV0281A - Baja Salmon [DKSE]</t>
        </is>
      </c>
      <c r="B283" s="151" t="inlineStr">
        <is>
          <t>REC-014197-4-005</t>
        </is>
      </c>
      <c r="C283" s="151" t="inlineStr">
        <is>
          <t>Salmon - BAJA Salmon - Batch</t>
        </is>
      </c>
      <c r="D283" s="151" t="inlineStr">
        <is>
          <t>SUB-014053-4-001</t>
        </is>
      </c>
      <c r="E283" s="150" t="n">
        <v>1</v>
      </c>
      <c r="F283" s="151" t="inlineStr">
        <is>
          <t>each</t>
        </is>
      </c>
      <c r="G283" s="151" t="inlineStr">
        <is>
          <t>BLAST CHILLER, HAND MARINADE, OVEN, THAW</t>
        </is>
      </c>
      <c r="H283" s="151" t="inlineStr">
        <is>
          <t>Marinade - Baja Marinade</t>
        </is>
      </c>
      <c r="I283" s="151" t="inlineStr">
        <is>
          <t>SUB-014052-4-001</t>
        </is>
      </c>
      <c r="J283" s="150" t="n">
        <v>10</v>
      </c>
      <c r="K283" s="151" t="inlineStr">
        <is>
          <t>grams</t>
        </is>
      </c>
      <c r="L283" s="151" t="inlineStr">
        <is>
          <t>IMMERSION BLENDER</t>
        </is>
      </c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inlineStr">
        <is>
          <t>FA-DE Spice, Black Pepper, Ground /Gewürz, schwarzer Pfeffer, gemahlen</t>
        </is>
      </c>
      <c r="X283" s="151" t="inlineStr">
        <is>
          <t>SPI-00-139334-5</t>
        </is>
      </c>
      <c r="Y283" s="151" t="inlineStr">
        <is>
          <t>0,2</t>
        </is>
      </c>
      <c r="Z283" s="149" t="inlineStr">
        <is>
          <t>0,2</t>
        </is>
      </c>
      <c r="AA283" s="151" t="inlineStr">
        <is>
          <t>grams</t>
        </is>
      </c>
      <c r="AB283" s="151" t="n"/>
      <c r="AC283" s="151" t="n"/>
      <c r="AD283" s="150" t="n">
        <v>0.93809</v>
      </c>
      <c r="AE283" s="149" t="n">
        <v>0.2</v>
      </c>
      <c r="AF283" s="151" t="inlineStr">
        <is>
          <t>grams</t>
        </is>
      </c>
      <c r="AG283" s="151" t="n"/>
      <c r="AH283" s="151" t="n"/>
    </row>
    <row r="284">
      <c r="A284" s="151" t="inlineStr">
        <is>
          <t>FV0281A - Baja Salmon [DKSE]</t>
        </is>
      </c>
      <c r="B284" s="151" t="inlineStr">
        <is>
          <t>REC-014197-4-005</t>
        </is>
      </c>
      <c r="C284" s="151" t="inlineStr">
        <is>
          <t>Salmon - BAJA Salmon - Batch</t>
        </is>
      </c>
      <c r="D284" s="151" t="inlineStr">
        <is>
          <t>SUB-014053-4-001</t>
        </is>
      </c>
      <c r="E284" s="150" t="n">
        <v>1</v>
      </c>
      <c r="F284" s="151" t="inlineStr">
        <is>
          <t>each</t>
        </is>
      </c>
      <c r="G284" s="151" t="inlineStr">
        <is>
          <t>BLAST CHILLER, HAND MARINADE, OVEN, THAW</t>
        </is>
      </c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inlineStr">
        <is>
          <t>FA-DE Salmon, Skinless, Boneless, Filet/Lachs, ohne Haut, ohne Knochen, Filet - IQF</t>
        </is>
      </c>
      <c r="X284" s="151" t="inlineStr">
        <is>
          <t>PTN-00-139968-1</t>
        </is>
      </c>
      <c r="Y284" s="150" t="n">
        <v>140</v>
      </c>
      <c r="Z284" s="152" t="n">
        <v>140</v>
      </c>
      <c r="AA284" s="151" t="inlineStr">
        <is>
          <t>grams</t>
        </is>
      </c>
      <c r="AB284" s="151" t="inlineStr">
        <is>
          <t>FISCH</t>
        </is>
      </c>
      <c r="AC284" s="151" t="n"/>
      <c r="AD284" s="150" t="n">
        <v>0.79681</v>
      </c>
      <c r="AE284" s="152" t="n">
        <v>140</v>
      </c>
      <c r="AF284" s="151" t="inlineStr">
        <is>
          <t>grams</t>
        </is>
      </c>
      <c r="AG284" s="151" t="n"/>
      <c r="AH284" s="151" t="n"/>
    </row>
    <row r="285">
      <c r="A285" s="151" t="inlineStr">
        <is>
          <t>FV0281A - Baja Salmon [DKSE]</t>
        </is>
      </c>
      <c r="B285" s="151" t="inlineStr">
        <is>
          <t>REC-014197-4-005</t>
        </is>
      </c>
      <c r="C285" s="151" t="inlineStr">
        <is>
          <t>Compound butter - Chili-Garlic Butter - master batch</t>
        </is>
      </c>
      <c r="D285" s="151" t="inlineStr">
        <is>
          <t>SUB-014054-4-001</t>
        </is>
      </c>
      <c r="E285" s="150" t="n">
        <v>12</v>
      </c>
      <c r="F285" s="151" t="inlineStr">
        <is>
          <t>grams</t>
        </is>
      </c>
      <c r="G285" s="151" t="inlineStr">
        <is>
          <t>BLAST CHILLER, PLANETARY MIXER, SCOOPER (BUTTER)</t>
        </is>
      </c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inlineStr">
        <is>
          <t>FA-DE Spice, Minced Garlic, Toasted, Dry /Gewürz, gehackter Knoblauch, geröstet, trocken</t>
        </is>
      </c>
      <c r="X285" s="151" t="inlineStr">
        <is>
          <t>SPI-00-139367-5</t>
        </is>
      </c>
      <c r="Y285" s="151" t="inlineStr">
        <is>
          <t>0,42</t>
        </is>
      </c>
      <c r="Z285" s="149" t="inlineStr">
        <is>
          <t>0,42</t>
        </is>
      </c>
      <c r="AA285" s="151" t="inlineStr">
        <is>
          <t>grams</t>
        </is>
      </c>
      <c r="AB285" s="151" t="n"/>
      <c r="AC285" s="151" t="n"/>
      <c r="AD285" s="150" t="n">
        <v>0.97993</v>
      </c>
      <c r="AE285" s="149" t="n">
        <v>0.42</v>
      </c>
      <c r="AF285" s="151" t="inlineStr">
        <is>
          <t>grams</t>
        </is>
      </c>
      <c r="AG285" s="151" t="n"/>
      <c r="AH285" s="151" t="n"/>
    </row>
    <row r="286">
      <c r="A286" s="151" t="inlineStr">
        <is>
          <t>FV0281A - Baja Salmon [DKSE]</t>
        </is>
      </c>
      <c r="B286" s="151" t="inlineStr">
        <is>
          <t>REC-014197-4-005</t>
        </is>
      </c>
      <c r="C286" s="151" t="inlineStr">
        <is>
          <t>Compound butter - Chili-Garlic Butter - master batch</t>
        </is>
      </c>
      <c r="D286" s="151" t="inlineStr">
        <is>
          <t>SUB-014054-4-001</t>
        </is>
      </c>
      <c r="E286" s="150" t="n">
        <v>12</v>
      </c>
      <c r="F286" s="151" t="inlineStr">
        <is>
          <t>grams</t>
        </is>
      </c>
      <c r="G286" s="151" t="inlineStr">
        <is>
          <t>BLAST CHILLER, PLANETARY MIXER, SCOOPER (BUTTER)</t>
        </is>
      </c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inlineStr">
        <is>
          <t>FA-DE Spice, Gochugaru Chili Pepper Flakes /Gewürz, Gochugaru-Chili-Pfefferflocken</t>
        </is>
      </c>
      <c r="X286" s="151" t="inlineStr">
        <is>
          <t>SPI-00-139356-5</t>
        </is>
      </c>
      <c r="Y286" s="151" t="inlineStr">
        <is>
          <t>0,14</t>
        </is>
      </c>
      <c r="Z286" s="149" t="inlineStr">
        <is>
          <t>0,14</t>
        </is>
      </c>
      <c r="AA286" s="151" t="inlineStr">
        <is>
          <t>grams</t>
        </is>
      </c>
      <c r="AB286" s="151" t="n"/>
      <c r="AC286" s="151" t="n"/>
      <c r="AD286" s="150" t="n">
        <v>0.97993</v>
      </c>
      <c r="AE286" s="149" t="n">
        <v>0.14</v>
      </c>
      <c r="AF286" s="151" t="inlineStr">
        <is>
          <t>grams</t>
        </is>
      </c>
      <c r="AG286" s="151" t="n"/>
      <c r="AH286" s="151" t="n"/>
    </row>
    <row r="287">
      <c r="A287" s="151" t="inlineStr">
        <is>
          <t>FV0281A - Baja Salmon [DKSE]</t>
        </is>
      </c>
      <c r="B287" s="151" t="inlineStr">
        <is>
          <t>REC-014197-4-005</t>
        </is>
      </c>
      <c r="C287" s="151" t="inlineStr">
        <is>
          <t>Compound butter - Chili-Garlic Butter - master batch</t>
        </is>
      </c>
      <c r="D287" s="151" t="inlineStr">
        <is>
          <t>SUB-014054-4-001</t>
        </is>
      </c>
      <c r="E287" s="150" t="n">
        <v>12</v>
      </c>
      <c r="F287" s="151" t="inlineStr">
        <is>
          <t>grams</t>
        </is>
      </c>
      <c r="G287" s="151" t="inlineStr">
        <is>
          <t>BLAST CHILLER, PLANETARY MIXER, SCOOPER (BUTTER)</t>
        </is>
      </c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inlineStr">
        <is>
          <t>FA-DE Spice, Sea Salt /Gewürze, Meersalz</t>
        </is>
      </c>
      <c r="X287" s="151" t="inlineStr">
        <is>
          <t>SPI-00-139378-5</t>
        </is>
      </c>
      <c r="Y287" s="151" t="inlineStr">
        <is>
          <t>0,14</t>
        </is>
      </c>
      <c r="Z287" s="149" t="inlineStr">
        <is>
          <t>0,14</t>
        </is>
      </c>
      <c r="AA287" s="151" t="inlineStr">
        <is>
          <t>grams</t>
        </is>
      </c>
      <c r="AB287" s="151" t="n"/>
      <c r="AC287" s="151" t="n"/>
      <c r="AD287" s="150" t="n">
        <v>0.97993</v>
      </c>
      <c r="AE287" s="149" t="n">
        <v>0.14</v>
      </c>
      <c r="AF287" s="151" t="inlineStr">
        <is>
          <t>grams</t>
        </is>
      </c>
      <c r="AG287" s="151" t="n"/>
      <c r="AH287" s="151" t="n"/>
    </row>
    <row r="288">
      <c r="A288" s="151" t="inlineStr">
        <is>
          <t>FV0281A - Baja Salmon [DKSE]</t>
        </is>
      </c>
      <c r="B288" s="151" t="inlineStr">
        <is>
          <t>REC-014197-4-005</t>
        </is>
      </c>
      <c r="C288" s="151" t="inlineStr">
        <is>
          <t>Compound butter - Chili-Garlic Butter - master batch</t>
        </is>
      </c>
      <c r="D288" s="151" t="inlineStr">
        <is>
          <t>SUB-014054-4-001</t>
        </is>
      </c>
      <c r="E288" s="150" t="n">
        <v>12</v>
      </c>
      <c r="F288" s="151" t="inlineStr">
        <is>
          <t>grams</t>
        </is>
      </c>
      <c r="G288" s="151" t="inlineStr">
        <is>
          <t>BLAST CHILLER, PLANETARY MIXER, SCOOPER (BUTTER)</t>
        </is>
      </c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inlineStr">
        <is>
          <t>FA-DE Spice, Black Pepper, Ground /Gewürz, schwarzer Pfeffer, gemahlen</t>
        </is>
      </c>
      <c r="X288" s="151" t="inlineStr">
        <is>
          <t>SPI-00-139334-5</t>
        </is>
      </c>
      <c r="Y288" s="151" t="inlineStr">
        <is>
          <t>0,14</t>
        </is>
      </c>
      <c r="Z288" s="149" t="inlineStr">
        <is>
          <t>0,14</t>
        </is>
      </c>
      <c r="AA288" s="151" t="inlineStr">
        <is>
          <t>grams</t>
        </is>
      </c>
      <c r="AB288" s="151" t="n"/>
      <c r="AC288" s="151" t="n"/>
      <c r="AD288" s="150" t="n">
        <v>0.97993</v>
      </c>
      <c r="AE288" s="149" t="n">
        <v>0.14</v>
      </c>
      <c r="AF288" s="151" t="inlineStr">
        <is>
          <t>grams</t>
        </is>
      </c>
      <c r="AG288" s="151" t="n"/>
      <c r="AH288" s="151" t="n"/>
    </row>
    <row r="289">
      <c r="A289" s="151" t="inlineStr">
        <is>
          <t>FV0281A - Baja Salmon [DKSE]</t>
        </is>
      </c>
      <c r="B289" s="151" t="inlineStr">
        <is>
          <t>REC-014197-4-005</t>
        </is>
      </c>
      <c r="C289" s="151" t="inlineStr">
        <is>
          <t>Compound butter - Chili-Garlic Butter - master batch</t>
        </is>
      </c>
      <c r="D289" s="151" t="inlineStr">
        <is>
          <t>SUB-014054-4-001</t>
        </is>
      </c>
      <c r="E289" s="150" t="n">
        <v>12</v>
      </c>
      <c r="F289" s="151" t="inlineStr">
        <is>
          <t>grams</t>
        </is>
      </c>
      <c r="G289" s="151" t="inlineStr">
        <is>
          <t>BLAST CHILLER, PLANETARY MIXER, SCOOPER (BUTTER)</t>
        </is>
      </c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inlineStr">
        <is>
          <t>FA-DE Butter, Unsalted /Butter, ungesalzen</t>
        </is>
      </c>
      <c r="X289" s="151" t="inlineStr">
        <is>
          <t>DAI-00-139146-3</t>
        </is>
      </c>
      <c r="Y289" s="153" t="inlineStr">
        <is>
          <t>11,26</t>
        </is>
      </c>
      <c r="Z289" s="149" t="inlineStr">
        <is>
          <t>11,26</t>
        </is>
      </c>
      <c r="AA289" s="151" t="inlineStr">
        <is>
          <t>grams</t>
        </is>
      </c>
      <c r="AB289" s="151" t="inlineStr">
        <is>
          <t>MILCH (EINSCHLIESSLICH LAKTOSE)</t>
        </is>
      </c>
      <c r="AC289" s="151" t="n"/>
      <c r="AD289" s="150" t="n">
        <v>0.97993</v>
      </c>
      <c r="AE289" s="149" t="n">
        <v>11.26</v>
      </c>
      <c r="AF289" s="151" t="inlineStr">
        <is>
          <t>grams</t>
        </is>
      </c>
      <c r="AG289" s="151" t="n"/>
      <c r="AH289" s="151" t="n"/>
    </row>
    <row r="290">
      <c r="A290" s="151" t="inlineStr">
        <is>
          <t>FV0281A - Baja Salmon [DKSE]</t>
        </is>
      </c>
      <c r="B290" s="151" t="inlineStr">
        <is>
          <t>REC-014197-4-005</t>
        </is>
      </c>
      <c r="C290" s="151" t="inlineStr">
        <is>
          <t>Compound butter - Chili-Garlic Butter - master batch</t>
        </is>
      </c>
      <c r="D290" s="151" t="inlineStr">
        <is>
          <t>SUB-014054-4-001</t>
        </is>
      </c>
      <c r="E290" s="150" t="n">
        <v>12</v>
      </c>
      <c r="F290" s="151" t="inlineStr">
        <is>
          <t>grams</t>
        </is>
      </c>
      <c r="G290" s="151" t="inlineStr">
        <is>
          <t>BLAST CHILLER, PLANETARY MIXER, SCOOPER (BUTTER)</t>
        </is>
      </c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inlineStr">
        <is>
          <t>FA-DE Spice, Guajillo Peppers, Ground /Gewürze, Guajillo-Paprikaschoten, gemahlen</t>
        </is>
      </c>
      <c r="X290" s="151" t="inlineStr">
        <is>
          <t>SPI-00-139358-5</t>
        </is>
      </c>
      <c r="Y290" s="151" t="inlineStr">
        <is>
          <t>0,14</t>
        </is>
      </c>
      <c r="Z290" s="149" t="inlineStr">
        <is>
          <t>0,14</t>
        </is>
      </c>
      <c r="AA290" s="151" t="inlineStr">
        <is>
          <t>grams</t>
        </is>
      </c>
      <c r="AB290" s="151" t="n"/>
      <c r="AC290" s="151" t="n"/>
      <c r="AD290" s="150" t="n">
        <v>0.97993</v>
      </c>
      <c r="AE290" s="149" t="n">
        <v>0.14</v>
      </c>
      <c r="AF290" s="151" t="inlineStr">
        <is>
          <t>grams</t>
        </is>
      </c>
      <c r="AG290" s="151" t="n"/>
      <c r="AH290" s="151" t="n"/>
    </row>
    <row r="291">
      <c r="A291" s="151" t="inlineStr">
        <is>
          <t>FV0281A - Baja Salmon [DKSE]</t>
        </is>
      </c>
      <c r="B291" s="151" t="inlineStr">
        <is>
          <t>REC-014197-4-005</t>
        </is>
      </c>
      <c r="C291" s="151" t="inlineStr">
        <is>
          <t>Broccoli - S&amp;P Broccoli FLORETS - less salt</t>
        </is>
      </c>
      <c r="D291" s="151" t="inlineStr">
        <is>
          <t>SUB-013822-4-001</t>
        </is>
      </c>
      <c r="E291" s="150" t="n">
        <v>85</v>
      </c>
      <c r="F291" s="151" t="inlineStr">
        <is>
          <t>grams</t>
        </is>
      </c>
      <c r="G291" s="151" t="inlineStr">
        <is>
          <t>HAND MIX</t>
        </is>
      </c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inlineStr">
        <is>
          <t>FA-DE Broccoli, Florets, /Brokkoli, Röschen</t>
        </is>
      </c>
      <c r="X291" s="151" t="inlineStr">
        <is>
          <t>PHF-00-143425-3</t>
        </is>
      </c>
      <c r="Y291" s="151" t="inlineStr">
        <is>
          <t>103,24</t>
        </is>
      </c>
      <c r="Z291" s="149" t="inlineStr">
        <is>
          <t>103,24</t>
        </is>
      </c>
      <c r="AA291" s="151" t="inlineStr">
        <is>
          <t>grams</t>
        </is>
      </c>
      <c r="AB291" s="151" t="n"/>
      <c r="AC291" s="151" t="n"/>
      <c r="AD291" s="150" t="n">
        <v>0.75359</v>
      </c>
      <c r="AE291" s="149" t="n">
        <v>103.24</v>
      </c>
      <c r="AF291" s="151" t="inlineStr">
        <is>
          <t>grams</t>
        </is>
      </c>
      <c r="AG291" s="151" t="n"/>
      <c r="AH291" s="151" t="n"/>
    </row>
    <row r="292">
      <c r="A292" s="151" t="inlineStr">
        <is>
          <t>FV0281A - Baja Salmon [DKSE]</t>
        </is>
      </c>
      <c r="B292" s="151" t="inlineStr">
        <is>
          <t>REC-014197-4-005</t>
        </is>
      </c>
      <c r="C292" s="151" t="inlineStr">
        <is>
          <t>Broccoli - S&amp;P Broccoli FLORETS - less salt</t>
        </is>
      </c>
      <c r="D292" s="151" t="inlineStr">
        <is>
          <t>SUB-013822-4-001</t>
        </is>
      </c>
      <c r="E292" s="150" t="n">
        <v>85</v>
      </c>
      <c r="F292" s="151" t="inlineStr">
        <is>
          <t>grams</t>
        </is>
      </c>
      <c r="G292" s="151" t="inlineStr">
        <is>
          <t>HAND MIX</t>
        </is>
      </c>
      <c r="H292" s="151" t="inlineStr">
        <is>
          <t>Broccoli Marinade</t>
        </is>
      </c>
      <c r="I292" s="151" t="inlineStr">
        <is>
          <t>SUB-031970-4-001</t>
        </is>
      </c>
      <c r="J292" s="150" t="n">
        <v>9.550000000000001</v>
      </c>
      <c r="K292" s="151" t="inlineStr">
        <is>
          <t>grams</t>
        </is>
      </c>
      <c r="L292" s="151" t="inlineStr">
        <is>
          <t>IMMERSION BLENDER</t>
        </is>
      </c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inlineStr">
        <is>
          <t>FA-DE Spice, Sea Salt /Gewürze, Meersalz</t>
        </is>
      </c>
      <c r="X292" s="151" t="inlineStr">
        <is>
          <t>SPI-00-139378-5</t>
        </is>
      </c>
      <c r="Y292" s="151" t="inlineStr">
        <is>
          <t>0,38</t>
        </is>
      </c>
      <c r="Z292" s="149" t="inlineStr">
        <is>
          <t>0,38</t>
        </is>
      </c>
      <c r="AA292" s="151" t="inlineStr">
        <is>
          <t>grams</t>
        </is>
      </c>
      <c r="AB292" s="151" t="n"/>
      <c r="AC292" s="151" t="n"/>
      <c r="AD292" s="150" t="n">
        <v>0.97994</v>
      </c>
      <c r="AE292" s="149" t="n">
        <v>0.38</v>
      </c>
      <c r="AF292" s="151" t="inlineStr">
        <is>
          <t>grams</t>
        </is>
      </c>
      <c r="AG292" s="151" t="n"/>
      <c r="AH292" s="151" t="n"/>
    </row>
    <row r="293">
      <c r="A293" s="151" t="inlineStr">
        <is>
          <t>FV0281A - Baja Salmon [DKSE]</t>
        </is>
      </c>
      <c r="B293" s="151" t="inlineStr">
        <is>
          <t>REC-014197-4-005</t>
        </is>
      </c>
      <c r="C293" s="151" t="inlineStr">
        <is>
          <t>Broccoli - S&amp;P Broccoli FLORETS - less salt</t>
        </is>
      </c>
      <c r="D293" s="151" t="inlineStr">
        <is>
          <t>SUB-013822-4-001</t>
        </is>
      </c>
      <c r="E293" s="150" t="n">
        <v>85</v>
      </c>
      <c r="F293" s="151" t="inlineStr">
        <is>
          <t>grams</t>
        </is>
      </c>
      <c r="G293" s="151" t="inlineStr">
        <is>
          <t>HAND MIX</t>
        </is>
      </c>
      <c r="H293" s="151" t="inlineStr">
        <is>
          <t>Broccoli Marinade</t>
        </is>
      </c>
      <c r="I293" s="151" t="inlineStr">
        <is>
          <t>SUB-031970-4-001</t>
        </is>
      </c>
      <c r="J293" s="150" t="n">
        <v>9.550000000000001</v>
      </c>
      <c r="K293" s="151" t="inlineStr">
        <is>
          <t>grams</t>
        </is>
      </c>
      <c r="L293" s="151" t="inlineStr">
        <is>
          <t>IMMERSION BLENDER</t>
        </is>
      </c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inlineStr">
        <is>
          <t>FA-DE Oil, Olive /Öl, Olivenöl</t>
        </is>
      </c>
      <c r="X293" s="151" t="inlineStr">
        <is>
          <t>PRO-00-139277-5</t>
        </is>
      </c>
      <c r="Y293" s="151" t="inlineStr">
        <is>
          <t>8,67</t>
        </is>
      </c>
      <c r="Z293" s="149" t="inlineStr">
        <is>
          <t>8,67</t>
        </is>
      </c>
      <c r="AA293" s="151" t="inlineStr">
        <is>
          <t>grams</t>
        </is>
      </c>
      <c r="AB293" s="151" t="n"/>
      <c r="AC293" s="151" t="n"/>
      <c r="AD293" s="150" t="n">
        <v>0.97994</v>
      </c>
      <c r="AE293" s="149" t="n">
        <v>8.67</v>
      </c>
      <c r="AF293" s="151" t="inlineStr">
        <is>
          <t>grams</t>
        </is>
      </c>
      <c r="AG293" s="151" t="n"/>
      <c r="AH293" s="151" t="n"/>
    </row>
    <row r="294">
      <c r="A294" s="151" t="inlineStr">
        <is>
          <t>FV0281A - Baja Salmon [DKSE]</t>
        </is>
      </c>
      <c r="B294" s="151" t="inlineStr">
        <is>
          <t>REC-014197-4-005</t>
        </is>
      </c>
      <c r="C294" s="151" t="inlineStr">
        <is>
          <t>Broccoli - S&amp;P Broccoli FLORETS - less salt</t>
        </is>
      </c>
      <c r="D294" s="151" t="inlineStr">
        <is>
          <t>SUB-013822-4-001</t>
        </is>
      </c>
      <c r="E294" s="150" t="n">
        <v>85</v>
      </c>
      <c r="F294" s="151" t="inlineStr">
        <is>
          <t>grams</t>
        </is>
      </c>
      <c r="G294" s="151" t="inlineStr">
        <is>
          <t>HAND MIX</t>
        </is>
      </c>
      <c r="H294" s="151" t="inlineStr">
        <is>
          <t>Broccoli Marinade</t>
        </is>
      </c>
      <c r="I294" s="151" t="inlineStr">
        <is>
          <t>SUB-031970-4-001</t>
        </is>
      </c>
      <c r="J294" s="150" t="n">
        <v>9.550000000000001</v>
      </c>
      <c r="K294" s="151" t="inlineStr">
        <is>
          <t>grams</t>
        </is>
      </c>
      <c r="L294" s="151" t="inlineStr">
        <is>
          <t>IMMERSION BLENDER</t>
        </is>
      </c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inlineStr">
        <is>
          <t>FA-DE Spice, Garlic Powder, Toasted /Gewürz, Knoblauchpulver, geröstet</t>
        </is>
      </c>
      <c r="X294" s="151" t="inlineStr">
        <is>
          <t>SPI-00-139354-5</t>
        </is>
      </c>
      <c r="Y294" s="151" t="inlineStr">
        <is>
          <t>0,31</t>
        </is>
      </c>
      <c r="Z294" s="149" t="inlineStr">
        <is>
          <t>0,31</t>
        </is>
      </c>
      <c r="AA294" s="151" t="inlineStr">
        <is>
          <t>grams</t>
        </is>
      </c>
      <c r="AB294" s="151" t="n"/>
      <c r="AC294" s="151" t="n"/>
      <c r="AD294" s="150" t="n">
        <v>0.97994</v>
      </c>
      <c r="AE294" s="149" t="n">
        <v>0.31</v>
      </c>
      <c r="AF294" s="151" t="inlineStr">
        <is>
          <t>grams</t>
        </is>
      </c>
      <c r="AG294" s="151" t="n"/>
      <c r="AH294" s="151" t="n"/>
    </row>
    <row r="295">
      <c r="A295" s="151" t="inlineStr">
        <is>
          <t>FV0281A - Baja Salmon [DKSE]</t>
        </is>
      </c>
      <c r="B295" s="151" t="inlineStr">
        <is>
          <t>REC-014197-4-005</t>
        </is>
      </c>
      <c r="C295" s="151" t="inlineStr">
        <is>
          <t>Broccoli - S&amp;P Broccoli FLORETS - less salt</t>
        </is>
      </c>
      <c r="D295" s="151" t="inlineStr">
        <is>
          <t>SUB-013822-4-001</t>
        </is>
      </c>
      <c r="E295" s="150" t="n">
        <v>85</v>
      </c>
      <c r="F295" s="151" t="inlineStr">
        <is>
          <t>grams</t>
        </is>
      </c>
      <c r="G295" s="151" t="inlineStr">
        <is>
          <t>HAND MIX</t>
        </is>
      </c>
      <c r="H295" s="151" t="inlineStr">
        <is>
          <t>Broccoli Marinade</t>
        </is>
      </c>
      <c r="I295" s="151" t="inlineStr">
        <is>
          <t>SUB-031970-4-001</t>
        </is>
      </c>
      <c r="J295" s="150" t="n">
        <v>9.550000000000001</v>
      </c>
      <c r="K295" s="151" t="inlineStr">
        <is>
          <t>grams</t>
        </is>
      </c>
      <c r="L295" s="151" t="inlineStr">
        <is>
          <t>IMMERSION BLENDER</t>
        </is>
      </c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inlineStr">
        <is>
          <t>FA-DE Spice, Black Pepper, Ground /Gewürz, schwarzer Pfeffer, gemahlen</t>
        </is>
      </c>
      <c r="X295" s="151" t="inlineStr">
        <is>
          <t>SPI-00-139334-5</t>
        </is>
      </c>
      <c r="Y295" s="151" t="inlineStr">
        <is>
          <t>0,38</t>
        </is>
      </c>
      <c r="Z295" s="149" t="inlineStr">
        <is>
          <t>0,38</t>
        </is>
      </c>
      <c r="AA295" s="151" t="inlineStr">
        <is>
          <t>grams</t>
        </is>
      </c>
      <c r="AB295" s="151" t="n"/>
      <c r="AC295" s="151" t="n"/>
      <c r="AD295" s="150" t="n">
        <v>0.97994</v>
      </c>
      <c r="AE295" s="149" t="n">
        <v>0.38</v>
      </c>
      <c r="AF295" s="151" t="inlineStr">
        <is>
          <t>grams</t>
        </is>
      </c>
      <c r="AG295" s="151" t="n"/>
      <c r="AH295" s="151" t="n"/>
    </row>
    <row r="296">
      <c r="A296" s="151" t="inlineStr">
        <is>
          <t>FV0281A - Baja Salmon [DKSE]</t>
        </is>
      </c>
      <c r="B296" s="151" t="inlineStr">
        <is>
          <t>REC-014197-4-005</t>
        </is>
      </c>
      <c r="C296" s="151" t="inlineStr">
        <is>
          <t>Sauce - Cilantro Sour Cream</t>
        </is>
      </c>
      <c r="D296" s="151" t="inlineStr">
        <is>
          <t>SUB-013701-4-001</t>
        </is>
      </c>
      <c r="E296" s="150" t="n">
        <v>40</v>
      </c>
      <c r="F296" s="151" t="inlineStr">
        <is>
          <t>grams</t>
        </is>
      </c>
      <c r="G296" s="151" t="inlineStr">
        <is>
          <t>CUPPING, IMMERSION BLENDER</t>
        </is>
      </c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inlineStr">
        <is>
          <t>FA-DE Spice, Sea Salt /Gewürze, Meersalz</t>
        </is>
      </c>
      <c r="X296" s="151" t="inlineStr">
        <is>
          <t>SPI-00-139378-5</t>
        </is>
      </c>
      <c r="Y296" s="151" t="inlineStr">
        <is>
          <t>0,29</t>
        </is>
      </c>
      <c r="Z296" s="149" t="inlineStr">
        <is>
          <t>0,29</t>
        </is>
      </c>
      <c r="AA296" s="151" t="inlineStr">
        <is>
          <t>grams</t>
        </is>
      </c>
      <c r="AB296" s="151" t="n"/>
      <c r="AC296" s="151" t="n"/>
      <c r="AD296" s="150" t="n">
        <v>0.98001</v>
      </c>
      <c r="AE296" s="149" t="n">
        <v>0.29</v>
      </c>
      <c r="AF296" s="151" t="inlineStr">
        <is>
          <t>grams</t>
        </is>
      </c>
      <c r="AG296" s="151" t="n"/>
      <c r="AH296" s="151" t="n"/>
    </row>
    <row r="297">
      <c r="A297" s="151" t="inlineStr">
        <is>
          <t>FV0281A - Baja Salmon [DKSE]</t>
        </is>
      </c>
      <c r="B297" s="151" t="inlineStr">
        <is>
          <t>REC-014197-4-005</t>
        </is>
      </c>
      <c r="C297" s="151" t="inlineStr">
        <is>
          <t>Sauce - Cilantro Sour Cream</t>
        </is>
      </c>
      <c r="D297" s="151" t="inlineStr">
        <is>
          <t>SUB-013701-4-001</t>
        </is>
      </c>
      <c r="E297" s="150" t="n">
        <v>40</v>
      </c>
      <c r="F297" s="151" t="inlineStr">
        <is>
          <t>grams</t>
        </is>
      </c>
      <c r="G297" s="151" t="inlineStr">
        <is>
          <t>CUPPING, IMMERSION BLENDER</t>
        </is>
      </c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inlineStr">
        <is>
          <t>FA-DE Jalapeno Peppers, Diced 5mm /Jalapeno-Paprikaschoten, gewürfelt, 5 mm</t>
        </is>
      </c>
      <c r="X297" s="151" t="inlineStr">
        <is>
          <t>PHF-00-139201-3</t>
        </is>
      </c>
      <c r="Y297" s="151" t="inlineStr">
        <is>
          <t>1,49</t>
        </is>
      </c>
      <c r="Z297" s="149" t="inlineStr">
        <is>
          <t>1,49</t>
        </is>
      </c>
      <c r="AA297" s="151" t="inlineStr">
        <is>
          <t>grams</t>
        </is>
      </c>
      <c r="AB297" s="151" t="n"/>
      <c r="AC297" s="151" t="n"/>
      <c r="AD297" s="150" t="n">
        <v>0.98001</v>
      </c>
      <c r="AE297" s="149" t="n">
        <v>1.49</v>
      </c>
      <c r="AF297" s="151" t="inlineStr">
        <is>
          <t>grams</t>
        </is>
      </c>
      <c r="AG297" s="151" t="n"/>
      <c r="AH297" s="151" t="n"/>
    </row>
    <row r="298">
      <c r="A298" s="151" t="inlineStr">
        <is>
          <t>FV0281A - Baja Salmon [DKSE]</t>
        </is>
      </c>
      <c r="B298" s="151" t="inlineStr">
        <is>
          <t>REC-014197-4-005</t>
        </is>
      </c>
      <c r="C298" s="151" t="inlineStr">
        <is>
          <t>Sauce - Cilantro Sour Cream</t>
        </is>
      </c>
      <c r="D298" s="151" t="inlineStr">
        <is>
          <t>SUB-013701-4-001</t>
        </is>
      </c>
      <c r="E298" s="150" t="n">
        <v>40</v>
      </c>
      <c r="F298" s="151" t="inlineStr">
        <is>
          <t>grams</t>
        </is>
      </c>
      <c r="G298" s="151" t="inlineStr">
        <is>
          <t>CUPPING, IMMERSION BLENDER</t>
        </is>
      </c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inlineStr">
        <is>
          <t>FA-DE Juice, Lime /Saft, Limette</t>
        </is>
      </c>
      <c r="X298" s="151" t="inlineStr">
        <is>
          <t>PRO-00-139268-5</t>
        </is>
      </c>
      <c r="Y298" s="151" t="inlineStr">
        <is>
          <t>1,49</t>
        </is>
      </c>
      <c r="Z298" s="149" t="inlineStr">
        <is>
          <t>1,49</t>
        </is>
      </c>
      <c r="AA298" s="151" t="inlineStr">
        <is>
          <t>grams</t>
        </is>
      </c>
      <c r="AB298" s="151" t="n"/>
      <c r="AC298" s="151" t="n"/>
      <c r="AD298" s="150" t="n">
        <v>0.98001</v>
      </c>
      <c r="AE298" s="149" t="n">
        <v>1.49</v>
      </c>
      <c r="AF298" s="151" t="inlineStr">
        <is>
          <t>grams</t>
        </is>
      </c>
      <c r="AG298" s="151" t="n"/>
      <c r="AH298" s="151" t="n"/>
    </row>
    <row r="299">
      <c r="A299" s="151" t="inlineStr">
        <is>
          <t>FV0281A - Baja Salmon [DKSE]</t>
        </is>
      </c>
      <c r="B299" s="151" t="inlineStr">
        <is>
          <t>REC-014197-4-005</t>
        </is>
      </c>
      <c r="C299" s="151" t="inlineStr">
        <is>
          <t>Sauce - Cilantro Sour Cream</t>
        </is>
      </c>
      <c r="D299" s="151" t="inlineStr">
        <is>
          <t>SUB-013701-4-001</t>
        </is>
      </c>
      <c r="E299" s="150" t="n">
        <v>40</v>
      </c>
      <c r="F299" s="151" t="inlineStr">
        <is>
          <t>grams</t>
        </is>
      </c>
      <c r="G299" s="151" t="inlineStr">
        <is>
          <t>CUPPING, IMMERSION BLENDER</t>
        </is>
      </c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inlineStr">
        <is>
          <t>FA-DE Garlic, Peeled, Whole Cloves [10kg] /Knoblauch, geschält, ganze Nelken [10kg]</t>
        </is>
      </c>
      <c r="X299" s="151" t="inlineStr">
        <is>
          <t>PHF-00-139197-3</t>
        </is>
      </c>
      <c r="Y299" s="151" t="inlineStr">
        <is>
          <t>0,29</t>
        </is>
      </c>
      <c r="Z299" s="149" t="inlineStr">
        <is>
          <t>0,29</t>
        </is>
      </c>
      <c r="AA299" s="151" t="inlineStr">
        <is>
          <t>grams</t>
        </is>
      </c>
      <c r="AB299" s="151" t="n"/>
      <c r="AC299" s="151" t="n"/>
      <c r="AD299" s="150" t="n">
        <v>0.98001</v>
      </c>
      <c r="AE299" s="149" t="n">
        <v>0.29</v>
      </c>
      <c r="AF299" s="151" t="inlineStr">
        <is>
          <t>grams</t>
        </is>
      </c>
      <c r="AG299" s="151" t="n"/>
      <c r="AH299" s="151" t="n"/>
    </row>
    <row r="300">
      <c r="A300" s="151" t="inlineStr">
        <is>
          <t>FV0281A - Baja Salmon [DKSE]</t>
        </is>
      </c>
      <c r="B300" s="151" t="inlineStr">
        <is>
          <t>REC-014197-4-005</t>
        </is>
      </c>
      <c r="C300" s="151" t="inlineStr">
        <is>
          <t>Sauce - Cilantro Sour Cream</t>
        </is>
      </c>
      <c r="D300" s="151" t="inlineStr">
        <is>
          <t>SUB-013701-4-001</t>
        </is>
      </c>
      <c r="E300" s="150" t="n">
        <v>40</v>
      </c>
      <c r="F300" s="151" t="inlineStr">
        <is>
          <t>grams</t>
        </is>
      </c>
      <c r="G300" s="151" t="inlineStr">
        <is>
          <t>CUPPING, IMMERSION BLENDER</t>
        </is>
      </c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inlineStr">
        <is>
          <t>FA-DE Sour Cream /Sauerrahm</t>
        </is>
      </c>
      <c r="X300" s="151" t="inlineStr">
        <is>
          <t>DAI-00-139141-3</t>
        </is>
      </c>
      <c r="Y300" s="151" t="inlineStr">
        <is>
          <t>29,81</t>
        </is>
      </c>
      <c r="Z300" s="149" t="inlineStr">
        <is>
          <t>29,81</t>
        </is>
      </c>
      <c r="AA300" s="151" t="inlineStr">
        <is>
          <t>grams</t>
        </is>
      </c>
      <c r="AB300" s="151" t="inlineStr">
        <is>
          <t>MILCH (EINSCHLIESSLICH LAKTOSE)</t>
        </is>
      </c>
      <c r="AC300" s="151" t="n"/>
      <c r="AD300" s="150" t="n">
        <v>0.98001</v>
      </c>
      <c r="AE300" s="149" t="n">
        <v>29.81</v>
      </c>
      <c r="AF300" s="151" t="inlineStr">
        <is>
          <t>grams</t>
        </is>
      </c>
      <c r="AG300" s="151" t="n"/>
      <c r="AH300" s="151" t="n"/>
    </row>
    <row r="301">
      <c r="A301" s="151" t="inlineStr">
        <is>
          <t>FV0281A - Baja Salmon [DKSE]</t>
        </is>
      </c>
      <c r="B301" s="151" t="inlineStr">
        <is>
          <t>REC-014197-4-005</t>
        </is>
      </c>
      <c r="C301" s="151" t="inlineStr">
        <is>
          <t>Sauce - Cilantro Sour Cream</t>
        </is>
      </c>
      <c r="D301" s="151" t="inlineStr">
        <is>
          <t>SUB-013701-4-001</t>
        </is>
      </c>
      <c r="E301" s="150" t="n">
        <v>40</v>
      </c>
      <c r="F301" s="151" t="inlineStr">
        <is>
          <t>grams</t>
        </is>
      </c>
      <c r="G301" s="151" t="inlineStr">
        <is>
          <t>CUPPING, IMMERSION BLENDER</t>
        </is>
      </c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inlineStr">
        <is>
          <t>FA-DE Coriander, Chopped /Koriander, gehackt</t>
        </is>
      </c>
      <c r="X301" s="151" t="inlineStr">
        <is>
          <t>PHF-00-139192-3</t>
        </is>
      </c>
      <c r="Y301" s="151" t="inlineStr">
        <is>
          <t>7,45</t>
        </is>
      </c>
      <c r="Z301" s="149" t="inlineStr">
        <is>
          <t>7,45</t>
        </is>
      </c>
      <c r="AA301" s="151" t="inlineStr">
        <is>
          <t>grams</t>
        </is>
      </c>
      <c r="AB301" s="151" t="n"/>
      <c r="AC301" s="151" t="n"/>
      <c r="AD301" s="150" t="n">
        <v>0.98001</v>
      </c>
      <c r="AE301" s="149" t="n">
        <v>7.45</v>
      </c>
      <c r="AF301" s="151" t="inlineStr">
        <is>
          <t>grams</t>
        </is>
      </c>
      <c r="AG301" s="151" t="n"/>
      <c r="AH301" s="151" t="n"/>
    </row>
    <row r="302">
      <c r="A302" s="151" t="inlineStr">
        <is>
          <t>FV0333A - Tuscan Shrimp [BNL]</t>
        </is>
      </c>
      <c r="B302" s="151" t="inlineStr">
        <is>
          <t>REC-013835-4-004</t>
        </is>
      </c>
      <c r="C302" s="151" t="inlineStr">
        <is>
          <t>Creamed Kale - Cream Cheese</t>
        </is>
      </c>
      <c r="D302" s="151" t="inlineStr">
        <is>
          <t>SUB-013834-4-001</t>
        </is>
      </c>
      <c r="E302" s="150" t="n">
        <v>100</v>
      </c>
      <c r="F302" s="151" t="inlineStr">
        <is>
          <t>grams</t>
        </is>
      </c>
      <c r="G302" s="151" t="inlineStr">
        <is>
          <t>BLAST CHILLER, BRAISER, SPICE PORTIONING</t>
        </is>
      </c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inlineStr">
        <is>
          <t>FA-DE Milk, Whole /Milch, voll</t>
        </is>
      </c>
      <c r="X302" s="151" t="inlineStr">
        <is>
          <t>DAI-00-139142-3</t>
        </is>
      </c>
      <c r="Y302" s="151" t="inlineStr">
        <is>
          <t>3,86</t>
        </is>
      </c>
      <c r="Z302" s="149" t="inlineStr">
        <is>
          <t>3,86</t>
        </is>
      </c>
      <c r="AA302" s="151" t="inlineStr">
        <is>
          <t>grams</t>
        </is>
      </c>
      <c r="AB302" s="151" t="inlineStr">
        <is>
          <t>MILCH (EINSCHLIESSLICH LAKTOSE)</t>
        </is>
      </c>
      <c r="AC302" s="151" t="n"/>
      <c r="AD302" s="150" t="n">
        <v>0.9522699999999999</v>
      </c>
      <c r="AE302" s="149" t="n">
        <v>3.86</v>
      </c>
      <c r="AF302" s="151" t="inlineStr">
        <is>
          <t>grams</t>
        </is>
      </c>
      <c r="AG302" s="151" t="n"/>
      <c r="AH302" s="151" t="n"/>
    </row>
    <row r="303">
      <c r="A303" s="151" t="inlineStr">
        <is>
          <t>FV0333A - Tuscan Shrimp [BNL]</t>
        </is>
      </c>
      <c r="B303" s="151" t="inlineStr">
        <is>
          <t>REC-013835-4-004</t>
        </is>
      </c>
      <c r="C303" s="151" t="inlineStr">
        <is>
          <t>Creamed Kale - Cream Cheese</t>
        </is>
      </c>
      <c r="D303" s="151" t="inlineStr">
        <is>
          <t>SUB-013834-4-001</t>
        </is>
      </c>
      <c r="E303" s="150" t="n">
        <v>100</v>
      </c>
      <c r="F303" s="151" t="inlineStr">
        <is>
          <t>grams</t>
        </is>
      </c>
      <c r="G303" s="151" t="inlineStr">
        <is>
          <t>BLAST CHILLER, BRAISER, SPICE PORTIONING</t>
        </is>
      </c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inlineStr">
        <is>
          <t>FA-DE Heavy Cream 20% /Sahne 20%</t>
        </is>
      </c>
      <c r="X303" s="151" t="inlineStr">
        <is>
          <t>DAI-00-139137-3</t>
        </is>
      </c>
      <c r="Y303" s="151" t="inlineStr">
        <is>
          <t>47,58</t>
        </is>
      </c>
      <c r="Z303" s="149" t="inlineStr">
        <is>
          <t>47,58</t>
        </is>
      </c>
      <c r="AA303" s="151" t="inlineStr">
        <is>
          <t>grams</t>
        </is>
      </c>
      <c r="AB303" s="151" t="inlineStr">
        <is>
          <t>MILCH (EINSCHLIESSLICH LAKTOSE)</t>
        </is>
      </c>
      <c r="AC303" s="151" t="n"/>
      <c r="AD303" s="150" t="n">
        <v>0.9522699999999999</v>
      </c>
      <c r="AE303" s="149" t="n">
        <v>47.58</v>
      </c>
      <c r="AF303" s="151" t="inlineStr">
        <is>
          <t>grams</t>
        </is>
      </c>
      <c r="AG303" s="151" t="n"/>
      <c r="AH303" s="151" t="n"/>
    </row>
    <row r="304">
      <c r="A304" s="151" t="inlineStr">
        <is>
          <t>FV0333A - Tuscan Shrimp [BNL]</t>
        </is>
      </c>
      <c r="B304" s="151" t="inlineStr">
        <is>
          <t>REC-013835-4-004</t>
        </is>
      </c>
      <c r="C304" s="151" t="inlineStr">
        <is>
          <t>Creamed Kale - Cream Cheese</t>
        </is>
      </c>
      <c r="D304" s="151" t="inlineStr">
        <is>
          <t>SUB-013834-4-001</t>
        </is>
      </c>
      <c r="E304" s="150" t="n">
        <v>100</v>
      </c>
      <c r="F304" s="151" t="inlineStr">
        <is>
          <t>grams</t>
        </is>
      </c>
      <c r="G304" s="151" t="inlineStr">
        <is>
          <t>BLAST CHILLER, BRAISER, SPICE PORTIONING</t>
        </is>
      </c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inlineStr">
        <is>
          <t>FA-DE Spice, White Pepper /Gewürz, weißer Pfeffer</t>
        </is>
      </c>
      <c r="X304" s="151" t="inlineStr">
        <is>
          <t>SPI-00-139387-5</t>
        </is>
      </c>
      <c r="Y304" s="151" t="inlineStr">
        <is>
          <t>0,07</t>
        </is>
      </c>
      <c r="Z304" s="149" t="inlineStr">
        <is>
          <t>0,07</t>
        </is>
      </c>
      <c r="AA304" s="151" t="inlineStr">
        <is>
          <t>grams</t>
        </is>
      </c>
      <c r="AB304" s="151" t="n"/>
      <c r="AC304" s="151" t="n"/>
      <c r="AD304" s="150" t="n">
        <v>0.9522699999999999</v>
      </c>
      <c r="AE304" s="149" t="n">
        <v>0.07000000000000001</v>
      </c>
      <c r="AF304" s="151" t="inlineStr">
        <is>
          <t>grams</t>
        </is>
      </c>
      <c r="AG304" s="151" t="n"/>
      <c r="AH304" s="151" t="n"/>
    </row>
    <row r="305">
      <c r="A305" s="151" t="inlineStr">
        <is>
          <t>FV0333A - Tuscan Shrimp [BNL]</t>
        </is>
      </c>
      <c r="B305" s="151" t="inlineStr">
        <is>
          <t>REC-013835-4-004</t>
        </is>
      </c>
      <c r="C305" s="151" t="inlineStr">
        <is>
          <t>Creamed Kale - Cream Cheese</t>
        </is>
      </c>
      <c r="D305" s="151" t="inlineStr">
        <is>
          <t>SUB-013834-4-001</t>
        </is>
      </c>
      <c r="E305" s="150" t="n">
        <v>100</v>
      </c>
      <c r="F305" s="151" t="inlineStr">
        <is>
          <t>grams</t>
        </is>
      </c>
      <c r="G305" s="151" t="inlineStr">
        <is>
          <t>BLAST CHILLER, BRAISER, SPICE PORTIONING</t>
        </is>
      </c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inlineStr">
        <is>
          <t>FA-DE Cheese, Cream, 13% Fat (Milk) /Käse, Sahne, 13% Fett</t>
        </is>
      </c>
      <c r="X305" s="151" t="inlineStr">
        <is>
          <t>DAI-00-139122-3</t>
        </is>
      </c>
      <c r="Y305" s="151" t="inlineStr">
        <is>
          <t>7,72</t>
        </is>
      </c>
      <c r="Z305" s="149" t="inlineStr">
        <is>
          <t>7,72</t>
        </is>
      </c>
      <c r="AA305" s="151" t="inlineStr">
        <is>
          <t>grams</t>
        </is>
      </c>
      <c r="AB305" s="151" t="inlineStr">
        <is>
          <t>MILCH (EINSCHLIESSLICH LAKTOSE)</t>
        </is>
      </c>
      <c r="AC305" s="151" t="n"/>
      <c r="AD305" s="150" t="n">
        <v>0.9522699999999999</v>
      </c>
      <c r="AE305" s="149" t="n">
        <v>7.72</v>
      </c>
      <c r="AF305" s="151" t="inlineStr">
        <is>
          <t>grams</t>
        </is>
      </c>
      <c r="AG305" s="151" t="n"/>
      <c r="AH305" s="151" t="n"/>
    </row>
    <row r="306">
      <c r="A306" s="151" t="inlineStr">
        <is>
          <t>FV0333A - Tuscan Shrimp [BNL]</t>
        </is>
      </c>
      <c r="B306" s="151" t="inlineStr">
        <is>
          <t>REC-013835-4-004</t>
        </is>
      </c>
      <c r="C306" s="151" t="inlineStr">
        <is>
          <t>Creamed Kale - Cream Cheese</t>
        </is>
      </c>
      <c r="D306" s="151" t="inlineStr">
        <is>
          <t>SUB-013834-4-001</t>
        </is>
      </c>
      <c r="E306" s="150" t="n">
        <v>100</v>
      </c>
      <c r="F306" s="151" t="inlineStr">
        <is>
          <t>grams</t>
        </is>
      </c>
      <c r="G306" s="151" t="inlineStr">
        <is>
          <t>BLAST CHILLER, BRAISER, SPICE PORTIONING</t>
        </is>
      </c>
      <c r="H306" s="151" t="inlineStr">
        <is>
          <t>Steamed Kale - 1/2"diced</t>
        </is>
      </c>
      <c r="I306" s="151" t="inlineStr">
        <is>
          <t>SUB-013786-4-001</t>
        </is>
      </c>
      <c r="J306" s="150" t="n">
        <v>24.72</v>
      </c>
      <c r="K306" s="151" t="inlineStr">
        <is>
          <t>grams</t>
        </is>
      </c>
      <c r="L306" s="151" t="inlineStr">
        <is>
          <t>BLAST CHILLER, OVEN</t>
        </is>
      </c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inlineStr">
        <is>
          <t>FA-DE Kale, Shredded 5mm /Grünkohl, geschreddert, 5 mm</t>
        </is>
      </c>
      <c r="X306" s="151" t="inlineStr">
        <is>
          <t>PHF-00-139203-3</t>
        </is>
      </c>
      <c r="Y306" s="151" t="inlineStr">
        <is>
          <t>26,16</t>
        </is>
      </c>
      <c r="Z306" s="149" t="inlineStr">
        <is>
          <t>26,16</t>
        </is>
      </c>
      <c r="AA306" s="151" t="inlineStr">
        <is>
          <t>grams</t>
        </is>
      </c>
      <c r="AB306" s="151" t="n"/>
      <c r="AC306" s="151" t="n"/>
      <c r="AD306" s="150" t="n">
        <v>0.94493</v>
      </c>
      <c r="AE306" s="149" t="n">
        <v>26.16</v>
      </c>
      <c r="AF306" s="151" t="inlineStr">
        <is>
          <t>grams</t>
        </is>
      </c>
      <c r="AG306" s="151" t="n"/>
      <c r="AH306" s="151" t="n"/>
    </row>
    <row r="307">
      <c r="A307" s="151" t="inlineStr">
        <is>
          <t>FV0333A - Tuscan Shrimp [BNL]</t>
        </is>
      </c>
      <c r="B307" s="151" t="inlineStr">
        <is>
          <t>REC-013835-4-004</t>
        </is>
      </c>
      <c r="C307" s="151" t="inlineStr">
        <is>
          <t>Creamed Kale - Cream Cheese</t>
        </is>
      </c>
      <c r="D307" s="151" t="inlineStr">
        <is>
          <t>SUB-013834-4-001</t>
        </is>
      </c>
      <c r="E307" s="150" t="n">
        <v>100</v>
      </c>
      <c r="F307" s="151" t="inlineStr">
        <is>
          <t>grams</t>
        </is>
      </c>
      <c r="G307" s="151" t="inlineStr">
        <is>
          <t>BLAST CHILLER, BRAISER, SPICE PORTIONING</t>
        </is>
      </c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inlineStr">
        <is>
          <t>FA-DE Spice, Sea Salt /Gewürze, Meersalz</t>
        </is>
      </c>
      <c r="X307" s="151" t="inlineStr">
        <is>
          <t>SPI-00-139378-5</t>
        </is>
      </c>
      <c r="Y307" s="151" t="inlineStr">
        <is>
          <t>0,6</t>
        </is>
      </c>
      <c r="Z307" s="149" t="inlineStr">
        <is>
          <t>0,6</t>
        </is>
      </c>
      <c r="AA307" s="151" t="inlineStr">
        <is>
          <t>grams</t>
        </is>
      </c>
      <c r="AB307" s="151" t="n"/>
      <c r="AC307" s="151" t="n"/>
      <c r="AD307" s="150" t="n">
        <v>0.9522699999999999</v>
      </c>
      <c r="AE307" s="149" t="n">
        <v>0.6</v>
      </c>
      <c r="AF307" s="151" t="inlineStr">
        <is>
          <t>grams</t>
        </is>
      </c>
      <c r="AG307" s="151" t="n"/>
      <c r="AH307" s="151" t="n"/>
    </row>
    <row r="308">
      <c r="A308" s="151" t="inlineStr">
        <is>
          <t>FV0333A - Tuscan Shrimp [BNL]</t>
        </is>
      </c>
      <c r="B308" s="151" t="inlineStr">
        <is>
          <t>REC-013835-4-004</t>
        </is>
      </c>
      <c r="C308" s="151" t="inlineStr">
        <is>
          <t>Creamed Kale - Cream Cheese</t>
        </is>
      </c>
      <c r="D308" s="151" t="inlineStr">
        <is>
          <t>SUB-013834-4-001</t>
        </is>
      </c>
      <c r="E308" s="150" t="n">
        <v>100</v>
      </c>
      <c r="F308" s="151" t="inlineStr">
        <is>
          <t>grams</t>
        </is>
      </c>
      <c r="G308" s="151" t="inlineStr">
        <is>
          <t>BLAST CHILLER, BRAISER, SPICE PORTIONING</t>
        </is>
      </c>
      <c r="H308" s="151" t="inlineStr">
        <is>
          <t>Roasted Onions/Garlic</t>
        </is>
      </c>
      <c r="I308" s="151" t="inlineStr">
        <is>
          <t>SUB-013787-4-001</t>
        </is>
      </c>
      <c r="J308" s="157" t="n">
        <v>13.9</v>
      </c>
      <c r="K308" s="151" t="inlineStr">
        <is>
          <t>grams</t>
        </is>
      </c>
      <c r="L308" s="151" t="inlineStr">
        <is>
          <t>BLAST CHILLER, OVEN</t>
        </is>
      </c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inlineStr">
        <is>
          <t>FA-DE Onion, Spanish, Diced 5mm /Zwiebel, Spanisch, gewürfelt 5 mm</t>
        </is>
      </c>
      <c r="X308" s="151" t="inlineStr">
        <is>
          <t>PHF-00-139212-3</t>
        </is>
      </c>
      <c r="Y308" s="151" t="inlineStr">
        <is>
          <t>9,65</t>
        </is>
      </c>
      <c r="Z308" s="149" t="inlineStr">
        <is>
          <t>9,65</t>
        </is>
      </c>
      <c r="AA308" s="151" t="inlineStr">
        <is>
          <t>grams</t>
        </is>
      </c>
      <c r="AB308" s="151" t="n"/>
      <c r="AC308" s="151" t="n"/>
      <c r="AD308" s="150" t="n">
        <v>0.85798</v>
      </c>
      <c r="AE308" s="149" t="n">
        <v>9.65</v>
      </c>
      <c r="AF308" s="151" t="inlineStr">
        <is>
          <t>grams</t>
        </is>
      </c>
      <c r="AG308" s="151" t="n"/>
      <c r="AH308" s="151" t="n"/>
    </row>
    <row r="309">
      <c r="A309" s="151" t="inlineStr">
        <is>
          <t>FV0333A - Tuscan Shrimp [BNL]</t>
        </is>
      </c>
      <c r="B309" s="151" t="inlineStr">
        <is>
          <t>REC-013835-4-004</t>
        </is>
      </c>
      <c r="C309" s="151" t="inlineStr">
        <is>
          <t>Creamed Kale - Cream Cheese</t>
        </is>
      </c>
      <c r="D309" s="151" t="inlineStr">
        <is>
          <t>SUB-013834-4-001</t>
        </is>
      </c>
      <c r="E309" s="150" t="n">
        <v>100</v>
      </c>
      <c r="F309" s="151" t="inlineStr">
        <is>
          <t>grams</t>
        </is>
      </c>
      <c r="G309" s="151" t="inlineStr">
        <is>
          <t>BLAST CHILLER, BRAISER, SPICE PORTIONING</t>
        </is>
      </c>
      <c r="H309" s="151" t="inlineStr">
        <is>
          <t>Roasted Onions/Garlic</t>
        </is>
      </c>
      <c r="I309" s="151" t="inlineStr">
        <is>
          <t>SUB-013787-4-001</t>
        </is>
      </c>
      <c r="J309" s="157" t="n">
        <v>13.9</v>
      </c>
      <c r="K309" s="151" t="inlineStr">
        <is>
          <t>grams</t>
        </is>
      </c>
      <c r="L309" s="151" t="inlineStr">
        <is>
          <t>BLAST CHILLER, OVEN</t>
        </is>
      </c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inlineStr">
        <is>
          <t>FA-DE Garlic, IQF, Diced 4 mm /Knoblauch, IQF, gewürfelt 4 mm</t>
        </is>
      </c>
      <c r="X309" s="151" t="inlineStr">
        <is>
          <t>PHF-00-139237-1</t>
        </is>
      </c>
      <c r="Y309" s="151" t="inlineStr">
        <is>
          <t>3,85</t>
        </is>
      </c>
      <c r="Z309" s="149" t="inlineStr">
        <is>
          <t>3,85</t>
        </is>
      </c>
      <c r="AA309" s="151" t="inlineStr">
        <is>
          <t>grams</t>
        </is>
      </c>
      <c r="AB309" s="151" t="inlineStr">
        <is>
          <t>SCHWEFELDIOXIDE UND SULFITE</t>
        </is>
      </c>
      <c r="AC309" s="151" t="n"/>
      <c r="AD309" s="150" t="n">
        <v>0.85798</v>
      </c>
      <c r="AE309" s="149" t="n">
        <v>3.85</v>
      </c>
      <c r="AF309" s="151" t="inlineStr">
        <is>
          <t>grams</t>
        </is>
      </c>
      <c r="AG309" s="151" t="n"/>
      <c r="AH309" s="151" t="n"/>
    </row>
    <row r="310">
      <c r="A310" s="151" t="inlineStr">
        <is>
          <t>FV0333A - Tuscan Shrimp [BNL]</t>
        </is>
      </c>
      <c r="B310" s="151" t="inlineStr">
        <is>
          <t>REC-013835-4-004</t>
        </is>
      </c>
      <c r="C310" s="151" t="inlineStr">
        <is>
          <t>Creamed Kale - Cream Cheese</t>
        </is>
      </c>
      <c r="D310" s="151" t="inlineStr">
        <is>
          <t>SUB-013834-4-001</t>
        </is>
      </c>
      <c r="E310" s="150" t="n">
        <v>100</v>
      </c>
      <c r="F310" s="151" t="inlineStr">
        <is>
          <t>grams</t>
        </is>
      </c>
      <c r="G310" s="151" t="inlineStr">
        <is>
          <t>BLAST CHILLER, BRAISER, SPICE PORTIONING</t>
        </is>
      </c>
      <c r="H310" s="151" t="inlineStr">
        <is>
          <t>Roasted Onions/Garlic</t>
        </is>
      </c>
      <c r="I310" s="151" t="inlineStr">
        <is>
          <t>SUB-013787-4-001</t>
        </is>
      </c>
      <c r="J310" s="157" t="n">
        <v>13.9</v>
      </c>
      <c r="K310" s="151" t="inlineStr">
        <is>
          <t>grams</t>
        </is>
      </c>
      <c r="L310" s="151" t="inlineStr">
        <is>
          <t>BLAST CHILLER, OVEN</t>
        </is>
      </c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inlineStr">
        <is>
          <t>FA-DE Oil, Olive /Öl, Olivenöl</t>
        </is>
      </c>
      <c r="X310" s="151" t="inlineStr">
        <is>
          <t>PRO-00-139277-5</t>
        </is>
      </c>
      <c r="Y310" s="154" t="inlineStr">
        <is>
          <t>2,7</t>
        </is>
      </c>
      <c r="Z310" s="149" t="inlineStr">
        <is>
          <t>2,7</t>
        </is>
      </c>
      <c r="AA310" s="151" t="inlineStr">
        <is>
          <t>grams</t>
        </is>
      </c>
      <c r="AB310" s="151" t="n"/>
      <c r="AC310" s="151" t="n"/>
      <c r="AD310" s="150" t="n">
        <v>0.85798</v>
      </c>
      <c r="AE310" s="149" t="n">
        <v>2.7</v>
      </c>
      <c r="AF310" s="151" t="inlineStr">
        <is>
          <t>grams</t>
        </is>
      </c>
      <c r="AG310" s="151" t="n"/>
      <c r="AH310" s="151" t="n"/>
    </row>
    <row r="311">
      <c r="A311" s="151" t="inlineStr">
        <is>
          <t>FV0333A - Tuscan Shrimp [BNL]</t>
        </is>
      </c>
      <c r="B311" s="151" t="inlineStr">
        <is>
          <t>REC-013835-4-004</t>
        </is>
      </c>
      <c r="C311" s="151" t="inlineStr">
        <is>
          <t>Creamed Kale - Cream Cheese</t>
        </is>
      </c>
      <c r="D311" s="151" t="inlineStr">
        <is>
          <t>SUB-013834-4-001</t>
        </is>
      </c>
      <c r="E311" s="150" t="n">
        <v>100</v>
      </c>
      <c r="F311" s="151" t="inlineStr">
        <is>
          <t>grams</t>
        </is>
      </c>
      <c r="G311" s="151" t="inlineStr">
        <is>
          <t>BLAST CHILLER, BRAISER, SPICE PORTIONING</t>
        </is>
      </c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inlineStr">
        <is>
          <t>FA-DE Cheese, Parmesan, Grated /Käse, Parmesan, gerieben</t>
        </is>
      </c>
      <c r="X311" s="151" t="inlineStr">
        <is>
          <t>DAI-00-139127-3</t>
        </is>
      </c>
      <c r="Y311" s="151" t="inlineStr">
        <is>
          <t>6,57</t>
        </is>
      </c>
      <c r="Z311" s="149" t="inlineStr">
        <is>
          <t>6,57</t>
        </is>
      </c>
      <c r="AA311" s="151" t="inlineStr">
        <is>
          <t>grams</t>
        </is>
      </c>
      <c r="AB311" s="151" t="inlineStr">
        <is>
          <t>MILCH (EINSCHLIESSLICH LAKTOSE)</t>
        </is>
      </c>
      <c r="AC311" s="151" t="n"/>
      <c r="AD311" s="150" t="n">
        <v>0.9522699999999999</v>
      </c>
      <c r="AE311" s="149" t="n">
        <v>6.57</v>
      </c>
      <c r="AF311" s="151" t="inlineStr">
        <is>
          <t>grams</t>
        </is>
      </c>
      <c r="AG311" s="151">
        <f>SUM(Z312:Z322)</f>
        <v/>
      </c>
      <c r="AH311" s="151" t="n"/>
    </row>
    <row r="312">
      <c r="A312" s="151" t="inlineStr">
        <is>
          <t>FV0333A - Tuscan Shrimp [BNL]</t>
        </is>
      </c>
      <c r="B312" s="151" t="inlineStr">
        <is>
          <t>REC-013835-4-004</t>
        </is>
      </c>
      <c r="C312" s="151" t="inlineStr">
        <is>
          <t>Tuscan Shrimp batch</t>
        </is>
      </c>
      <c r="D312" s="151" t="inlineStr">
        <is>
          <t>SUB-013801-4-001</t>
        </is>
      </c>
      <c r="E312" s="150" t="n">
        <v>7</v>
      </c>
      <c r="F312" s="151" t="inlineStr">
        <is>
          <t>each</t>
        </is>
      </c>
      <c r="G312" s="151" t="inlineStr">
        <is>
          <t>BLAST CHILLER, MARINADE, OVEN, THAW</t>
        </is>
      </c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inlineStr">
        <is>
          <t>FA-DE Prawns 21/25 /Garnelen 21/25 - IQF</t>
        </is>
      </c>
      <c r="X312" s="151" t="inlineStr">
        <is>
          <t>PTN-00-139321-1</t>
        </is>
      </c>
      <c r="Y312" s="151" t="inlineStr">
        <is>
          <t>138,92</t>
        </is>
      </c>
      <c r="Z312" s="151" t="n">
        <v>138.92</v>
      </c>
      <c r="AA312" s="151" t="inlineStr">
        <is>
          <t>grams</t>
        </is>
      </c>
      <c r="AB312" s="151" t="inlineStr">
        <is>
          <t>KREBSTIERE</t>
        </is>
      </c>
      <c r="AC312" s="151" t="n"/>
      <c r="AD312" s="150" t="n">
        <v>0.70061</v>
      </c>
      <c r="AE312" s="149" t="n">
        <v>138.92</v>
      </c>
      <c r="AF312" s="151" t="inlineStr">
        <is>
          <t>grams</t>
        </is>
      </c>
      <c r="AG312" s="151">
        <f>Average(AD312:AD322)</f>
        <v/>
      </c>
      <c r="AH312" s="151" t="n"/>
    </row>
    <row r="313">
      <c r="A313" s="151" t="inlineStr">
        <is>
          <t>FV0333A - Tuscan Shrimp [BNL]</t>
        </is>
      </c>
      <c r="B313" s="151" t="inlineStr">
        <is>
          <t>REC-013835-4-004</t>
        </is>
      </c>
      <c r="C313" s="151" t="inlineStr">
        <is>
          <t>Tuscan Shrimp batch</t>
        </is>
      </c>
      <c r="D313" s="151" t="inlineStr">
        <is>
          <t>SUB-013801-4-001</t>
        </is>
      </c>
      <c r="E313" s="150" t="n">
        <v>7</v>
      </c>
      <c r="F313" s="151" t="inlineStr">
        <is>
          <t>each</t>
        </is>
      </c>
      <c r="G313" s="151" t="inlineStr">
        <is>
          <t>BLAST CHILLER, MARINADE, OVEN, THAW</t>
        </is>
      </c>
      <c r="H313" s="151" t="inlineStr">
        <is>
          <t>Tuscan Marinade</t>
        </is>
      </c>
      <c r="I313" s="151" t="inlineStr">
        <is>
          <t>SUB-031711-4-001</t>
        </is>
      </c>
      <c r="J313" s="150" t="n">
        <v>10.96</v>
      </c>
      <c r="K313" s="151" t="inlineStr">
        <is>
          <t>grams</t>
        </is>
      </c>
      <c r="L313" s="151" t="inlineStr">
        <is>
          <t>IMMERSION BLENDER</t>
        </is>
      </c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inlineStr">
        <is>
          <t>FA-DE Oil, Olive /Öl, Olivenöl</t>
        </is>
      </c>
      <c r="X313" s="151" t="inlineStr">
        <is>
          <t>PRO-00-139277-5</t>
        </is>
      </c>
      <c r="Y313" s="151" t="inlineStr">
        <is>
          <t>7,73</t>
        </is>
      </c>
      <c r="Z313" s="151" t="n">
        <v>7.73</v>
      </c>
      <c r="AA313" s="151" t="inlineStr">
        <is>
          <t>grams</t>
        </is>
      </c>
      <c r="AB313" s="151" t="n"/>
      <c r="AC313" s="151" t="n"/>
      <c r="AD313" s="150" t="n">
        <v>0.96256</v>
      </c>
      <c r="AE313" s="149" t="n">
        <v>7.73</v>
      </c>
      <c r="AF313" s="151" t="inlineStr">
        <is>
          <t>grams</t>
        </is>
      </c>
      <c r="AG313" s="151">
        <f>AG311*AG312</f>
        <v/>
      </c>
      <c r="AH313" s="151" t="n"/>
    </row>
    <row r="314">
      <c r="A314" s="151" t="inlineStr">
        <is>
          <t>FV0333A - Tuscan Shrimp [BNL]</t>
        </is>
      </c>
      <c r="B314" s="151" t="inlineStr">
        <is>
          <t>REC-013835-4-004</t>
        </is>
      </c>
      <c r="C314" s="151" t="inlineStr">
        <is>
          <t>Tuscan Shrimp batch</t>
        </is>
      </c>
      <c r="D314" s="151" t="inlineStr">
        <is>
          <t>SUB-013801-4-001</t>
        </is>
      </c>
      <c r="E314" s="150" t="n">
        <v>7</v>
      </c>
      <c r="F314" s="151" t="inlineStr">
        <is>
          <t>each</t>
        </is>
      </c>
      <c r="G314" s="151" t="inlineStr">
        <is>
          <t>BLAST CHILLER, MARINADE, OVEN, THAW</t>
        </is>
      </c>
      <c r="H314" s="151" t="inlineStr">
        <is>
          <t>Tuscan Marinade</t>
        </is>
      </c>
      <c r="I314" s="151" t="inlineStr">
        <is>
          <t>SUB-031711-4-001</t>
        </is>
      </c>
      <c r="J314" s="150" t="n">
        <v>10.96</v>
      </c>
      <c r="K314" s="151" t="inlineStr">
        <is>
          <t>grams</t>
        </is>
      </c>
      <c r="L314" s="151" t="inlineStr">
        <is>
          <t>IMMERSION BLENDER</t>
        </is>
      </c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inlineStr">
        <is>
          <t>FA-DE Garlic, IQF, Diced 4 mm /Knoblauch, IQF, gewürfelt 4 mm</t>
        </is>
      </c>
      <c r="X314" s="151" t="inlineStr">
        <is>
          <t>PHF-00-139237-1</t>
        </is>
      </c>
      <c r="Y314" s="154" t="inlineStr">
        <is>
          <t>2,06</t>
        </is>
      </c>
      <c r="Z314" s="151" t="n">
        <v>2.06</v>
      </c>
      <c r="AA314" s="151" t="inlineStr">
        <is>
          <t>grams</t>
        </is>
      </c>
      <c r="AB314" s="151" t="inlineStr">
        <is>
          <t>SCHWEFELDIOXIDE UND SULFITE</t>
        </is>
      </c>
      <c r="AC314" s="151" t="n"/>
      <c r="AD314" s="150" t="n">
        <v>0.96256</v>
      </c>
      <c r="AE314" s="149" t="n">
        <v>2.06</v>
      </c>
      <c r="AF314" s="151" t="inlineStr">
        <is>
          <t>grams</t>
        </is>
      </c>
      <c r="AG314" s="151" t="n"/>
      <c r="AH314" s="151" t="n"/>
    </row>
    <row r="315">
      <c r="A315" s="151" t="inlineStr">
        <is>
          <t>FV0333A - Tuscan Shrimp [BNL]</t>
        </is>
      </c>
      <c r="B315" s="151" t="inlineStr">
        <is>
          <t>REC-013835-4-004</t>
        </is>
      </c>
      <c r="C315" s="151" t="inlineStr">
        <is>
          <t>Tuscan Shrimp batch</t>
        </is>
      </c>
      <c r="D315" s="151" t="inlineStr">
        <is>
          <t>SUB-013801-4-001</t>
        </is>
      </c>
      <c r="E315" s="150" t="n">
        <v>7</v>
      </c>
      <c r="F315" s="151" t="inlineStr">
        <is>
          <t>each</t>
        </is>
      </c>
      <c r="G315" s="151" t="inlineStr">
        <is>
          <t>BLAST CHILLER, MARINADE, OVEN, THAW</t>
        </is>
      </c>
      <c r="H315" s="151" t="inlineStr">
        <is>
          <t>Tuscan Marinade</t>
        </is>
      </c>
      <c r="I315" s="151" t="inlineStr">
        <is>
          <t>SUB-031711-4-001</t>
        </is>
      </c>
      <c r="J315" s="150" t="n">
        <v>10.96</v>
      </c>
      <c r="K315" s="151" t="inlineStr">
        <is>
          <t>grams</t>
        </is>
      </c>
      <c r="L315" s="151" t="inlineStr">
        <is>
          <t>IMMERSION BLENDER</t>
        </is>
      </c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inlineStr">
        <is>
          <t>FA-DE Spice, Black Pepper, Ground /Gewürz, schwarzer Pfeffer, gemahlen</t>
        </is>
      </c>
      <c r="X315" s="151" t="inlineStr">
        <is>
          <t>SPI-00-139334-5</t>
        </is>
      </c>
      <c r="Y315" s="151" t="inlineStr">
        <is>
          <t>0,17</t>
        </is>
      </c>
      <c r="Z315" s="151" t="n">
        <v>0.17</v>
      </c>
      <c r="AA315" s="151" t="inlineStr">
        <is>
          <t>grams</t>
        </is>
      </c>
      <c r="AB315" s="151" t="n"/>
      <c r="AC315" s="151" t="n"/>
      <c r="AD315" s="150" t="n">
        <v>0.96256</v>
      </c>
      <c r="AE315" s="149" t="n">
        <v>0.17</v>
      </c>
      <c r="AF315" s="151" t="inlineStr">
        <is>
          <t>grams</t>
        </is>
      </c>
      <c r="AG315" s="151" t="n"/>
      <c r="AH315" s="151" t="n"/>
    </row>
    <row r="316">
      <c r="A316" s="151" t="inlineStr">
        <is>
          <t>FV0333A - Tuscan Shrimp [BNL]</t>
        </is>
      </c>
      <c r="B316" s="151" t="inlineStr">
        <is>
          <t>REC-013835-4-004</t>
        </is>
      </c>
      <c r="C316" s="151" t="inlineStr">
        <is>
          <t>Tuscan Shrimp batch</t>
        </is>
      </c>
      <c r="D316" s="151" t="inlineStr">
        <is>
          <t>SUB-013801-4-001</t>
        </is>
      </c>
      <c r="E316" s="150" t="n">
        <v>7</v>
      </c>
      <c r="F316" s="151" t="inlineStr">
        <is>
          <t>each</t>
        </is>
      </c>
      <c r="G316" s="151" t="inlineStr">
        <is>
          <t>BLAST CHILLER, MARINADE, OVEN, THAW</t>
        </is>
      </c>
      <c r="H316" s="151" t="inlineStr">
        <is>
          <t>Tuscan Marinade</t>
        </is>
      </c>
      <c r="I316" s="151" t="inlineStr">
        <is>
          <t>SUB-031711-4-001</t>
        </is>
      </c>
      <c r="J316" s="150" t="n">
        <v>10.96</v>
      </c>
      <c r="K316" s="151" t="inlineStr">
        <is>
          <t>grams</t>
        </is>
      </c>
      <c r="L316" s="151" t="inlineStr">
        <is>
          <t>IMMERSION BLENDER</t>
        </is>
      </c>
      <c r="M316" s="151" t="inlineStr">
        <is>
          <t>Tuscan Spice</t>
        </is>
      </c>
      <c r="N316" s="151" t="inlineStr">
        <is>
          <t>SUB-013784-4-001</t>
        </is>
      </c>
      <c r="O316" s="156" t="n">
        <v>1.22</v>
      </c>
      <c r="P316" s="151" t="inlineStr">
        <is>
          <t>grams</t>
        </is>
      </c>
      <c r="Q316" s="151" t="inlineStr">
        <is>
          <t>HAND MIX, SPICE PORTIONING</t>
        </is>
      </c>
      <c r="R316" s="151" t="n"/>
      <c r="S316" s="151" t="n"/>
      <c r="T316" s="151" t="n"/>
      <c r="U316" s="151" t="n"/>
      <c r="V316" s="151" t="n"/>
      <c r="W316" s="151" t="inlineStr">
        <is>
          <t>FA-DE Spice, Fennel Ground /Gewürz, Fenchel gemahlen</t>
        </is>
      </c>
      <c r="X316" s="151" t="inlineStr">
        <is>
          <t>SPI-00-139351-5</t>
        </is>
      </c>
      <c r="Y316" s="151" t="inlineStr">
        <is>
          <t>0,11</t>
        </is>
      </c>
      <c r="Z316" s="151" t="n">
        <v>0.11</v>
      </c>
      <c r="AA316" s="151" t="inlineStr">
        <is>
          <t>grams</t>
        </is>
      </c>
      <c r="AB316" s="151" t="n"/>
      <c r="AC316" s="151" t="n"/>
      <c r="AD316" s="150" t="n">
        <v>0.98006</v>
      </c>
      <c r="AE316" s="149" t="n">
        <v>0.11</v>
      </c>
      <c r="AF316" s="151" t="inlineStr">
        <is>
          <t>grams</t>
        </is>
      </c>
      <c r="AG316" s="151" t="n"/>
      <c r="AH316" s="151" t="n"/>
    </row>
    <row r="317">
      <c r="A317" s="151" t="inlineStr">
        <is>
          <t>FV0333A - Tuscan Shrimp [BNL]</t>
        </is>
      </c>
      <c r="B317" s="151" t="inlineStr">
        <is>
          <t>REC-013835-4-004</t>
        </is>
      </c>
      <c r="C317" s="151" t="inlineStr">
        <is>
          <t>Tuscan Shrimp batch</t>
        </is>
      </c>
      <c r="D317" s="151" t="inlineStr">
        <is>
          <t>SUB-013801-4-001</t>
        </is>
      </c>
      <c r="E317" s="150" t="n">
        <v>7</v>
      </c>
      <c r="F317" s="151" t="inlineStr">
        <is>
          <t>each</t>
        </is>
      </c>
      <c r="G317" s="151" t="inlineStr">
        <is>
          <t>BLAST CHILLER, MARINADE, OVEN, THAW</t>
        </is>
      </c>
      <c r="H317" s="151" t="inlineStr">
        <is>
          <t>Tuscan Marinade</t>
        </is>
      </c>
      <c r="I317" s="151" t="inlineStr">
        <is>
          <t>SUB-031711-4-001</t>
        </is>
      </c>
      <c r="J317" s="150" t="n">
        <v>10.96</v>
      </c>
      <c r="K317" s="151" t="inlineStr">
        <is>
          <t>grams</t>
        </is>
      </c>
      <c r="L317" s="151" t="inlineStr">
        <is>
          <t>IMMERSION BLENDER</t>
        </is>
      </c>
      <c r="M317" s="151" t="inlineStr">
        <is>
          <t>Tuscan Spice</t>
        </is>
      </c>
      <c r="N317" s="151" t="inlineStr">
        <is>
          <t>SUB-013784-4-001</t>
        </is>
      </c>
      <c r="O317" s="156" t="n">
        <v>1.22</v>
      </c>
      <c r="P317" s="151" t="inlineStr">
        <is>
          <t>grams</t>
        </is>
      </c>
      <c r="Q317" s="151" t="inlineStr">
        <is>
          <t>HAND MIX, SPICE PORTIONING</t>
        </is>
      </c>
      <c r="R317" s="151" t="n"/>
      <c r="S317" s="151" t="n"/>
      <c r="T317" s="151" t="n"/>
      <c r="U317" s="151" t="n"/>
      <c r="V317" s="151" t="n"/>
      <c r="W317" s="151" t="inlineStr">
        <is>
          <t>FA-DE Spice, Basil, Dried /Gewürz, Basilikum, getrocknet</t>
        </is>
      </c>
      <c r="X317" s="151" t="inlineStr">
        <is>
          <t>SPI-00-139331-5</t>
        </is>
      </c>
      <c r="Y317" s="151" t="inlineStr">
        <is>
          <t>0,32</t>
        </is>
      </c>
      <c r="Z317" s="151" t="n">
        <v>0.32</v>
      </c>
      <c r="AA317" s="151" t="inlineStr">
        <is>
          <t>grams</t>
        </is>
      </c>
      <c r="AB317" s="151" t="n"/>
      <c r="AC317" s="151" t="n"/>
      <c r="AD317" s="150" t="n">
        <v>0.98006</v>
      </c>
      <c r="AE317" s="149" t="n">
        <v>0.32</v>
      </c>
      <c r="AF317" s="151" t="inlineStr">
        <is>
          <t>grams</t>
        </is>
      </c>
      <c r="AG317" s="151" t="n"/>
      <c r="AH317" s="151" t="n"/>
    </row>
    <row r="318">
      <c r="A318" s="151" t="inlineStr">
        <is>
          <t>FV0333A - Tuscan Shrimp [BNL]</t>
        </is>
      </c>
      <c r="B318" s="151" t="inlineStr">
        <is>
          <t>REC-013835-4-004</t>
        </is>
      </c>
      <c r="C318" s="151" t="inlineStr">
        <is>
          <t>Tuscan Shrimp batch</t>
        </is>
      </c>
      <c r="D318" s="151" t="inlineStr">
        <is>
          <t>SUB-013801-4-001</t>
        </is>
      </c>
      <c r="E318" s="150" t="n">
        <v>7</v>
      </c>
      <c r="F318" s="151" t="inlineStr">
        <is>
          <t>each</t>
        </is>
      </c>
      <c r="G318" s="151" t="inlineStr">
        <is>
          <t>BLAST CHILLER, MARINADE, OVEN, THAW</t>
        </is>
      </c>
      <c r="H318" s="151" t="inlineStr">
        <is>
          <t>Tuscan Marinade</t>
        </is>
      </c>
      <c r="I318" s="151" t="inlineStr">
        <is>
          <t>SUB-031711-4-001</t>
        </is>
      </c>
      <c r="J318" s="150" t="n">
        <v>10.96</v>
      </c>
      <c r="K318" s="151" t="inlineStr">
        <is>
          <t>grams</t>
        </is>
      </c>
      <c r="L318" s="151" t="inlineStr">
        <is>
          <t>IMMERSION BLENDER</t>
        </is>
      </c>
      <c r="M318" s="151" t="inlineStr">
        <is>
          <t>Tuscan Spice</t>
        </is>
      </c>
      <c r="N318" s="151" t="inlineStr">
        <is>
          <t>SUB-013784-4-001</t>
        </is>
      </c>
      <c r="O318" s="156" t="n">
        <v>1.22</v>
      </c>
      <c r="P318" s="151" t="inlineStr">
        <is>
          <t>grams</t>
        </is>
      </c>
      <c r="Q318" s="151" t="inlineStr">
        <is>
          <t>HAND MIX, SPICE PORTIONING</t>
        </is>
      </c>
      <c r="R318" s="151" t="n"/>
      <c r="S318" s="151" t="n"/>
      <c r="T318" s="151" t="n"/>
      <c r="U318" s="151" t="n"/>
      <c r="V318" s="151" t="n"/>
      <c r="W318" s="151" t="inlineStr">
        <is>
          <t>FA-DE Spice, Cayenne Pepper /Gewürz, Cayennepfeffer</t>
        </is>
      </c>
      <c r="X318" s="151" t="inlineStr">
        <is>
          <t>SPI-00-139339-5</t>
        </is>
      </c>
      <c r="Y318" s="151" t="inlineStr">
        <is>
          <t>0,05</t>
        </is>
      </c>
      <c r="Z318" s="151" t="n">
        <v>0.05</v>
      </c>
      <c r="AA318" s="151" t="inlineStr">
        <is>
          <t>grams</t>
        </is>
      </c>
      <c r="AB318" s="151" t="n"/>
      <c r="AC318" s="151" t="n"/>
      <c r="AD318" s="150" t="n">
        <v>0.98006</v>
      </c>
      <c r="AE318" s="149" t="n">
        <v>0.05</v>
      </c>
      <c r="AF318" s="151" t="inlineStr">
        <is>
          <t>grams</t>
        </is>
      </c>
      <c r="AG318" s="151" t="n"/>
      <c r="AH318" s="151" t="n"/>
    </row>
    <row r="319">
      <c r="A319" s="151" t="inlineStr">
        <is>
          <t>FV0333A - Tuscan Shrimp [BNL]</t>
        </is>
      </c>
      <c r="B319" s="151" t="inlineStr">
        <is>
          <t>REC-013835-4-004</t>
        </is>
      </c>
      <c r="C319" s="151" t="inlineStr">
        <is>
          <t>Tuscan Shrimp batch</t>
        </is>
      </c>
      <c r="D319" s="151" t="inlineStr">
        <is>
          <t>SUB-013801-4-001</t>
        </is>
      </c>
      <c r="E319" s="150" t="n">
        <v>7</v>
      </c>
      <c r="F319" s="151" t="inlineStr">
        <is>
          <t>each</t>
        </is>
      </c>
      <c r="G319" s="151" t="inlineStr">
        <is>
          <t>BLAST CHILLER, MARINADE, OVEN, THAW</t>
        </is>
      </c>
      <c r="H319" s="151" t="inlineStr">
        <is>
          <t>Tuscan Marinade</t>
        </is>
      </c>
      <c r="I319" s="151" t="inlineStr">
        <is>
          <t>SUB-031711-4-001</t>
        </is>
      </c>
      <c r="J319" s="150" t="n">
        <v>10.96</v>
      </c>
      <c r="K319" s="151" t="inlineStr">
        <is>
          <t>grams</t>
        </is>
      </c>
      <c r="L319" s="151" t="inlineStr">
        <is>
          <t>IMMERSION BLENDER</t>
        </is>
      </c>
      <c r="M319" s="151" t="inlineStr">
        <is>
          <t>Tuscan Spice</t>
        </is>
      </c>
      <c r="N319" s="151" t="inlineStr">
        <is>
          <t>SUB-013784-4-001</t>
        </is>
      </c>
      <c r="O319" s="156" t="n">
        <v>1.22</v>
      </c>
      <c r="P319" s="151" t="inlineStr">
        <is>
          <t>grams</t>
        </is>
      </c>
      <c r="Q319" s="151" t="inlineStr">
        <is>
          <t>HAND MIX, SPICE PORTIONING</t>
        </is>
      </c>
      <c r="R319" s="151" t="n"/>
      <c r="S319" s="151" t="n"/>
      <c r="T319" s="151" t="n"/>
      <c r="U319" s="151" t="n"/>
      <c r="V319" s="151" t="n"/>
      <c r="W319" s="151" t="inlineStr">
        <is>
          <t>FA-DE Spice, Oregano Dry /Gewürz, Oregano trocken</t>
        </is>
      </c>
      <c r="X319" s="151" t="inlineStr">
        <is>
          <t>SPI-00-139372-5</t>
        </is>
      </c>
      <c r="Y319" s="151" t="inlineStr">
        <is>
          <t>0,22</t>
        </is>
      </c>
      <c r="Z319" s="151" t="n">
        <v>0.22</v>
      </c>
      <c r="AA319" s="151" t="inlineStr">
        <is>
          <t>grams</t>
        </is>
      </c>
      <c r="AB319" s="151" t="n"/>
      <c r="AC319" s="151" t="n"/>
      <c r="AD319" s="150" t="n">
        <v>0.98006</v>
      </c>
      <c r="AE319" s="149" t="n">
        <v>0.22</v>
      </c>
      <c r="AF319" s="151" t="inlineStr">
        <is>
          <t>grams</t>
        </is>
      </c>
      <c r="AG319" s="151" t="n"/>
      <c r="AH319" s="151" t="n"/>
    </row>
    <row r="320">
      <c r="A320" s="151" t="inlineStr">
        <is>
          <t>FV0333A - Tuscan Shrimp [BNL]</t>
        </is>
      </c>
      <c r="B320" s="151" t="inlineStr">
        <is>
          <t>REC-013835-4-004</t>
        </is>
      </c>
      <c r="C320" s="151" t="inlineStr">
        <is>
          <t>Tuscan Shrimp batch</t>
        </is>
      </c>
      <c r="D320" s="151" t="inlineStr">
        <is>
          <t>SUB-013801-4-001</t>
        </is>
      </c>
      <c r="E320" s="150" t="n">
        <v>7</v>
      </c>
      <c r="F320" s="151" t="inlineStr">
        <is>
          <t>each</t>
        </is>
      </c>
      <c r="G320" s="151" t="inlineStr">
        <is>
          <t>BLAST CHILLER, MARINADE, OVEN, THAW</t>
        </is>
      </c>
      <c r="H320" s="151" t="inlineStr">
        <is>
          <t>Tuscan Marinade</t>
        </is>
      </c>
      <c r="I320" s="151" t="inlineStr">
        <is>
          <t>SUB-031711-4-001</t>
        </is>
      </c>
      <c r="J320" s="150" t="n">
        <v>10.96</v>
      </c>
      <c r="K320" s="151" t="inlineStr">
        <is>
          <t>grams</t>
        </is>
      </c>
      <c r="L320" s="151" t="inlineStr">
        <is>
          <t>IMMERSION BLENDER</t>
        </is>
      </c>
      <c r="M320" s="151" t="inlineStr">
        <is>
          <t>Tuscan Spice</t>
        </is>
      </c>
      <c r="N320" s="151" t="inlineStr">
        <is>
          <t>SUB-013784-4-001</t>
        </is>
      </c>
      <c r="O320" s="156" t="n">
        <v>1.22</v>
      </c>
      <c r="P320" s="151" t="inlineStr">
        <is>
          <t>grams</t>
        </is>
      </c>
      <c r="Q320" s="151" t="inlineStr">
        <is>
          <t>HAND MIX, SPICE PORTIONING</t>
        </is>
      </c>
      <c r="R320" s="151" t="n"/>
      <c r="S320" s="151" t="n"/>
      <c r="T320" s="151" t="n"/>
      <c r="U320" s="151" t="n"/>
      <c r="V320" s="151" t="n"/>
      <c r="W320" s="151" t="inlineStr">
        <is>
          <t>FA-DE Spice, Rosemary, Powder /Gewürz, Rosmarin, Pulver</t>
        </is>
      </c>
      <c r="X320" s="151" t="inlineStr">
        <is>
          <t>SPI-00-139376-5</t>
        </is>
      </c>
      <c r="Y320" s="151" t="inlineStr">
        <is>
          <t>0,22</t>
        </is>
      </c>
      <c r="Z320" s="151" t="n">
        <v>0.22</v>
      </c>
      <c r="AA320" s="151" t="inlineStr">
        <is>
          <t>grams</t>
        </is>
      </c>
      <c r="AB320" s="151" t="n"/>
      <c r="AC320" s="151" t="n"/>
      <c r="AD320" s="150" t="n">
        <v>0.98006</v>
      </c>
      <c r="AE320" s="149" t="n">
        <v>0.22</v>
      </c>
      <c r="AF320" s="151" t="inlineStr">
        <is>
          <t>grams</t>
        </is>
      </c>
      <c r="AG320" s="151" t="n"/>
      <c r="AH320" s="151" t="n"/>
    </row>
    <row r="321">
      <c r="A321" s="151" t="inlineStr">
        <is>
          <t>FV0333A - Tuscan Shrimp [BNL]</t>
        </is>
      </c>
      <c r="B321" s="151" t="inlineStr">
        <is>
          <t>REC-013835-4-004</t>
        </is>
      </c>
      <c r="C321" s="151" t="inlineStr">
        <is>
          <t>Tuscan Shrimp batch</t>
        </is>
      </c>
      <c r="D321" s="151" t="inlineStr">
        <is>
          <t>SUB-013801-4-001</t>
        </is>
      </c>
      <c r="E321" s="150" t="n">
        <v>7</v>
      </c>
      <c r="F321" s="151" t="inlineStr">
        <is>
          <t>each</t>
        </is>
      </c>
      <c r="G321" s="151" t="inlineStr">
        <is>
          <t>BLAST CHILLER, MARINADE, OVEN, THAW</t>
        </is>
      </c>
      <c r="H321" s="151" t="inlineStr">
        <is>
          <t>Tuscan Marinade</t>
        </is>
      </c>
      <c r="I321" s="151" t="inlineStr">
        <is>
          <t>SUB-031711-4-001</t>
        </is>
      </c>
      <c r="J321" s="150" t="n">
        <v>10.96</v>
      </c>
      <c r="K321" s="151" t="inlineStr">
        <is>
          <t>grams</t>
        </is>
      </c>
      <c r="L321" s="151" t="inlineStr">
        <is>
          <t>IMMERSION BLENDER</t>
        </is>
      </c>
      <c r="M321" s="151" t="inlineStr">
        <is>
          <t>Tuscan Spice</t>
        </is>
      </c>
      <c r="N321" s="151" t="inlineStr">
        <is>
          <t>SUB-013784-4-001</t>
        </is>
      </c>
      <c r="O321" s="156" t="n">
        <v>1.22</v>
      </c>
      <c r="P321" s="151" t="inlineStr">
        <is>
          <t>grams</t>
        </is>
      </c>
      <c r="Q321" s="151" t="inlineStr">
        <is>
          <t>HAND MIX, SPICE PORTIONING</t>
        </is>
      </c>
      <c r="R321" s="151" t="n"/>
      <c r="S321" s="151" t="n"/>
      <c r="T321" s="151" t="n"/>
      <c r="U321" s="151" t="n"/>
      <c r="V321" s="151" t="n"/>
      <c r="W321" s="151" t="inlineStr">
        <is>
          <t>FA-DE Spice, Garlic Granulated /Gewürz, Knoblauch granuliert</t>
        </is>
      </c>
      <c r="X321" s="151" t="inlineStr">
        <is>
          <t>SPI-00-139353-5</t>
        </is>
      </c>
      <c r="Y321" s="151" t="inlineStr">
        <is>
          <t>0,32</t>
        </is>
      </c>
      <c r="Z321" s="151" t="n">
        <v>0.32</v>
      </c>
      <c r="AA321" s="151" t="inlineStr">
        <is>
          <t>grams</t>
        </is>
      </c>
      <c r="AB321" s="151" t="n"/>
      <c r="AC321" s="151" t="n"/>
      <c r="AD321" s="150" t="n">
        <v>0.98006</v>
      </c>
      <c r="AE321" s="149" t="n">
        <v>0.32</v>
      </c>
      <c r="AF321" s="151" t="inlineStr">
        <is>
          <t>grams</t>
        </is>
      </c>
      <c r="AG321" s="151" t="n"/>
      <c r="AH321" s="151" t="n"/>
    </row>
    <row r="322">
      <c r="A322" s="151" t="inlineStr">
        <is>
          <t>FV0333A - Tuscan Shrimp [BNL]</t>
        </is>
      </c>
      <c r="B322" s="151" t="inlineStr">
        <is>
          <t>REC-013835-4-004</t>
        </is>
      </c>
      <c r="C322" s="151" t="inlineStr">
        <is>
          <t>Tuscan Shrimp batch</t>
        </is>
      </c>
      <c r="D322" s="151" t="inlineStr">
        <is>
          <t>SUB-013801-4-001</t>
        </is>
      </c>
      <c r="E322" s="150" t="n">
        <v>7</v>
      </c>
      <c r="F322" s="151" t="inlineStr">
        <is>
          <t>each</t>
        </is>
      </c>
      <c r="G322" s="151" t="inlineStr">
        <is>
          <t>BLAST CHILLER, MARINADE, OVEN, THAW</t>
        </is>
      </c>
      <c r="H322" s="151" t="inlineStr">
        <is>
          <t>Tuscan Marinade</t>
        </is>
      </c>
      <c r="I322" s="151" t="inlineStr">
        <is>
          <t>SUB-031711-4-001</t>
        </is>
      </c>
      <c r="J322" s="150" t="n">
        <v>10.96</v>
      </c>
      <c r="K322" s="151" t="inlineStr">
        <is>
          <t>grams</t>
        </is>
      </c>
      <c r="L322" s="151" t="inlineStr">
        <is>
          <t>IMMERSION BLENDER</t>
        </is>
      </c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inlineStr">
        <is>
          <t>FA-DE Spice, Sea Salt /Gewürze, Meersalz</t>
        </is>
      </c>
      <c r="X322" s="151" t="inlineStr">
        <is>
          <t>SPI-00-139378-5</t>
        </is>
      </c>
      <c r="Y322" s="151" t="inlineStr">
        <is>
          <t>0,21</t>
        </is>
      </c>
      <c r="Z322" s="151" t="n">
        <v>0.21</v>
      </c>
      <c r="AA322" s="151" t="inlineStr">
        <is>
          <t>grams</t>
        </is>
      </c>
      <c r="AB322" s="151" t="n"/>
      <c r="AC322" s="151" t="n"/>
      <c r="AD322" s="150" t="n">
        <v>0.96256</v>
      </c>
      <c r="AE322" s="149" t="n">
        <v>0.21</v>
      </c>
      <c r="AF322" s="151" t="inlineStr">
        <is>
          <t>grams</t>
        </is>
      </c>
      <c r="AG322" s="151" t="n"/>
      <c r="AH322" s="151" t="n"/>
    </row>
    <row r="323">
      <c r="A323" s="151" t="inlineStr">
        <is>
          <t>FV0333A - Tuscan Shrimp [BNL]</t>
        </is>
      </c>
      <c r="B323" s="151" t="inlineStr">
        <is>
          <t>REC-013835-4-004</t>
        </is>
      </c>
      <c r="C323" s="151" t="inlineStr">
        <is>
          <t>Sauce - Tuscan Shrimp Butter Sauce</t>
        </is>
      </c>
      <c r="D323" s="151" t="inlineStr">
        <is>
          <t>SUB-013803-4-001</t>
        </is>
      </c>
      <c r="E323" s="150" t="n">
        <v>35</v>
      </c>
      <c r="F323" s="151" t="inlineStr">
        <is>
          <t>grams</t>
        </is>
      </c>
      <c r="G323" s="151" t="inlineStr">
        <is>
          <t>BLAST CHILLER, BRAISER, IMMERSION BLENDER, SPICE PORTIONING</t>
        </is>
      </c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inlineStr">
        <is>
          <t>FA-DE Butter, Unsalted /Butter, ungesalzen</t>
        </is>
      </c>
      <c r="X323" s="151" t="inlineStr">
        <is>
          <t>DAI-00-139146-3</t>
        </is>
      </c>
      <c r="Y323" s="151" t="inlineStr">
        <is>
          <t>15,91</t>
        </is>
      </c>
      <c r="Z323" s="149" t="inlineStr">
        <is>
          <t>15,91</t>
        </is>
      </c>
      <c r="AA323" s="151" t="inlineStr">
        <is>
          <t>grams</t>
        </is>
      </c>
      <c r="AB323" s="151" t="inlineStr">
        <is>
          <t>MILCH (EINSCHLIESSLICH LAKTOSE)</t>
        </is>
      </c>
      <c r="AC323" s="151" t="n"/>
      <c r="AD323" s="150" t="n">
        <v>0.89392</v>
      </c>
      <c r="AE323" s="149" t="n">
        <v>15.91</v>
      </c>
      <c r="AF323" s="151" t="inlineStr">
        <is>
          <t>grams</t>
        </is>
      </c>
      <c r="AG323" s="151" t="n"/>
      <c r="AH323" s="151" t="n"/>
    </row>
    <row r="324">
      <c r="A324" s="151" t="inlineStr">
        <is>
          <t>FV0333A - Tuscan Shrimp [BNL]</t>
        </is>
      </c>
      <c r="B324" s="151" t="inlineStr">
        <is>
          <t>REC-013835-4-004</t>
        </is>
      </c>
      <c r="C324" s="151" t="inlineStr">
        <is>
          <t>Sauce - Tuscan Shrimp Butter Sauce</t>
        </is>
      </c>
      <c r="D324" s="151" t="inlineStr">
        <is>
          <t>SUB-013803-4-001</t>
        </is>
      </c>
      <c r="E324" s="150" t="n">
        <v>35</v>
      </c>
      <c r="F324" s="151" t="inlineStr">
        <is>
          <t>grams</t>
        </is>
      </c>
      <c r="G324" s="151" t="inlineStr">
        <is>
          <t>BLAST CHILLER, BRAISER, IMMERSION BLENDER, SPICE PORTIONING</t>
        </is>
      </c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inlineStr">
        <is>
          <t>FA-DE Spice, Minced Garlic, Toasted, Dry /Gewürz, gehackter Knoblauch, geröstet, trocken</t>
        </is>
      </c>
      <c r="X324" s="151" t="inlineStr">
        <is>
          <t>SPI-00-139367-5</t>
        </is>
      </c>
      <c r="Y324" s="151" t="inlineStr">
        <is>
          <t>0,42</t>
        </is>
      </c>
      <c r="Z324" s="149" t="inlineStr">
        <is>
          <t>0,42</t>
        </is>
      </c>
      <c r="AA324" s="151" t="inlineStr">
        <is>
          <t>grams</t>
        </is>
      </c>
      <c r="AB324" s="151" t="n"/>
      <c r="AC324" s="151" t="n"/>
      <c r="AD324" s="150" t="n">
        <v>0.89392</v>
      </c>
      <c r="AE324" s="149" t="n">
        <v>0.42</v>
      </c>
      <c r="AF324" s="151" t="inlineStr">
        <is>
          <t>grams</t>
        </is>
      </c>
      <c r="AG324" s="151" t="n"/>
      <c r="AH324" s="151" t="n"/>
    </row>
    <row r="325">
      <c r="A325" s="151" t="inlineStr">
        <is>
          <t>FV0333A - Tuscan Shrimp [BNL]</t>
        </is>
      </c>
      <c r="B325" s="151" t="inlineStr">
        <is>
          <t>REC-013835-4-004</t>
        </is>
      </c>
      <c r="C325" s="151" t="inlineStr">
        <is>
          <t>Sauce - Tuscan Shrimp Butter Sauce</t>
        </is>
      </c>
      <c r="D325" s="151" t="inlineStr">
        <is>
          <t>SUB-013803-4-001</t>
        </is>
      </c>
      <c r="E325" s="150" t="n">
        <v>35</v>
      </c>
      <c r="F325" s="151" t="inlineStr">
        <is>
          <t>grams</t>
        </is>
      </c>
      <c r="G325" s="151" t="inlineStr">
        <is>
          <t>BLAST CHILLER, BRAISER, IMMERSION BLENDER, SPICE PORTIONING</t>
        </is>
      </c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inlineStr">
        <is>
          <t>FA-DE Gum, Xanthan /Gummi, Xanthan</t>
        </is>
      </c>
      <c r="X325" s="151" t="inlineStr">
        <is>
          <t>DRY-00-139153-5</t>
        </is>
      </c>
      <c r="Y325" s="151" t="inlineStr">
        <is>
          <t>0,08</t>
        </is>
      </c>
      <c r="Z325" s="149" t="inlineStr">
        <is>
          <t>0,08</t>
        </is>
      </c>
      <c r="AA325" s="151" t="inlineStr">
        <is>
          <t>grams</t>
        </is>
      </c>
      <c r="AB325" s="151" t="n"/>
      <c r="AC325" s="151" t="n"/>
      <c r="AD325" s="150" t="n">
        <v>0.89392</v>
      </c>
      <c r="AE325" s="149" t="n">
        <v>0.08</v>
      </c>
      <c r="AF325" s="151" t="inlineStr">
        <is>
          <t>grams</t>
        </is>
      </c>
      <c r="AG325" s="151" t="n"/>
      <c r="AH325" s="151" t="n"/>
    </row>
    <row r="326">
      <c r="A326" s="151" t="inlineStr">
        <is>
          <t>FV0333A - Tuscan Shrimp [BNL]</t>
        </is>
      </c>
      <c r="B326" s="151" t="inlineStr">
        <is>
          <t>REC-013835-4-004</t>
        </is>
      </c>
      <c r="C326" s="151" t="inlineStr">
        <is>
          <t>Sauce - Tuscan Shrimp Butter Sauce</t>
        </is>
      </c>
      <c r="D326" s="151" t="inlineStr">
        <is>
          <t>SUB-013803-4-001</t>
        </is>
      </c>
      <c r="E326" s="150" t="n">
        <v>35</v>
      </c>
      <c r="F326" s="151" t="inlineStr">
        <is>
          <t>grams</t>
        </is>
      </c>
      <c r="G326" s="151" t="inlineStr">
        <is>
          <t>BLAST CHILLER, BRAISER, IMMERSION BLENDER, SPICE PORTIONING</t>
        </is>
      </c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inlineStr">
        <is>
          <t>FA-DE Onion, Spanish, Diced 5mm /Zwiebel, Spanisch, gewürfelt 5 mm</t>
        </is>
      </c>
      <c r="X326" s="151" t="inlineStr">
        <is>
          <t>PHF-00-139212-3</t>
        </is>
      </c>
      <c r="Y326" s="151" t="inlineStr">
        <is>
          <t>3,82</t>
        </is>
      </c>
      <c r="Z326" s="149" t="inlineStr">
        <is>
          <t>3,82</t>
        </is>
      </c>
      <c r="AA326" s="151" t="inlineStr">
        <is>
          <t>grams</t>
        </is>
      </c>
      <c r="AB326" s="151" t="n"/>
      <c r="AC326" s="151" t="n"/>
      <c r="AD326" s="150" t="n">
        <v>0.89392</v>
      </c>
      <c r="AE326" s="149" t="n">
        <v>3.82</v>
      </c>
      <c r="AF326" s="151" t="inlineStr">
        <is>
          <t>grams</t>
        </is>
      </c>
      <c r="AG326" s="151" t="n"/>
      <c r="AH326" s="151" t="n"/>
    </row>
    <row r="327">
      <c r="A327" s="151" t="inlineStr">
        <is>
          <t>FV0333A - Tuscan Shrimp [BNL]</t>
        </is>
      </c>
      <c r="B327" s="151" t="inlineStr">
        <is>
          <t>REC-013835-4-004</t>
        </is>
      </c>
      <c r="C327" s="151" t="inlineStr">
        <is>
          <t>Sauce - Tuscan Shrimp Butter Sauce</t>
        </is>
      </c>
      <c r="D327" s="151" t="inlineStr">
        <is>
          <t>SUB-013803-4-001</t>
        </is>
      </c>
      <c r="E327" s="150" t="n">
        <v>35</v>
      </c>
      <c r="F327" s="151" t="inlineStr">
        <is>
          <t>grams</t>
        </is>
      </c>
      <c r="G327" s="151" t="inlineStr">
        <is>
          <t>BLAST CHILLER, BRAISER, IMMERSION BLENDER, SPICE PORTIONING</t>
        </is>
      </c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inlineStr">
        <is>
          <t>FA-DE Spice, Black Pepper, Ground /Gewürz, schwarzer Pfeffer, gemahlen</t>
        </is>
      </c>
      <c r="X327" s="151" t="inlineStr">
        <is>
          <t>SPI-00-139334-5</t>
        </is>
      </c>
      <c r="Y327" s="151" t="inlineStr">
        <is>
          <t>0,1</t>
        </is>
      </c>
      <c r="Z327" s="149" t="inlineStr">
        <is>
          <t>0,1</t>
        </is>
      </c>
      <c r="AA327" s="151" t="inlineStr">
        <is>
          <t>grams</t>
        </is>
      </c>
      <c r="AB327" s="151" t="n"/>
      <c r="AC327" s="151" t="n"/>
      <c r="AD327" s="150" t="n">
        <v>0.89392</v>
      </c>
      <c r="AE327" s="149" t="n">
        <v>0.1</v>
      </c>
      <c r="AF327" s="151" t="inlineStr">
        <is>
          <t>grams</t>
        </is>
      </c>
      <c r="AG327" s="151" t="n"/>
      <c r="AH327" s="151" t="n"/>
    </row>
    <row r="328">
      <c r="A328" s="151" t="inlineStr">
        <is>
          <t>FV0333A - Tuscan Shrimp [BNL]</t>
        </is>
      </c>
      <c r="B328" s="151" t="inlineStr">
        <is>
          <t>REC-013835-4-004</t>
        </is>
      </c>
      <c r="C328" s="151" t="inlineStr">
        <is>
          <t>Sauce - Tuscan Shrimp Butter Sauce</t>
        </is>
      </c>
      <c r="D328" s="151" t="inlineStr">
        <is>
          <t>SUB-013803-4-001</t>
        </is>
      </c>
      <c r="E328" s="150" t="n">
        <v>35</v>
      </c>
      <c r="F328" s="151" t="inlineStr">
        <is>
          <t>grams</t>
        </is>
      </c>
      <c r="G328" s="151" t="inlineStr">
        <is>
          <t>BLAST CHILLER, BRAISER, IMMERSION BLENDER, SPICE PORTIONING</t>
        </is>
      </c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inlineStr">
        <is>
          <t>FA-DE Water / Wasser</t>
        </is>
      </c>
      <c r="X328" s="151" t="inlineStr">
        <is>
          <t>OTH-00-144038-5</t>
        </is>
      </c>
      <c r="Y328" s="151" t="inlineStr">
        <is>
          <t>16,23</t>
        </is>
      </c>
      <c r="Z328" s="149" t="inlineStr">
        <is>
          <t>16,23</t>
        </is>
      </c>
      <c r="AA328" s="151" t="inlineStr">
        <is>
          <t>grams</t>
        </is>
      </c>
      <c r="AB328" s="151" t="n"/>
      <c r="AC328" s="151" t="n"/>
      <c r="AD328" s="150" t="n">
        <v>0.89392</v>
      </c>
      <c r="AE328" s="149" t="n">
        <v>16.23</v>
      </c>
      <c r="AF328" s="151" t="inlineStr">
        <is>
          <t>grams</t>
        </is>
      </c>
      <c r="AG328" s="151" t="n"/>
      <c r="AH328" s="151" t="n"/>
    </row>
    <row r="329">
      <c r="A329" s="151" t="inlineStr">
        <is>
          <t>FV0333A - Tuscan Shrimp [BNL]</t>
        </is>
      </c>
      <c r="B329" s="151" t="inlineStr">
        <is>
          <t>REC-013835-4-004</t>
        </is>
      </c>
      <c r="C329" s="151" t="inlineStr">
        <is>
          <t>Sauce - Tuscan Shrimp Butter Sauce</t>
        </is>
      </c>
      <c r="D329" s="151" t="inlineStr">
        <is>
          <t>SUB-013803-4-001</t>
        </is>
      </c>
      <c r="E329" s="150" t="n">
        <v>35</v>
      </c>
      <c r="F329" s="151" t="inlineStr">
        <is>
          <t>grams</t>
        </is>
      </c>
      <c r="G329" s="151" t="inlineStr">
        <is>
          <t>BLAST CHILLER, BRAISER, IMMERSION BLENDER, SPICE PORTIONING</t>
        </is>
      </c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inlineStr">
        <is>
          <t>FA-DE Garlic, IQF, Diced 4 mm /Knoblauch, IQF, gewürfelt 4 mm</t>
        </is>
      </c>
      <c r="X329" s="151" t="inlineStr">
        <is>
          <t>PHF-00-139237-1</t>
        </is>
      </c>
      <c r="Y329" s="153" t="inlineStr">
        <is>
          <t>1,21</t>
        </is>
      </c>
      <c r="Z329" s="149" t="inlineStr">
        <is>
          <t>1,21</t>
        </is>
      </c>
      <c r="AA329" s="151" t="inlineStr">
        <is>
          <t>grams</t>
        </is>
      </c>
      <c r="AB329" s="151" t="inlineStr">
        <is>
          <t>SCHWEFELDIOXIDE UND SULFITE</t>
        </is>
      </c>
      <c r="AC329" s="151" t="n"/>
      <c r="AD329" s="150" t="n">
        <v>0.89392</v>
      </c>
      <c r="AE329" s="149" t="n">
        <v>1.21</v>
      </c>
      <c r="AF329" s="151" t="inlineStr">
        <is>
          <t>grams</t>
        </is>
      </c>
      <c r="AG329" s="151" t="n"/>
      <c r="AH329" s="151" t="n"/>
    </row>
    <row r="330">
      <c r="A330" s="151" t="inlineStr">
        <is>
          <t>FV0333A - Tuscan Shrimp [BNL]</t>
        </is>
      </c>
      <c r="B330" s="151" t="inlineStr">
        <is>
          <t>REC-013835-4-004</t>
        </is>
      </c>
      <c r="C330" s="151" t="inlineStr">
        <is>
          <t>Sauce - Tuscan Shrimp Butter Sauce</t>
        </is>
      </c>
      <c r="D330" s="151" t="inlineStr">
        <is>
          <t>SUB-013803-4-001</t>
        </is>
      </c>
      <c r="E330" s="150" t="n">
        <v>35</v>
      </c>
      <c r="F330" s="151" t="inlineStr">
        <is>
          <t>grams</t>
        </is>
      </c>
      <c r="G330" s="151" t="inlineStr">
        <is>
          <t>BLAST CHILLER, BRAISER, IMMERSION BLENDER, SPICE PORTIONING</t>
        </is>
      </c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inlineStr">
        <is>
          <t>FA-DE Spice, Sea Salt /Gewürze, Meersalz</t>
        </is>
      </c>
      <c r="X330" s="151" t="inlineStr">
        <is>
          <t>SPI-00-139378-5</t>
        </is>
      </c>
      <c r="Y330" s="151" t="inlineStr">
        <is>
          <t>0,24</t>
        </is>
      </c>
      <c r="Z330" s="149" t="inlineStr">
        <is>
          <t>0,24</t>
        </is>
      </c>
      <c r="AA330" s="151" t="inlineStr">
        <is>
          <t>grams</t>
        </is>
      </c>
      <c r="AB330" s="151" t="n"/>
      <c r="AC330" s="151" t="n"/>
      <c r="AD330" s="150" t="n">
        <v>0.89392</v>
      </c>
      <c r="AE330" s="149" t="n">
        <v>0.24</v>
      </c>
      <c r="AF330" s="151" t="inlineStr">
        <is>
          <t>grams</t>
        </is>
      </c>
      <c r="AG330" s="151" t="n"/>
      <c r="AH330" s="151" t="n"/>
    </row>
    <row r="331">
      <c r="A331" s="151" t="inlineStr">
        <is>
          <t>FV0333A - Tuscan Shrimp [BNL]</t>
        </is>
      </c>
      <c r="B331" s="151" t="inlineStr">
        <is>
          <t>REC-013835-4-004</t>
        </is>
      </c>
      <c r="C331" s="151" t="inlineStr">
        <is>
          <t>Sauce - Tuscan Shrimp Butter Sauce</t>
        </is>
      </c>
      <c r="D331" s="151" t="inlineStr">
        <is>
          <t>SUB-013803-4-001</t>
        </is>
      </c>
      <c r="E331" s="150" t="n">
        <v>35</v>
      </c>
      <c r="F331" s="151" t="inlineStr">
        <is>
          <t>grams</t>
        </is>
      </c>
      <c r="G331" s="151" t="inlineStr">
        <is>
          <t>BLAST CHILLER, BRAISER, IMMERSION BLENDER, SPICE PORTIONING</t>
        </is>
      </c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inlineStr">
        <is>
          <t>FA-DE Spice, Garlic Powder, Toasted /Gewürz, Knoblauchpulver, geröstet</t>
        </is>
      </c>
      <c r="X331" s="151" t="inlineStr">
        <is>
          <t>SPI-00-139354-5</t>
        </is>
      </c>
      <c r="Y331" s="151" t="inlineStr">
        <is>
          <t>0,31</t>
        </is>
      </c>
      <c r="Z331" s="149" t="inlineStr">
        <is>
          <t>0,31</t>
        </is>
      </c>
      <c r="AA331" s="151" t="inlineStr">
        <is>
          <t>grams</t>
        </is>
      </c>
      <c r="AB331" s="151" t="n"/>
      <c r="AC331" s="151" t="n"/>
      <c r="AD331" s="150" t="n">
        <v>0.89392</v>
      </c>
      <c r="AE331" s="149" t="n">
        <v>0.31</v>
      </c>
      <c r="AF331" s="151" t="inlineStr">
        <is>
          <t>grams</t>
        </is>
      </c>
      <c r="AG331" s="151" t="n"/>
      <c r="AH331" s="151" t="n"/>
    </row>
    <row r="332">
      <c r="A332" s="151" t="inlineStr">
        <is>
          <t>FV0333A - Tuscan Shrimp [BNL]</t>
        </is>
      </c>
      <c r="B332" s="151" t="inlineStr">
        <is>
          <t>REC-013835-4-004</t>
        </is>
      </c>
      <c r="C332" s="151" t="inlineStr">
        <is>
          <t>Sauce - Tuscan Shrimp Butter Sauce</t>
        </is>
      </c>
      <c r="D332" s="151" t="inlineStr">
        <is>
          <t>SUB-013803-4-001</t>
        </is>
      </c>
      <c r="E332" s="150" t="n">
        <v>35</v>
      </c>
      <c r="F332" s="151" t="inlineStr">
        <is>
          <t>grams</t>
        </is>
      </c>
      <c r="G332" s="151" t="inlineStr">
        <is>
          <t>BLAST CHILLER, BRAISER, IMMERSION BLENDER, SPICE PORTIONING</t>
        </is>
      </c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inlineStr">
        <is>
          <t>FA-DE Spice, Parsley Dried /Gewürze, getrocknete Petersilie</t>
        </is>
      </c>
      <c r="X332" s="151" t="inlineStr">
        <is>
          <t>SPI-00-139374-5</t>
        </is>
      </c>
      <c r="Y332" s="151" t="inlineStr">
        <is>
          <t>0,04</t>
        </is>
      </c>
      <c r="Z332" s="149" t="inlineStr">
        <is>
          <t>0,04</t>
        </is>
      </c>
      <c r="AA332" s="151" t="inlineStr">
        <is>
          <t>grams</t>
        </is>
      </c>
      <c r="AB332" s="151" t="n"/>
      <c r="AC332" s="151" t="n"/>
      <c r="AD332" s="150" t="n">
        <v>0.89392</v>
      </c>
      <c r="AE332" s="149" t="n">
        <v>0.04</v>
      </c>
      <c r="AF332" s="151" t="inlineStr">
        <is>
          <t>grams</t>
        </is>
      </c>
      <c r="AG332" s="151" t="n"/>
      <c r="AH332" s="151" t="n"/>
    </row>
    <row r="333">
      <c r="A333" s="151" t="inlineStr">
        <is>
          <t>FV0333A - Tuscan Shrimp [BNL]</t>
        </is>
      </c>
      <c r="B333" s="151" t="inlineStr">
        <is>
          <t>REC-013835-4-004</t>
        </is>
      </c>
      <c r="C333" s="151" t="inlineStr">
        <is>
          <t>Sauce - Tuscan Shrimp Butter Sauce</t>
        </is>
      </c>
      <c r="D333" s="151" t="inlineStr">
        <is>
          <t>SUB-013803-4-001</t>
        </is>
      </c>
      <c r="E333" s="150" t="n">
        <v>35</v>
      </c>
      <c r="F333" s="151" t="inlineStr">
        <is>
          <t>grams</t>
        </is>
      </c>
      <c r="G333" s="151" t="inlineStr">
        <is>
          <t>BLAST CHILLER, BRAISER, IMMERSION BLENDER, SPICE PORTIONING</t>
        </is>
      </c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inlineStr">
        <is>
          <t>FA-DE Stock Concentrate, Mirepoix /Stammkonzentrat, Mirepoix</t>
        </is>
      </c>
      <c r="X333" s="151" t="inlineStr">
        <is>
          <t>PRO-00-139287-5</t>
        </is>
      </c>
      <c r="Y333" s="151" t="inlineStr">
        <is>
          <t>0,8</t>
        </is>
      </c>
      <c r="Z333" s="149" t="inlineStr">
        <is>
          <t>0,8</t>
        </is>
      </c>
      <c r="AA333" s="151" t="inlineStr">
        <is>
          <t>grams</t>
        </is>
      </c>
      <c r="AB333" s="151" t="inlineStr">
        <is>
          <t>SELLERIE</t>
        </is>
      </c>
      <c r="AC333" s="151" t="n"/>
      <c r="AD333" s="150" t="n">
        <v>0.89392</v>
      </c>
      <c r="AE333" s="149" t="n">
        <v>0.8</v>
      </c>
      <c r="AF333" s="151" t="inlineStr">
        <is>
          <t>grams</t>
        </is>
      </c>
      <c r="AG333" s="151" t="n"/>
      <c r="AH333" s="151" t="n"/>
    </row>
    <row r="334">
      <c r="A334" s="151" t="inlineStr">
        <is>
          <t>FV0333A - Tuscan Shrimp [BNL]</t>
        </is>
      </c>
      <c r="B334" s="151" t="inlineStr">
        <is>
          <t>REC-013835-4-004</t>
        </is>
      </c>
      <c r="C334" s="151" t="inlineStr">
        <is>
          <t>Zucchini/Pepper/Onion Mix for Tuscan Shrimp - 1/2" Diced</t>
        </is>
      </c>
      <c r="D334" s="151" t="inlineStr">
        <is>
          <t>SUB-013802-4-001</t>
        </is>
      </c>
      <c r="E334" s="150" t="n">
        <v>100</v>
      </c>
      <c r="F334" s="151" t="inlineStr">
        <is>
          <t>grams</t>
        </is>
      </c>
      <c r="G334" s="151" t="inlineStr">
        <is>
          <t>BLAST CHILLER, OVEN</t>
        </is>
      </c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inlineStr">
        <is>
          <t>FA-DE Onion, Red, Diced 10mm/Zwiebeln, rot, gewürfelt, 10 mm</t>
        </is>
      </c>
      <c r="X334" s="151" t="inlineStr">
        <is>
          <t>PHF-00-139216-3</t>
        </is>
      </c>
      <c r="Y334" s="155" t="inlineStr">
        <is>
          <t>13,01</t>
        </is>
      </c>
      <c r="Z334" s="149" t="inlineStr">
        <is>
          <t>13,01</t>
        </is>
      </c>
      <c r="AA334" s="151" t="inlineStr">
        <is>
          <t>grams</t>
        </is>
      </c>
      <c r="AB334" s="151" t="n"/>
      <c r="AC334" s="151" t="n"/>
      <c r="AD334" s="150" t="n">
        <v>0.89908</v>
      </c>
      <c r="AE334" s="149" t="n">
        <v>13.01</v>
      </c>
      <c r="AF334" s="151" t="inlineStr">
        <is>
          <t>grams</t>
        </is>
      </c>
      <c r="AG334" s="151" t="n"/>
      <c r="AH334" s="151" t="n"/>
    </row>
    <row r="335">
      <c r="A335" s="151" t="inlineStr">
        <is>
          <t>FV0333A - Tuscan Shrimp [BNL]</t>
        </is>
      </c>
      <c r="B335" s="151" t="inlineStr">
        <is>
          <t>REC-013835-4-004</t>
        </is>
      </c>
      <c r="C335" s="151" t="inlineStr">
        <is>
          <t>Zucchini/Pepper/Onion Mix for Tuscan Shrimp - 1/2" Diced</t>
        </is>
      </c>
      <c r="D335" s="151" t="inlineStr">
        <is>
          <t>SUB-013802-4-001</t>
        </is>
      </c>
      <c r="E335" s="150" t="n">
        <v>100</v>
      </c>
      <c r="F335" s="151" t="inlineStr">
        <is>
          <t>grams</t>
        </is>
      </c>
      <c r="G335" s="151" t="inlineStr">
        <is>
          <t>BLAST CHILLER, OVEN</t>
        </is>
      </c>
      <c r="H335" s="151" t="inlineStr">
        <is>
          <t>Tuscan Spice</t>
        </is>
      </c>
      <c r="I335" s="151" t="inlineStr">
        <is>
          <t>SUB-013784-4-001</t>
        </is>
      </c>
      <c r="J335" s="150" t="n">
        <v>0.58</v>
      </c>
      <c r="K335" s="151" t="inlineStr">
        <is>
          <t>grams</t>
        </is>
      </c>
      <c r="L335" s="151" t="inlineStr">
        <is>
          <t>HAND MIX, SPICE PORTIONING</t>
        </is>
      </c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inlineStr">
        <is>
          <t>FA-DE Spice, Fennel Ground /Gewürz, Fenchel gemahlen</t>
        </is>
      </c>
      <c r="X335" s="151" t="inlineStr">
        <is>
          <t>SPI-00-139351-5</t>
        </is>
      </c>
      <c r="Y335" s="151" t="inlineStr">
        <is>
          <t>0,05</t>
        </is>
      </c>
      <c r="Z335" s="149" t="inlineStr">
        <is>
          <t>0,05</t>
        </is>
      </c>
      <c r="AA335" s="151" t="inlineStr">
        <is>
          <t>grams</t>
        </is>
      </c>
      <c r="AB335" s="151" t="n"/>
      <c r="AC335" s="151" t="n"/>
      <c r="AD335" s="150" t="n">
        <v>0.98006</v>
      </c>
      <c r="AE335" s="149" t="n">
        <v>0.05</v>
      </c>
      <c r="AF335" s="151" t="inlineStr">
        <is>
          <t>grams</t>
        </is>
      </c>
      <c r="AG335" s="151" t="n"/>
      <c r="AH335" s="151" t="n"/>
    </row>
    <row r="336">
      <c r="A336" s="151" t="inlineStr">
        <is>
          <t>FV0333A - Tuscan Shrimp [BNL]</t>
        </is>
      </c>
      <c r="B336" s="151" t="inlineStr">
        <is>
          <t>REC-013835-4-004</t>
        </is>
      </c>
      <c r="C336" s="151" t="inlineStr">
        <is>
          <t>Zucchini/Pepper/Onion Mix for Tuscan Shrimp - 1/2" Diced</t>
        </is>
      </c>
      <c r="D336" s="151" t="inlineStr">
        <is>
          <t>SUB-013802-4-001</t>
        </is>
      </c>
      <c r="E336" s="150" t="n">
        <v>100</v>
      </c>
      <c r="F336" s="151" t="inlineStr">
        <is>
          <t>grams</t>
        </is>
      </c>
      <c r="G336" s="151" t="inlineStr">
        <is>
          <t>BLAST CHILLER, OVEN</t>
        </is>
      </c>
      <c r="H336" s="151" t="inlineStr">
        <is>
          <t>Tuscan Spice</t>
        </is>
      </c>
      <c r="I336" s="151" t="inlineStr">
        <is>
          <t>SUB-013784-4-001</t>
        </is>
      </c>
      <c r="J336" s="150" t="n">
        <v>0.58</v>
      </c>
      <c r="K336" s="151" t="inlineStr">
        <is>
          <t>grams</t>
        </is>
      </c>
      <c r="L336" s="151" t="inlineStr">
        <is>
          <t>HAND MIX, SPICE PORTIONING</t>
        </is>
      </c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inlineStr">
        <is>
          <t>FA-DE Spice, Basil, Dried /Gewürz, Basilikum, getrocknet</t>
        </is>
      </c>
      <c r="X336" s="151" t="inlineStr">
        <is>
          <t>SPI-00-139331-5</t>
        </is>
      </c>
      <c r="Y336" s="151" t="inlineStr">
        <is>
          <t>0,15</t>
        </is>
      </c>
      <c r="Z336" s="149" t="inlineStr">
        <is>
          <t>0,15</t>
        </is>
      </c>
      <c r="AA336" s="151" t="inlineStr">
        <is>
          <t>grams</t>
        </is>
      </c>
      <c r="AB336" s="151" t="n"/>
      <c r="AC336" s="151" t="n"/>
      <c r="AD336" s="150" t="n">
        <v>0.98006</v>
      </c>
      <c r="AE336" s="149" t="n">
        <v>0.15</v>
      </c>
      <c r="AF336" s="151" t="inlineStr">
        <is>
          <t>grams</t>
        </is>
      </c>
      <c r="AG336" s="151" t="n"/>
      <c r="AH336" s="151" t="n"/>
    </row>
    <row r="337">
      <c r="A337" s="151" t="inlineStr">
        <is>
          <t>FV0333A - Tuscan Shrimp [BNL]</t>
        </is>
      </c>
      <c r="B337" s="151" t="inlineStr">
        <is>
          <t>REC-013835-4-004</t>
        </is>
      </c>
      <c r="C337" s="151" t="inlineStr">
        <is>
          <t>Zucchini/Pepper/Onion Mix for Tuscan Shrimp - 1/2" Diced</t>
        </is>
      </c>
      <c r="D337" s="151" t="inlineStr">
        <is>
          <t>SUB-013802-4-001</t>
        </is>
      </c>
      <c r="E337" s="150" t="n">
        <v>100</v>
      </c>
      <c r="F337" s="151" t="inlineStr">
        <is>
          <t>grams</t>
        </is>
      </c>
      <c r="G337" s="151" t="inlineStr">
        <is>
          <t>BLAST CHILLER, OVEN</t>
        </is>
      </c>
      <c r="H337" s="151" t="inlineStr">
        <is>
          <t>Tuscan Spice</t>
        </is>
      </c>
      <c r="I337" s="151" t="inlineStr">
        <is>
          <t>SUB-013784-4-001</t>
        </is>
      </c>
      <c r="J337" s="150" t="n">
        <v>0.58</v>
      </c>
      <c r="K337" s="151" t="inlineStr">
        <is>
          <t>grams</t>
        </is>
      </c>
      <c r="L337" s="151" t="inlineStr">
        <is>
          <t>HAND MIX, SPICE PORTIONING</t>
        </is>
      </c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inlineStr">
        <is>
          <t>FA-DE Spice, Cayenne Pepper /Gewürz, Cayennepfeffer</t>
        </is>
      </c>
      <c r="X337" s="151" t="inlineStr">
        <is>
          <t>SPI-00-139339-5</t>
        </is>
      </c>
      <c r="Y337" s="151" t="inlineStr">
        <is>
          <t>0,03</t>
        </is>
      </c>
      <c r="Z337" s="149" t="inlineStr">
        <is>
          <t>0,03</t>
        </is>
      </c>
      <c r="AA337" s="151" t="inlineStr">
        <is>
          <t>grams</t>
        </is>
      </c>
      <c r="AB337" s="151" t="n"/>
      <c r="AC337" s="151" t="n"/>
      <c r="AD337" s="150" t="n">
        <v>0.98006</v>
      </c>
      <c r="AE337" s="149" t="n">
        <v>0.03</v>
      </c>
      <c r="AF337" s="151" t="inlineStr">
        <is>
          <t>grams</t>
        </is>
      </c>
      <c r="AG337" s="151" t="n"/>
      <c r="AH337" s="151" t="n"/>
    </row>
    <row r="338">
      <c r="A338" s="151" t="inlineStr">
        <is>
          <t>FV0333A - Tuscan Shrimp [BNL]</t>
        </is>
      </c>
      <c r="B338" s="151" t="inlineStr">
        <is>
          <t>REC-013835-4-004</t>
        </is>
      </c>
      <c r="C338" s="151" t="inlineStr">
        <is>
          <t>Zucchini/Pepper/Onion Mix for Tuscan Shrimp - 1/2" Diced</t>
        </is>
      </c>
      <c r="D338" s="151" t="inlineStr">
        <is>
          <t>SUB-013802-4-001</t>
        </is>
      </c>
      <c r="E338" s="150" t="n">
        <v>100</v>
      </c>
      <c r="F338" s="151" t="inlineStr">
        <is>
          <t>grams</t>
        </is>
      </c>
      <c r="G338" s="151" t="inlineStr">
        <is>
          <t>BLAST CHILLER, OVEN</t>
        </is>
      </c>
      <c r="H338" s="151" t="inlineStr">
        <is>
          <t>Tuscan Spice</t>
        </is>
      </c>
      <c r="I338" s="151" t="inlineStr">
        <is>
          <t>SUB-013784-4-001</t>
        </is>
      </c>
      <c r="J338" s="150" t="n">
        <v>0.58</v>
      </c>
      <c r="K338" s="151" t="inlineStr">
        <is>
          <t>grams</t>
        </is>
      </c>
      <c r="L338" s="151" t="inlineStr">
        <is>
          <t>HAND MIX, SPICE PORTIONING</t>
        </is>
      </c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inlineStr">
        <is>
          <t>FA-DE Spice, Oregano Dry /Gewürz, Oregano trocken</t>
        </is>
      </c>
      <c r="X338" s="151" t="inlineStr">
        <is>
          <t>SPI-00-139372-5</t>
        </is>
      </c>
      <c r="Y338" s="151" t="inlineStr">
        <is>
          <t>0,1</t>
        </is>
      </c>
      <c r="Z338" s="149" t="inlineStr">
        <is>
          <t>0,1</t>
        </is>
      </c>
      <c r="AA338" s="151" t="inlineStr">
        <is>
          <t>grams</t>
        </is>
      </c>
      <c r="AB338" s="151" t="n"/>
      <c r="AC338" s="151" t="n"/>
      <c r="AD338" s="150" t="n">
        <v>0.98006</v>
      </c>
      <c r="AE338" s="149" t="n">
        <v>0.1</v>
      </c>
      <c r="AF338" s="151" t="inlineStr">
        <is>
          <t>grams</t>
        </is>
      </c>
      <c r="AG338" s="151" t="n"/>
      <c r="AH338" s="151" t="n"/>
    </row>
    <row r="339">
      <c r="A339" s="151" t="inlineStr">
        <is>
          <t>FV0333A - Tuscan Shrimp [BNL]</t>
        </is>
      </c>
      <c r="B339" s="151" t="inlineStr">
        <is>
          <t>REC-013835-4-004</t>
        </is>
      </c>
      <c r="C339" s="151" t="inlineStr">
        <is>
          <t>Zucchini/Pepper/Onion Mix for Tuscan Shrimp - 1/2" Diced</t>
        </is>
      </c>
      <c r="D339" s="151" t="inlineStr">
        <is>
          <t>SUB-013802-4-001</t>
        </is>
      </c>
      <c r="E339" s="150" t="n">
        <v>100</v>
      </c>
      <c r="F339" s="151" t="inlineStr">
        <is>
          <t>grams</t>
        </is>
      </c>
      <c r="G339" s="151" t="inlineStr">
        <is>
          <t>BLAST CHILLER, OVEN</t>
        </is>
      </c>
      <c r="H339" s="151" t="inlineStr">
        <is>
          <t>Tuscan Spice</t>
        </is>
      </c>
      <c r="I339" s="151" t="inlineStr">
        <is>
          <t>SUB-013784-4-001</t>
        </is>
      </c>
      <c r="J339" s="150" t="n">
        <v>0.58</v>
      </c>
      <c r="K339" s="151" t="inlineStr">
        <is>
          <t>grams</t>
        </is>
      </c>
      <c r="L339" s="151" t="inlineStr">
        <is>
          <t>HAND MIX, SPICE PORTIONING</t>
        </is>
      </c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inlineStr">
        <is>
          <t>FA-DE Spice, Rosemary, Powder /Gewürz, Rosmarin, Pulver</t>
        </is>
      </c>
      <c r="X339" s="151" t="inlineStr">
        <is>
          <t>SPI-00-139376-5</t>
        </is>
      </c>
      <c r="Y339" s="151" t="inlineStr">
        <is>
          <t>0,1</t>
        </is>
      </c>
      <c r="Z339" s="149" t="inlineStr">
        <is>
          <t>0,1</t>
        </is>
      </c>
      <c r="AA339" s="151" t="inlineStr">
        <is>
          <t>grams</t>
        </is>
      </c>
      <c r="AB339" s="151" t="n"/>
      <c r="AC339" s="151" t="n"/>
      <c r="AD339" s="150" t="n">
        <v>0.98006</v>
      </c>
      <c r="AE339" s="149" t="n">
        <v>0.1</v>
      </c>
      <c r="AF339" s="151" t="inlineStr">
        <is>
          <t>grams</t>
        </is>
      </c>
      <c r="AG339" s="151" t="n"/>
      <c r="AH339" s="151" t="n"/>
    </row>
    <row r="340">
      <c r="A340" s="151" t="inlineStr">
        <is>
          <t>FV0333A - Tuscan Shrimp [BNL]</t>
        </is>
      </c>
      <c r="B340" s="151" t="inlineStr">
        <is>
          <t>REC-013835-4-004</t>
        </is>
      </c>
      <c r="C340" s="151" t="inlineStr">
        <is>
          <t>Zucchini/Pepper/Onion Mix for Tuscan Shrimp - 1/2" Diced</t>
        </is>
      </c>
      <c r="D340" s="151" t="inlineStr">
        <is>
          <t>SUB-013802-4-001</t>
        </is>
      </c>
      <c r="E340" s="150" t="n">
        <v>100</v>
      </c>
      <c r="F340" s="151" t="inlineStr">
        <is>
          <t>grams</t>
        </is>
      </c>
      <c r="G340" s="151" t="inlineStr">
        <is>
          <t>BLAST CHILLER, OVEN</t>
        </is>
      </c>
      <c r="H340" s="151" t="inlineStr">
        <is>
          <t>Tuscan Spice</t>
        </is>
      </c>
      <c r="I340" s="151" t="inlineStr">
        <is>
          <t>SUB-013784-4-001</t>
        </is>
      </c>
      <c r="J340" s="150" t="n">
        <v>0.58</v>
      </c>
      <c r="K340" s="151" t="inlineStr">
        <is>
          <t>grams</t>
        </is>
      </c>
      <c r="L340" s="151" t="inlineStr">
        <is>
          <t>HAND MIX, SPICE PORTIONING</t>
        </is>
      </c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inlineStr">
        <is>
          <t>FA-DE Spice, Garlic Granulated /Gewürz, Knoblauch granuliert</t>
        </is>
      </c>
      <c r="X340" s="151" t="inlineStr">
        <is>
          <t>SPI-00-139353-5</t>
        </is>
      </c>
      <c r="Y340" s="151" t="inlineStr">
        <is>
          <t>0,15</t>
        </is>
      </c>
      <c r="Z340" s="149" t="inlineStr">
        <is>
          <t>0,15</t>
        </is>
      </c>
      <c r="AA340" s="151" t="inlineStr">
        <is>
          <t>grams</t>
        </is>
      </c>
      <c r="AB340" s="151" t="n"/>
      <c r="AC340" s="151" t="n"/>
      <c r="AD340" s="150" t="n">
        <v>0.98006</v>
      </c>
      <c r="AE340" s="149" t="n">
        <v>0.15</v>
      </c>
      <c r="AF340" s="151" t="inlineStr">
        <is>
          <t>grams</t>
        </is>
      </c>
      <c r="AG340" s="151" t="n"/>
      <c r="AH340" s="151" t="n"/>
    </row>
    <row r="341">
      <c r="A341" s="151" t="inlineStr">
        <is>
          <t>FV0333A - Tuscan Shrimp [BNL]</t>
        </is>
      </c>
      <c r="B341" s="151" t="inlineStr">
        <is>
          <t>REC-013835-4-004</t>
        </is>
      </c>
      <c r="C341" s="151" t="inlineStr">
        <is>
          <t>Zucchini/Pepper/Onion Mix for Tuscan Shrimp - 1/2" Diced</t>
        </is>
      </c>
      <c r="D341" s="151" t="inlineStr">
        <is>
          <t>SUB-013802-4-001</t>
        </is>
      </c>
      <c r="E341" s="150" t="n">
        <v>100</v>
      </c>
      <c r="F341" s="151" t="inlineStr">
        <is>
          <t>grams</t>
        </is>
      </c>
      <c r="G341" s="151" t="inlineStr">
        <is>
          <t>BLAST CHILLER, OVEN</t>
        </is>
      </c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inlineStr">
        <is>
          <t>FA-DE Oil, Olive /Öl, Olivenöl</t>
        </is>
      </c>
      <c r="X341" s="151" t="inlineStr">
        <is>
          <t>PRO-00-139277-5</t>
        </is>
      </c>
      <c r="Y341" s="151" t="inlineStr">
        <is>
          <t>2,89</t>
        </is>
      </c>
      <c r="Z341" s="149" t="inlineStr">
        <is>
          <t>2,89</t>
        </is>
      </c>
      <c r="AA341" s="151" t="inlineStr">
        <is>
          <t>grams</t>
        </is>
      </c>
      <c r="AB341" s="151" t="n"/>
      <c r="AC341" s="151" t="n"/>
      <c r="AD341" s="150" t="n">
        <v>0.89908</v>
      </c>
      <c r="AE341" s="149" t="n">
        <v>2.89</v>
      </c>
      <c r="AF341" s="151" t="inlineStr">
        <is>
          <t>grams</t>
        </is>
      </c>
      <c r="AG341" s="151" t="n"/>
      <c r="AH341" s="151" t="n"/>
    </row>
    <row r="342">
      <c r="A342" s="151" t="inlineStr">
        <is>
          <t>FV0333A - Tuscan Shrimp [BNL]</t>
        </is>
      </c>
      <c r="B342" s="151" t="inlineStr">
        <is>
          <t>REC-013835-4-004</t>
        </is>
      </c>
      <c r="C342" s="151" t="inlineStr">
        <is>
          <t>Zucchini/Pepper/Onion Mix for Tuscan Shrimp - 1/2" Diced</t>
        </is>
      </c>
      <c r="D342" s="151" t="inlineStr">
        <is>
          <t>SUB-013802-4-001</t>
        </is>
      </c>
      <c r="E342" s="150" t="n">
        <v>100</v>
      </c>
      <c r="F342" s="151" t="inlineStr">
        <is>
          <t>grams</t>
        </is>
      </c>
      <c r="G342" s="151" t="inlineStr">
        <is>
          <t>BLAST CHILLER, OVEN</t>
        </is>
      </c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inlineStr">
        <is>
          <t>FA-DE Zucchini, Diced 10mm /Zucchini, gewürfelt 10 mm</t>
        </is>
      </c>
      <c r="X342" s="151" t="inlineStr">
        <is>
          <t>PHF-00-139229-3</t>
        </is>
      </c>
      <c r="Y342" s="151" t="inlineStr">
        <is>
          <t>75,15</t>
        </is>
      </c>
      <c r="Z342" s="149" t="inlineStr">
        <is>
          <t>75,15</t>
        </is>
      </c>
      <c r="AA342" s="151" t="inlineStr">
        <is>
          <t>grams</t>
        </is>
      </c>
      <c r="AB342" s="151" t="n"/>
      <c r="AC342" s="151" t="n"/>
      <c r="AD342" s="150" t="n">
        <v>0.89908</v>
      </c>
      <c r="AE342" s="149" t="n">
        <v>75.15000000000001</v>
      </c>
      <c r="AF342" s="151" t="inlineStr">
        <is>
          <t>grams</t>
        </is>
      </c>
      <c r="AG342" s="151" t="n"/>
      <c r="AH342" s="151" t="n"/>
    </row>
    <row r="343">
      <c r="A343" s="151" t="inlineStr">
        <is>
          <t>FV0333A - Tuscan Shrimp [BNL]</t>
        </is>
      </c>
      <c r="B343" s="151" t="inlineStr">
        <is>
          <t>REC-013835-4-004</t>
        </is>
      </c>
      <c r="C343" s="151" t="inlineStr">
        <is>
          <t>Zucchini/Pepper/Onion Mix for Tuscan Shrimp - 1/2" Diced</t>
        </is>
      </c>
      <c r="D343" s="151" t="inlineStr">
        <is>
          <t>SUB-013802-4-001</t>
        </is>
      </c>
      <c r="E343" s="150" t="n">
        <v>100</v>
      </c>
      <c r="F343" s="151" t="inlineStr">
        <is>
          <t>grams</t>
        </is>
      </c>
      <c r="G343" s="151" t="inlineStr">
        <is>
          <t>BLAST CHILLER, OVEN</t>
        </is>
      </c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inlineStr">
        <is>
          <t>FA-DE Spice, Sea Salt /Gewürze, Meersalz</t>
        </is>
      </c>
      <c r="X343" s="151" t="inlineStr">
        <is>
          <t>SPI-00-139378-5</t>
        </is>
      </c>
      <c r="Y343" s="151" t="inlineStr">
        <is>
          <t>0,24</t>
        </is>
      </c>
      <c r="Z343" s="149" t="inlineStr">
        <is>
          <t>0,24</t>
        </is>
      </c>
      <c r="AA343" s="151" t="inlineStr">
        <is>
          <t>grams</t>
        </is>
      </c>
      <c r="AB343" s="151" t="n"/>
      <c r="AC343" s="151" t="n"/>
      <c r="AD343" s="150" t="n">
        <v>0.89908</v>
      </c>
      <c r="AE343" s="149" t="n">
        <v>0.24</v>
      </c>
      <c r="AF343" s="151" t="inlineStr">
        <is>
          <t>grams</t>
        </is>
      </c>
      <c r="AG343" s="151" t="n"/>
      <c r="AH343" s="151" t="n"/>
    </row>
    <row r="344">
      <c r="A344" s="151" t="inlineStr">
        <is>
          <t>FV0333A - Tuscan Shrimp [BNL]</t>
        </is>
      </c>
      <c r="B344" s="151" t="inlineStr">
        <is>
          <t>REC-013835-4-004</t>
        </is>
      </c>
      <c r="C344" s="151" t="inlineStr">
        <is>
          <t>Zucchini/Pepper/Onion Mix for Tuscan Shrimp - 1/2" Diced</t>
        </is>
      </c>
      <c r="D344" s="151" t="inlineStr">
        <is>
          <t>SUB-013802-4-001</t>
        </is>
      </c>
      <c r="E344" s="150" t="n">
        <v>100</v>
      </c>
      <c r="F344" s="151" t="inlineStr">
        <is>
          <t>grams</t>
        </is>
      </c>
      <c r="G344" s="151" t="inlineStr">
        <is>
          <t>BLAST CHILLER, OVEN</t>
        </is>
      </c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inlineStr">
        <is>
          <t>FA-DE Bell Peppers, Red, Diced 10mm /Paprika, rot, gewürfelt 10 mm</t>
        </is>
      </c>
      <c r="X344" s="151" t="inlineStr">
        <is>
          <t>PHF-00-139179-3</t>
        </is>
      </c>
      <c r="Y344" s="151" t="inlineStr">
        <is>
          <t>19,36</t>
        </is>
      </c>
      <c r="Z344" s="149" t="inlineStr">
        <is>
          <t>19,36</t>
        </is>
      </c>
      <c r="AA344" s="151" t="inlineStr">
        <is>
          <t>grams</t>
        </is>
      </c>
      <c r="AB344" s="151" t="n"/>
      <c r="AC344" s="151" t="n"/>
      <c r="AD344" s="150" t="n">
        <v>0.89908</v>
      </c>
      <c r="AE344" s="149" t="n">
        <v>19.36</v>
      </c>
      <c r="AF344" s="151" t="inlineStr">
        <is>
          <t>grams</t>
        </is>
      </c>
      <c r="AG344" s="151" t="n"/>
      <c r="AH344" s="151" t="n"/>
    </row>
    <row r="345">
      <c r="A345" s="151" t="inlineStr">
        <is>
          <t>FV0333A - Tuscan Shrimp [DE]</t>
        </is>
      </c>
      <c r="B345" s="151" t="inlineStr">
        <is>
          <t>REC-013835-4-002</t>
        </is>
      </c>
      <c r="C345" s="151" t="inlineStr">
        <is>
          <t>Creamed Kale - Cream Cheese</t>
        </is>
      </c>
      <c r="D345" s="151" t="inlineStr">
        <is>
          <t>SUB-013834-4-001</t>
        </is>
      </c>
      <c r="E345" s="150" t="n">
        <v>100</v>
      </c>
      <c r="F345" s="151" t="inlineStr">
        <is>
          <t>grams</t>
        </is>
      </c>
      <c r="G345" s="151" t="inlineStr">
        <is>
          <t>BLAST CHILLER, BRAISER, SPICE PORTIONING</t>
        </is>
      </c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inlineStr">
        <is>
          <t>FA-DE Milk, Whole /Milch, voll</t>
        </is>
      </c>
      <c r="X345" s="151" t="inlineStr">
        <is>
          <t>DAI-00-139142-3</t>
        </is>
      </c>
      <c r="Y345" s="151" t="inlineStr">
        <is>
          <t>3,86</t>
        </is>
      </c>
      <c r="Z345" s="149" t="inlineStr">
        <is>
          <t>3,86</t>
        </is>
      </c>
      <c r="AA345" s="151" t="inlineStr">
        <is>
          <t>grams</t>
        </is>
      </c>
      <c r="AB345" s="151" t="inlineStr">
        <is>
          <t>MILCH (EINSCHLIESSLICH LAKTOSE)</t>
        </is>
      </c>
      <c r="AC345" s="151" t="n"/>
      <c r="AD345" s="150" t="n">
        <v>0.9522699999999999</v>
      </c>
      <c r="AE345" s="149" t="n">
        <v>3.86</v>
      </c>
      <c r="AF345" s="151" t="inlineStr">
        <is>
          <t>grams</t>
        </is>
      </c>
      <c r="AG345" s="151" t="n"/>
      <c r="AH345" s="151" t="n"/>
    </row>
    <row r="346">
      <c r="A346" s="151" t="inlineStr">
        <is>
          <t>FV0333A - Tuscan Shrimp [DE]</t>
        </is>
      </c>
      <c r="B346" s="151" t="inlineStr">
        <is>
          <t>REC-013835-4-002</t>
        </is>
      </c>
      <c r="C346" s="151" t="inlineStr">
        <is>
          <t>Creamed Kale - Cream Cheese</t>
        </is>
      </c>
      <c r="D346" s="151" t="inlineStr">
        <is>
          <t>SUB-013834-4-001</t>
        </is>
      </c>
      <c r="E346" s="150" t="n">
        <v>100</v>
      </c>
      <c r="F346" s="151" t="inlineStr">
        <is>
          <t>grams</t>
        </is>
      </c>
      <c r="G346" s="151" t="inlineStr">
        <is>
          <t>BLAST CHILLER, BRAISER, SPICE PORTIONING</t>
        </is>
      </c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inlineStr">
        <is>
          <t>FA-DE Heavy Cream 20% /Sahne 20%</t>
        </is>
      </c>
      <c r="X346" s="151" t="inlineStr">
        <is>
          <t>DAI-00-139137-3</t>
        </is>
      </c>
      <c r="Y346" s="151" t="inlineStr">
        <is>
          <t>47,58</t>
        </is>
      </c>
      <c r="Z346" s="149" t="inlineStr">
        <is>
          <t>47,58</t>
        </is>
      </c>
      <c r="AA346" s="151" t="inlineStr">
        <is>
          <t>grams</t>
        </is>
      </c>
      <c r="AB346" s="151" t="inlineStr">
        <is>
          <t>MILCH (EINSCHLIESSLICH LAKTOSE)</t>
        </is>
      </c>
      <c r="AC346" s="151" t="n"/>
      <c r="AD346" s="150" t="n">
        <v>0.9522699999999999</v>
      </c>
      <c r="AE346" s="149" t="n">
        <v>47.58</v>
      </c>
      <c r="AF346" s="151" t="inlineStr">
        <is>
          <t>grams</t>
        </is>
      </c>
      <c r="AG346" s="151" t="n"/>
      <c r="AH346" s="151" t="n"/>
    </row>
    <row r="347">
      <c r="A347" s="151" t="inlineStr">
        <is>
          <t>FV0333A - Tuscan Shrimp [DE]</t>
        </is>
      </c>
      <c r="B347" s="151" t="inlineStr">
        <is>
          <t>REC-013835-4-002</t>
        </is>
      </c>
      <c r="C347" s="151" t="inlineStr">
        <is>
          <t>Creamed Kale - Cream Cheese</t>
        </is>
      </c>
      <c r="D347" s="151" t="inlineStr">
        <is>
          <t>SUB-013834-4-001</t>
        </is>
      </c>
      <c r="E347" s="150" t="n">
        <v>100</v>
      </c>
      <c r="F347" s="151" t="inlineStr">
        <is>
          <t>grams</t>
        </is>
      </c>
      <c r="G347" s="151" t="inlineStr">
        <is>
          <t>BLAST CHILLER, BRAISER, SPICE PORTIONING</t>
        </is>
      </c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inlineStr">
        <is>
          <t>FA-DE Spice, White Pepper /Gewürz, weißer Pfeffer</t>
        </is>
      </c>
      <c r="X347" s="151" t="inlineStr">
        <is>
          <t>SPI-00-139387-5</t>
        </is>
      </c>
      <c r="Y347" s="151" t="inlineStr">
        <is>
          <t>0,07</t>
        </is>
      </c>
      <c r="Z347" s="149" t="inlineStr">
        <is>
          <t>0,07</t>
        </is>
      </c>
      <c r="AA347" s="151" t="inlineStr">
        <is>
          <t>grams</t>
        </is>
      </c>
      <c r="AB347" s="151" t="n"/>
      <c r="AC347" s="151" t="n"/>
      <c r="AD347" s="150" t="n">
        <v>0.9522699999999999</v>
      </c>
      <c r="AE347" s="149" t="n">
        <v>0.07000000000000001</v>
      </c>
      <c r="AF347" s="151" t="inlineStr">
        <is>
          <t>grams</t>
        </is>
      </c>
      <c r="AG347" s="151" t="n"/>
      <c r="AH347" s="151" t="n"/>
    </row>
    <row r="348">
      <c r="A348" s="151" t="inlineStr">
        <is>
          <t>FV0333A - Tuscan Shrimp [DE]</t>
        </is>
      </c>
      <c r="B348" s="151" t="inlineStr">
        <is>
          <t>REC-013835-4-002</t>
        </is>
      </c>
      <c r="C348" s="151" t="inlineStr">
        <is>
          <t>Creamed Kale - Cream Cheese</t>
        </is>
      </c>
      <c r="D348" s="151" t="inlineStr">
        <is>
          <t>SUB-013834-4-001</t>
        </is>
      </c>
      <c r="E348" s="150" t="n">
        <v>100</v>
      </c>
      <c r="F348" s="151" t="inlineStr">
        <is>
          <t>grams</t>
        </is>
      </c>
      <c r="G348" s="151" t="inlineStr">
        <is>
          <t>BLAST CHILLER, BRAISER, SPICE PORTIONING</t>
        </is>
      </c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inlineStr">
        <is>
          <t>FA-DE Cheese, Cream, 13% Fat (Milk) /Käse, Sahne, 13% Fett</t>
        </is>
      </c>
      <c r="X348" s="151" t="inlineStr">
        <is>
          <t>DAI-00-139122-3</t>
        </is>
      </c>
      <c r="Y348" s="151" t="inlineStr">
        <is>
          <t>7,72</t>
        </is>
      </c>
      <c r="Z348" s="149" t="inlineStr">
        <is>
          <t>7,72</t>
        </is>
      </c>
      <c r="AA348" s="151" t="inlineStr">
        <is>
          <t>grams</t>
        </is>
      </c>
      <c r="AB348" s="151" t="inlineStr">
        <is>
          <t>MILCH (EINSCHLIESSLICH LAKTOSE)</t>
        </is>
      </c>
      <c r="AC348" s="151" t="n"/>
      <c r="AD348" s="150" t="n">
        <v>0.9522699999999999</v>
      </c>
      <c r="AE348" s="149" t="n">
        <v>7.72</v>
      </c>
      <c r="AF348" s="151" t="inlineStr">
        <is>
          <t>grams</t>
        </is>
      </c>
      <c r="AG348" s="151" t="n"/>
      <c r="AH348" s="151" t="n"/>
    </row>
    <row r="349">
      <c r="A349" s="151" t="inlineStr">
        <is>
          <t>FV0333A - Tuscan Shrimp [DE]</t>
        </is>
      </c>
      <c r="B349" s="151" t="inlineStr">
        <is>
          <t>REC-013835-4-002</t>
        </is>
      </c>
      <c r="C349" s="151" t="inlineStr">
        <is>
          <t>Creamed Kale - Cream Cheese</t>
        </is>
      </c>
      <c r="D349" s="151" t="inlineStr">
        <is>
          <t>SUB-013834-4-001</t>
        </is>
      </c>
      <c r="E349" s="150" t="n">
        <v>100</v>
      </c>
      <c r="F349" s="151" t="inlineStr">
        <is>
          <t>grams</t>
        </is>
      </c>
      <c r="G349" s="151" t="inlineStr">
        <is>
          <t>BLAST CHILLER, BRAISER, SPICE PORTIONING</t>
        </is>
      </c>
      <c r="H349" s="151" t="inlineStr">
        <is>
          <t>Steamed Kale - 1/2"diced</t>
        </is>
      </c>
      <c r="I349" s="151" t="inlineStr">
        <is>
          <t>SUB-013786-4-001</t>
        </is>
      </c>
      <c r="J349" s="150" t="n">
        <v>24.72</v>
      </c>
      <c r="K349" s="151" t="inlineStr">
        <is>
          <t>grams</t>
        </is>
      </c>
      <c r="L349" s="151" t="inlineStr">
        <is>
          <t>BLAST CHILLER, OVEN</t>
        </is>
      </c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inlineStr">
        <is>
          <t>FA-DE Kale, Shredded 5mm /Grünkohl, geschreddert, 5 mm</t>
        </is>
      </c>
      <c r="X349" s="151" t="inlineStr">
        <is>
          <t>PHF-00-139203-3</t>
        </is>
      </c>
      <c r="Y349" s="151" t="inlineStr">
        <is>
          <t>26,16</t>
        </is>
      </c>
      <c r="Z349" s="149" t="inlineStr">
        <is>
          <t>26,16</t>
        </is>
      </c>
      <c r="AA349" s="151" t="inlineStr">
        <is>
          <t>grams</t>
        </is>
      </c>
      <c r="AB349" s="151" t="n"/>
      <c r="AC349" s="151" t="n"/>
      <c r="AD349" s="150" t="n">
        <v>0.94493</v>
      </c>
      <c r="AE349" s="149" t="n">
        <v>26.16</v>
      </c>
      <c r="AF349" s="151" t="inlineStr">
        <is>
          <t>grams</t>
        </is>
      </c>
      <c r="AG349" s="151" t="n"/>
      <c r="AH349" s="151" t="n"/>
    </row>
    <row r="350">
      <c r="A350" s="151" t="inlineStr">
        <is>
          <t>FV0333A - Tuscan Shrimp [DE]</t>
        </is>
      </c>
      <c r="B350" s="151" t="inlineStr">
        <is>
          <t>REC-013835-4-002</t>
        </is>
      </c>
      <c r="C350" s="151" t="inlineStr">
        <is>
          <t>Creamed Kale - Cream Cheese</t>
        </is>
      </c>
      <c r="D350" s="151" t="inlineStr">
        <is>
          <t>SUB-013834-4-001</t>
        </is>
      </c>
      <c r="E350" s="150" t="n">
        <v>100</v>
      </c>
      <c r="F350" s="151" t="inlineStr">
        <is>
          <t>grams</t>
        </is>
      </c>
      <c r="G350" s="151" t="inlineStr">
        <is>
          <t>BLAST CHILLER, BRAISER, SPICE PORTIONING</t>
        </is>
      </c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inlineStr">
        <is>
          <t>FA-DE Spice, Sea Salt /Gewürze, Meersalz</t>
        </is>
      </c>
      <c r="X350" s="151" t="inlineStr">
        <is>
          <t>SPI-00-139378-5</t>
        </is>
      </c>
      <c r="Y350" s="151" t="inlineStr">
        <is>
          <t>0,6</t>
        </is>
      </c>
      <c r="Z350" s="149" t="inlineStr">
        <is>
          <t>0,6</t>
        </is>
      </c>
      <c r="AA350" s="151" t="inlineStr">
        <is>
          <t>grams</t>
        </is>
      </c>
      <c r="AB350" s="151" t="n"/>
      <c r="AC350" s="151" t="n"/>
      <c r="AD350" s="150" t="n">
        <v>0.9522699999999999</v>
      </c>
      <c r="AE350" s="149" t="n">
        <v>0.6</v>
      </c>
      <c r="AF350" s="151" t="inlineStr">
        <is>
          <t>grams</t>
        </is>
      </c>
      <c r="AG350" s="151" t="n"/>
      <c r="AH350" s="151" t="n"/>
    </row>
    <row r="351">
      <c r="A351" s="151" t="inlineStr">
        <is>
          <t>FV0333A - Tuscan Shrimp [DE]</t>
        </is>
      </c>
      <c r="B351" s="151" t="inlineStr">
        <is>
          <t>REC-013835-4-002</t>
        </is>
      </c>
      <c r="C351" s="151" t="inlineStr">
        <is>
          <t>Creamed Kale - Cream Cheese</t>
        </is>
      </c>
      <c r="D351" s="151" t="inlineStr">
        <is>
          <t>SUB-013834-4-001</t>
        </is>
      </c>
      <c r="E351" s="150" t="n">
        <v>100</v>
      </c>
      <c r="F351" s="151" t="inlineStr">
        <is>
          <t>grams</t>
        </is>
      </c>
      <c r="G351" s="151" t="inlineStr">
        <is>
          <t>BLAST CHILLER, BRAISER, SPICE PORTIONING</t>
        </is>
      </c>
      <c r="H351" s="151" t="inlineStr">
        <is>
          <t>Roasted Onions/Garlic</t>
        </is>
      </c>
      <c r="I351" s="151" t="inlineStr">
        <is>
          <t>SUB-013787-4-001</t>
        </is>
      </c>
      <c r="J351" s="157" t="n">
        <v>13.9</v>
      </c>
      <c r="K351" s="151" t="inlineStr">
        <is>
          <t>grams</t>
        </is>
      </c>
      <c r="L351" s="151" t="inlineStr">
        <is>
          <t>BLAST CHILLER, OVEN</t>
        </is>
      </c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inlineStr">
        <is>
          <t>FA-DE Onion, Spanish, Diced 5mm /Zwiebel, Spanisch, gewürfelt 5 mm</t>
        </is>
      </c>
      <c r="X351" s="151" t="inlineStr">
        <is>
          <t>PHF-00-139212-3</t>
        </is>
      </c>
      <c r="Y351" s="151" t="inlineStr">
        <is>
          <t>9,65</t>
        </is>
      </c>
      <c r="Z351" s="149" t="inlineStr">
        <is>
          <t>9,65</t>
        </is>
      </c>
      <c r="AA351" s="151" t="inlineStr">
        <is>
          <t>grams</t>
        </is>
      </c>
      <c r="AB351" s="151" t="n"/>
      <c r="AC351" s="151" t="n"/>
      <c r="AD351" s="150" t="n">
        <v>0.85798</v>
      </c>
      <c r="AE351" s="149" t="n">
        <v>9.65</v>
      </c>
      <c r="AF351" s="151" t="inlineStr">
        <is>
          <t>grams</t>
        </is>
      </c>
      <c r="AG351" s="151" t="n"/>
      <c r="AH351" s="151" t="n"/>
    </row>
    <row r="352">
      <c r="A352" s="151" t="inlineStr">
        <is>
          <t>FV0333A - Tuscan Shrimp [DE]</t>
        </is>
      </c>
      <c r="B352" s="151" t="inlineStr">
        <is>
          <t>REC-013835-4-002</t>
        </is>
      </c>
      <c r="C352" s="151" t="inlineStr">
        <is>
          <t>Creamed Kale - Cream Cheese</t>
        </is>
      </c>
      <c r="D352" s="151" t="inlineStr">
        <is>
          <t>SUB-013834-4-001</t>
        </is>
      </c>
      <c r="E352" s="150" t="n">
        <v>100</v>
      </c>
      <c r="F352" s="151" t="inlineStr">
        <is>
          <t>grams</t>
        </is>
      </c>
      <c r="G352" s="151" t="inlineStr">
        <is>
          <t>BLAST CHILLER, BRAISER, SPICE PORTIONING</t>
        </is>
      </c>
      <c r="H352" s="151" t="inlineStr">
        <is>
          <t>Roasted Onions/Garlic</t>
        </is>
      </c>
      <c r="I352" s="151" t="inlineStr">
        <is>
          <t>SUB-013787-4-001</t>
        </is>
      </c>
      <c r="J352" s="157" t="n">
        <v>13.9</v>
      </c>
      <c r="K352" s="151" t="inlineStr">
        <is>
          <t>grams</t>
        </is>
      </c>
      <c r="L352" s="151" t="inlineStr">
        <is>
          <t>BLAST CHILLER, OVEN</t>
        </is>
      </c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inlineStr">
        <is>
          <t>FA-DE Garlic, IQF, Diced 4 mm /Knoblauch, IQF, gewürfelt 4 mm</t>
        </is>
      </c>
      <c r="X352" s="151" t="inlineStr">
        <is>
          <t>PHF-00-139237-1</t>
        </is>
      </c>
      <c r="Y352" s="151" t="inlineStr">
        <is>
          <t>3,85</t>
        </is>
      </c>
      <c r="Z352" s="149" t="inlineStr">
        <is>
          <t>3,85</t>
        </is>
      </c>
      <c r="AA352" s="151" t="inlineStr">
        <is>
          <t>grams</t>
        </is>
      </c>
      <c r="AB352" s="151" t="inlineStr">
        <is>
          <t>SCHWEFELDIOXIDE UND SULFITE</t>
        </is>
      </c>
      <c r="AC352" s="151" t="n"/>
      <c r="AD352" s="150" t="n">
        <v>0.85798</v>
      </c>
      <c r="AE352" s="149" t="n">
        <v>3.85</v>
      </c>
      <c r="AF352" s="151" t="inlineStr">
        <is>
          <t>grams</t>
        </is>
      </c>
      <c r="AG352" s="151" t="n"/>
      <c r="AH352" s="151" t="n"/>
    </row>
    <row r="353">
      <c r="A353" s="151" t="inlineStr">
        <is>
          <t>FV0333A - Tuscan Shrimp [DE]</t>
        </is>
      </c>
      <c r="B353" s="151" t="inlineStr">
        <is>
          <t>REC-013835-4-002</t>
        </is>
      </c>
      <c r="C353" s="151" t="inlineStr">
        <is>
          <t>Creamed Kale - Cream Cheese</t>
        </is>
      </c>
      <c r="D353" s="151" t="inlineStr">
        <is>
          <t>SUB-013834-4-001</t>
        </is>
      </c>
      <c r="E353" s="150" t="n">
        <v>100</v>
      </c>
      <c r="F353" s="151" t="inlineStr">
        <is>
          <t>grams</t>
        </is>
      </c>
      <c r="G353" s="151" t="inlineStr">
        <is>
          <t>BLAST CHILLER, BRAISER, SPICE PORTIONING</t>
        </is>
      </c>
      <c r="H353" s="151" t="inlineStr">
        <is>
          <t>Roasted Onions/Garlic</t>
        </is>
      </c>
      <c r="I353" s="151" t="inlineStr">
        <is>
          <t>SUB-013787-4-001</t>
        </is>
      </c>
      <c r="J353" s="157" t="n">
        <v>13.9</v>
      </c>
      <c r="K353" s="151" t="inlineStr">
        <is>
          <t>grams</t>
        </is>
      </c>
      <c r="L353" s="151" t="inlineStr">
        <is>
          <t>BLAST CHILLER, OVEN</t>
        </is>
      </c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inlineStr">
        <is>
          <t>FA-DE Oil, Olive /Öl, Olivenöl</t>
        </is>
      </c>
      <c r="X353" s="151" t="inlineStr">
        <is>
          <t>PRO-00-139277-5</t>
        </is>
      </c>
      <c r="Y353" s="154" t="inlineStr">
        <is>
          <t>2,7</t>
        </is>
      </c>
      <c r="Z353" s="149" t="inlineStr">
        <is>
          <t>2,7</t>
        </is>
      </c>
      <c r="AA353" s="151" t="inlineStr">
        <is>
          <t>grams</t>
        </is>
      </c>
      <c r="AB353" s="151" t="n"/>
      <c r="AC353" s="151" t="n"/>
      <c r="AD353" s="150" t="n">
        <v>0.85798</v>
      </c>
      <c r="AE353" s="149" t="n">
        <v>2.7</v>
      </c>
      <c r="AF353" s="151" t="inlineStr">
        <is>
          <t>grams</t>
        </is>
      </c>
      <c r="AG353" s="151" t="n"/>
      <c r="AH353" s="151" t="n"/>
    </row>
    <row r="354">
      <c r="A354" s="151" t="inlineStr">
        <is>
          <t>FV0333A - Tuscan Shrimp [DE]</t>
        </is>
      </c>
      <c r="B354" s="151" t="inlineStr">
        <is>
          <t>REC-013835-4-002</t>
        </is>
      </c>
      <c r="C354" s="151" t="inlineStr">
        <is>
          <t>Creamed Kale - Cream Cheese</t>
        </is>
      </c>
      <c r="D354" s="151" t="inlineStr">
        <is>
          <t>SUB-013834-4-001</t>
        </is>
      </c>
      <c r="E354" s="150" t="n">
        <v>100</v>
      </c>
      <c r="F354" s="151" t="inlineStr">
        <is>
          <t>grams</t>
        </is>
      </c>
      <c r="G354" s="151" t="inlineStr">
        <is>
          <t>BLAST CHILLER, BRAISER, SPICE PORTIONING</t>
        </is>
      </c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inlineStr">
        <is>
          <t>FA-DE Cheese, Parmesan, Grated /Käse, Parmesan, gerieben</t>
        </is>
      </c>
      <c r="X354" s="151" t="inlineStr">
        <is>
          <t>DAI-00-139127-3</t>
        </is>
      </c>
      <c r="Y354" s="151" t="inlineStr">
        <is>
          <t>6,57</t>
        </is>
      </c>
      <c r="Z354" s="149" t="inlineStr">
        <is>
          <t>6,57</t>
        </is>
      </c>
      <c r="AA354" s="151" t="inlineStr">
        <is>
          <t>grams</t>
        </is>
      </c>
      <c r="AB354" s="151" t="inlineStr">
        <is>
          <t>MILCH (EINSCHLIESSLICH LAKTOSE)</t>
        </is>
      </c>
      <c r="AC354" s="151" t="n"/>
      <c r="AD354" s="150" t="n">
        <v>0.9522699999999999</v>
      </c>
      <c r="AE354" s="149" t="n">
        <v>6.57</v>
      </c>
      <c r="AF354" s="151" t="inlineStr">
        <is>
          <t>grams</t>
        </is>
      </c>
      <c r="AG354" s="151" t="n"/>
      <c r="AH354" s="151" t="n"/>
    </row>
    <row r="355">
      <c r="A355" s="151" t="inlineStr">
        <is>
          <t>FV0333A - Tuscan Shrimp [DE]</t>
        </is>
      </c>
      <c r="B355" s="151" t="inlineStr">
        <is>
          <t>REC-013835-4-002</t>
        </is>
      </c>
      <c r="C355" s="151" t="inlineStr">
        <is>
          <t>Tuscan Shrimp batch</t>
        </is>
      </c>
      <c r="D355" s="151" t="inlineStr">
        <is>
          <t>SUB-013801-4-001</t>
        </is>
      </c>
      <c r="E355" s="150" t="n">
        <v>7</v>
      </c>
      <c r="F355" s="151" t="inlineStr">
        <is>
          <t>each</t>
        </is>
      </c>
      <c r="G355" s="151" t="inlineStr">
        <is>
          <t>BLAST CHILLER, MARINADE, OVEN, THAW</t>
        </is>
      </c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inlineStr">
        <is>
          <t>FA-DE Prawns 21/25 /Garnelen 21/25 - IQF</t>
        </is>
      </c>
      <c r="X355" s="151" t="inlineStr">
        <is>
          <t>PTN-00-139321-1</t>
        </is>
      </c>
      <c r="Y355" s="151" t="inlineStr">
        <is>
          <t>138,92</t>
        </is>
      </c>
      <c r="Z355" s="149" t="inlineStr">
        <is>
          <t>138,92</t>
        </is>
      </c>
      <c r="AA355" s="151" t="inlineStr">
        <is>
          <t>grams</t>
        </is>
      </c>
      <c r="AB355" s="151" t="inlineStr">
        <is>
          <t>KREBSTIERE</t>
        </is>
      </c>
      <c r="AC355" s="151" t="n"/>
      <c r="AD355" s="150" t="n">
        <v>0.70061</v>
      </c>
      <c r="AE355" s="149" t="n">
        <v>138.92</v>
      </c>
      <c r="AF355" s="151" t="inlineStr">
        <is>
          <t>grams</t>
        </is>
      </c>
      <c r="AG355" s="151" t="n"/>
      <c r="AH355" s="151" t="n"/>
    </row>
    <row r="356">
      <c r="A356" s="151" t="inlineStr">
        <is>
          <t>FV0333A - Tuscan Shrimp [DE]</t>
        </is>
      </c>
      <c r="B356" s="151" t="inlineStr">
        <is>
          <t>REC-013835-4-002</t>
        </is>
      </c>
      <c r="C356" s="151" t="inlineStr">
        <is>
          <t>Tuscan Shrimp batch</t>
        </is>
      </c>
      <c r="D356" s="151" t="inlineStr">
        <is>
          <t>SUB-013801-4-001</t>
        </is>
      </c>
      <c r="E356" s="150" t="n">
        <v>7</v>
      </c>
      <c r="F356" s="151" t="inlineStr">
        <is>
          <t>each</t>
        </is>
      </c>
      <c r="G356" s="151" t="inlineStr">
        <is>
          <t>BLAST CHILLER, MARINADE, OVEN, THAW</t>
        </is>
      </c>
      <c r="H356" s="151" t="inlineStr">
        <is>
          <t>Tuscan Marinade</t>
        </is>
      </c>
      <c r="I356" s="151" t="inlineStr">
        <is>
          <t>SUB-031711-4-001</t>
        </is>
      </c>
      <c r="J356" s="150" t="n">
        <v>10.96</v>
      </c>
      <c r="K356" s="151" t="inlineStr">
        <is>
          <t>grams</t>
        </is>
      </c>
      <c r="L356" s="151" t="inlineStr">
        <is>
          <t>IMMERSION BLENDER</t>
        </is>
      </c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inlineStr">
        <is>
          <t>FA-DE Oil, Olive /Öl, Olivenöl</t>
        </is>
      </c>
      <c r="X356" s="151" t="inlineStr">
        <is>
          <t>PRO-00-139277-5</t>
        </is>
      </c>
      <c r="Y356" s="151" t="inlineStr">
        <is>
          <t>7,73</t>
        </is>
      </c>
      <c r="Z356" s="149" t="inlineStr">
        <is>
          <t>7,73</t>
        </is>
      </c>
      <c r="AA356" s="151" t="inlineStr">
        <is>
          <t>grams</t>
        </is>
      </c>
      <c r="AB356" s="151" t="n"/>
      <c r="AC356" s="151" t="n"/>
      <c r="AD356" s="150" t="n">
        <v>0.96256</v>
      </c>
      <c r="AE356" s="149" t="n">
        <v>7.73</v>
      </c>
      <c r="AF356" s="151" t="inlineStr">
        <is>
          <t>grams</t>
        </is>
      </c>
      <c r="AG356" s="151" t="n"/>
      <c r="AH356" s="151" t="n"/>
    </row>
    <row r="357">
      <c r="A357" s="151" t="inlineStr">
        <is>
          <t>FV0333A - Tuscan Shrimp [DE]</t>
        </is>
      </c>
      <c r="B357" s="151" t="inlineStr">
        <is>
          <t>REC-013835-4-002</t>
        </is>
      </c>
      <c r="C357" s="151" t="inlineStr">
        <is>
          <t>Tuscan Shrimp batch</t>
        </is>
      </c>
      <c r="D357" s="151" t="inlineStr">
        <is>
          <t>SUB-013801-4-001</t>
        </is>
      </c>
      <c r="E357" s="150" t="n">
        <v>7</v>
      </c>
      <c r="F357" s="151" t="inlineStr">
        <is>
          <t>each</t>
        </is>
      </c>
      <c r="G357" s="151" t="inlineStr">
        <is>
          <t>BLAST CHILLER, MARINADE, OVEN, THAW</t>
        </is>
      </c>
      <c r="H357" s="151" t="inlineStr">
        <is>
          <t>Tuscan Marinade</t>
        </is>
      </c>
      <c r="I357" s="151" t="inlineStr">
        <is>
          <t>SUB-031711-4-001</t>
        </is>
      </c>
      <c r="J357" s="150" t="n">
        <v>10.96</v>
      </c>
      <c r="K357" s="151" t="inlineStr">
        <is>
          <t>grams</t>
        </is>
      </c>
      <c r="L357" s="151" t="inlineStr">
        <is>
          <t>IMMERSION BLENDER</t>
        </is>
      </c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inlineStr">
        <is>
          <t>FA-DE Garlic, IQF, Diced 4 mm /Knoblauch, IQF, gewürfelt 4 mm</t>
        </is>
      </c>
      <c r="X357" s="151" t="inlineStr">
        <is>
          <t>PHF-00-139237-1</t>
        </is>
      </c>
      <c r="Y357" s="154" t="inlineStr">
        <is>
          <t>2,06</t>
        </is>
      </c>
      <c r="Z357" s="149" t="inlineStr">
        <is>
          <t>2,06</t>
        </is>
      </c>
      <c r="AA357" s="151" t="inlineStr">
        <is>
          <t>grams</t>
        </is>
      </c>
      <c r="AB357" s="151" t="inlineStr">
        <is>
          <t>SCHWEFELDIOXIDE UND SULFITE</t>
        </is>
      </c>
      <c r="AC357" s="151" t="n"/>
      <c r="AD357" s="150" t="n">
        <v>0.96256</v>
      </c>
      <c r="AE357" s="149" t="n">
        <v>2.06</v>
      </c>
      <c r="AF357" s="151" t="inlineStr">
        <is>
          <t>grams</t>
        </is>
      </c>
      <c r="AG357" s="151" t="n"/>
      <c r="AH357" s="151" t="n"/>
    </row>
    <row r="358">
      <c r="A358" s="151" t="inlineStr">
        <is>
          <t>FV0333A - Tuscan Shrimp [DE]</t>
        </is>
      </c>
      <c r="B358" s="151" t="inlineStr">
        <is>
          <t>REC-013835-4-002</t>
        </is>
      </c>
      <c r="C358" s="151" t="inlineStr">
        <is>
          <t>Tuscan Shrimp batch</t>
        </is>
      </c>
      <c r="D358" s="151" t="inlineStr">
        <is>
          <t>SUB-013801-4-001</t>
        </is>
      </c>
      <c r="E358" s="150" t="n">
        <v>7</v>
      </c>
      <c r="F358" s="151" t="inlineStr">
        <is>
          <t>each</t>
        </is>
      </c>
      <c r="G358" s="151" t="inlineStr">
        <is>
          <t>BLAST CHILLER, MARINADE, OVEN, THAW</t>
        </is>
      </c>
      <c r="H358" s="151" t="inlineStr">
        <is>
          <t>Tuscan Marinade</t>
        </is>
      </c>
      <c r="I358" s="151" t="inlineStr">
        <is>
          <t>SUB-031711-4-001</t>
        </is>
      </c>
      <c r="J358" s="150" t="n">
        <v>10.96</v>
      </c>
      <c r="K358" s="151" t="inlineStr">
        <is>
          <t>grams</t>
        </is>
      </c>
      <c r="L358" s="151" t="inlineStr">
        <is>
          <t>IMMERSION BLENDER</t>
        </is>
      </c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inlineStr">
        <is>
          <t>FA-DE Spice, Black Pepper, Ground /Gewürz, schwarzer Pfeffer, gemahlen</t>
        </is>
      </c>
      <c r="X358" s="151" t="inlineStr">
        <is>
          <t>SPI-00-139334-5</t>
        </is>
      </c>
      <c r="Y358" s="151" t="inlineStr">
        <is>
          <t>0,17</t>
        </is>
      </c>
      <c r="Z358" s="149" t="inlineStr">
        <is>
          <t>0,17</t>
        </is>
      </c>
      <c r="AA358" s="151" t="inlineStr">
        <is>
          <t>grams</t>
        </is>
      </c>
      <c r="AB358" s="151" t="n"/>
      <c r="AC358" s="151" t="n"/>
      <c r="AD358" s="150" t="n">
        <v>0.96256</v>
      </c>
      <c r="AE358" s="149" t="n">
        <v>0.17</v>
      </c>
      <c r="AF358" s="151" t="inlineStr">
        <is>
          <t>grams</t>
        </is>
      </c>
      <c r="AG358" s="151" t="n"/>
      <c r="AH358" s="151" t="n"/>
    </row>
    <row r="359">
      <c r="A359" s="151" t="inlineStr">
        <is>
          <t>FV0333A - Tuscan Shrimp [DE]</t>
        </is>
      </c>
      <c r="B359" s="151" t="inlineStr">
        <is>
          <t>REC-013835-4-002</t>
        </is>
      </c>
      <c r="C359" s="151" t="inlineStr">
        <is>
          <t>Tuscan Shrimp batch</t>
        </is>
      </c>
      <c r="D359" s="151" t="inlineStr">
        <is>
          <t>SUB-013801-4-001</t>
        </is>
      </c>
      <c r="E359" s="150" t="n">
        <v>7</v>
      </c>
      <c r="F359" s="151" t="inlineStr">
        <is>
          <t>each</t>
        </is>
      </c>
      <c r="G359" s="151" t="inlineStr">
        <is>
          <t>BLAST CHILLER, MARINADE, OVEN, THAW</t>
        </is>
      </c>
      <c r="H359" s="151" t="inlineStr">
        <is>
          <t>Tuscan Marinade</t>
        </is>
      </c>
      <c r="I359" s="151" t="inlineStr">
        <is>
          <t>SUB-031711-4-001</t>
        </is>
      </c>
      <c r="J359" s="150" t="n">
        <v>10.96</v>
      </c>
      <c r="K359" s="151" t="inlineStr">
        <is>
          <t>grams</t>
        </is>
      </c>
      <c r="L359" s="151" t="inlineStr">
        <is>
          <t>IMMERSION BLENDER</t>
        </is>
      </c>
      <c r="M359" s="151" t="inlineStr">
        <is>
          <t>Tuscan Spice</t>
        </is>
      </c>
      <c r="N359" s="151" t="inlineStr">
        <is>
          <t>SUB-013784-4-001</t>
        </is>
      </c>
      <c r="O359" s="156" t="n">
        <v>1.22</v>
      </c>
      <c r="P359" s="151" t="inlineStr">
        <is>
          <t>grams</t>
        </is>
      </c>
      <c r="Q359" s="151" t="inlineStr">
        <is>
          <t>HAND MIX, SPICE PORTIONING</t>
        </is>
      </c>
      <c r="R359" s="151" t="n"/>
      <c r="S359" s="151" t="n"/>
      <c r="T359" s="151" t="n"/>
      <c r="U359" s="151" t="n"/>
      <c r="V359" s="151" t="n"/>
      <c r="W359" s="151" t="inlineStr">
        <is>
          <t>FA-DE Spice, Fennel Ground /Gewürz, Fenchel gemahlen</t>
        </is>
      </c>
      <c r="X359" s="151" t="inlineStr">
        <is>
          <t>SPI-00-139351-5</t>
        </is>
      </c>
      <c r="Y359" s="151" t="inlineStr">
        <is>
          <t>0,11</t>
        </is>
      </c>
      <c r="Z359" s="149" t="inlineStr">
        <is>
          <t>0,11</t>
        </is>
      </c>
      <c r="AA359" s="151" t="inlineStr">
        <is>
          <t>grams</t>
        </is>
      </c>
      <c r="AB359" s="151" t="n"/>
      <c r="AC359" s="151" t="n"/>
      <c r="AD359" s="150" t="n">
        <v>0.98006</v>
      </c>
      <c r="AE359" s="149" t="n">
        <v>0.11</v>
      </c>
      <c r="AF359" s="151" t="inlineStr">
        <is>
          <t>grams</t>
        </is>
      </c>
      <c r="AG359" s="151" t="n"/>
      <c r="AH359" s="151" t="n"/>
    </row>
    <row r="360">
      <c r="A360" s="151" t="inlineStr">
        <is>
          <t>FV0333A - Tuscan Shrimp [DE]</t>
        </is>
      </c>
      <c r="B360" s="151" t="inlineStr">
        <is>
          <t>REC-013835-4-002</t>
        </is>
      </c>
      <c r="C360" s="151" t="inlineStr">
        <is>
          <t>Tuscan Shrimp batch</t>
        </is>
      </c>
      <c r="D360" s="151" t="inlineStr">
        <is>
          <t>SUB-013801-4-001</t>
        </is>
      </c>
      <c r="E360" s="150" t="n">
        <v>7</v>
      </c>
      <c r="F360" s="151" t="inlineStr">
        <is>
          <t>each</t>
        </is>
      </c>
      <c r="G360" s="151" t="inlineStr">
        <is>
          <t>BLAST CHILLER, MARINADE, OVEN, THAW</t>
        </is>
      </c>
      <c r="H360" s="151" t="inlineStr">
        <is>
          <t>Tuscan Marinade</t>
        </is>
      </c>
      <c r="I360" s="151" t="inlineStr">
        <is>
          <t>SUB-031711-4-001</t>
        </is>
      </c>
      <c r="J360" s="150" t="n">
        <v>10.96</v>
      </c>
      <c r="K360" s="151" t="inlineStr">
        <is>
          <t>grams</t>
        </is>
      </c>
      <c r="L360" s="151" t="inlineStr">
        <is>
          <t>IMMERSION BLENDER</t>
        </is>
      </c>
      <c r="M360" s="151" t="inlineStr">
        <is>
          <t>Tuscan Spice</t>
        </is>
      </c>
      <c r="N360" s="151" t="inlineStr">
        <is>
          <t>SUB-013784-4-001</t>
        </is>
      </c>
      <c r="O360" s="156" t="n">
        <v>1.22</v>
      </c>
      <c r="P360" s="151" t="inlineStr">
        <is>
          <t>grams</t>
        </is>
      </c>
      <c r="Q360" s="151" t="inlineStr">
        <is>
          <t>HAND MIX, SPICE PORTIONING</t>
        </is>
      </c>
      <c r="R360" s="151" t="n"/>
      <c r="S360" s="151" t="n"/>
      <c r="T360" s="151" t="n"/>
      <c r="U360" s="151" t="n"/>
      <c r="V360" s="151" t="n"/>
      <c r="W360" s="151" t="inlineStr">
        <is>
          <t>FA-DE Spice, Basil, Dried /Gewürz, Basilikum, getrocknet</t>
        </is>
      </c>
      <c r="X360" s="151" t="inlineStr">
        <is>
          <t>SPI-00-139331-5</t>
        </is>
      </c>
      <c r="Y360" s="151" t="inlineStr">
        <is>
          <t>0,32</t>
        </is>
      </c>
      <c r="Z360" s="149" t="inlineStr">
        <is>
          <t>0,32</t>
        </is>
      </c>
      <c r="AA360" s="151" t="inlineStr">
        <is>
          <t>grams</t>
        </is>
      </c>
      <c r="AB360" s="151" t="n"/>
      <c r="AC360" s="151" t="n"/>
      <c r="AD360" s="150" t="n">
        <v>0.98006</v>
      </c>
      <c r="AE360" s="149" t="n">
        <v>0.32</v>
      </c>
      <c r="AF360" s="151" t="inlineStr">
        <is>
          <t>grams</t>
        </is>
      </c>
      <c r="AG360" s="151" t="n"/>
      <c r="AH360" s="151" t="n"/>
    </row>
    <row r="361">
      <c r="A361" s="151" t="inlineStr">
        <is>
          <t>FV0333A - Tuscan Shrimp [DE]</t>
        </is>
      </c>
      <c r="B361" s="151" t="inlineStr">
        <is>
          <t>REC-013835-4-002</t>
        </is>
      </c>
      <c r="C361" s="151" t="inlineStr">
        <is>
          <t>Tuscan Shrimp batch</t>
        </is>
      </c>
      <c r="D361" s="151" t="inlineStr">
        <is>
          <t>SUB-013801-4-001</t>
        </is>
      </c>
      <c r="E361" s="150" t="n">
        <v>7</v>
      </c>
      <c r="F361" s="151" t="inlineStr">
        <is>
          <t>each</t>
        </is>
      </c>
      <c r="G361" s="151" t="inlineStr">
        <is>
          <t>BLAST CHILLER, MARINADE, OVEN, THAW</t>
        </is>
      </c>
      <c r="H361" s="151" t="inlineStr">
        <is>
          <t>Tuscan Marinade</t>
        </is>
      </c>
      <c r="I361" s="151" t="inlineStr">
        <is>
          <t>SUB-031711-4-001</t>
        </is>
      </c>
      <c r="J361" s="150" t="n">
        <v>10.96</v>
      </c>
      <c r="K361" s="151" t="inlineStr">
        <is>
          <t>grams</t>
        </is>
      </c>
      <c r="L361" s="151" t="inlineStr">
        <is>
          <t>IMMERSION BLENDER</t>
        </is>
      </c>
      <c r="M361" s="151" t="inlineStr">
        <is>
          <t>Tuscan Spice</t>
        </is>
      </c>
      <c r="N361" s="151" t="inlineStr">
        <is>
          <t>SUB-013784-4-001</t>
        </is>
      </c>
      <c r="O361" s="156" t="n">
        <v>1.22</v>
      </c>
      <c r="P361" s="151" t="inlineStr">
        <is>
          <t>grams</t>
        </is>
      </c>
      <c r="Q361" s="151" t="inlineStr">
        <is>
          <t>HAND MIX, SPICE PORTIONING</t>
        </is>
      </c>
      <c r="R361" s="151" t="n"/>
      <c r="S361" s="151" t="n"/>
      <c r="T361" s="151" t="n"/>
      <c r="U361" s="151" t="n"/>
      <c r="V361" s="151" t="n"/>
      <c r="W361" s="151" t="inlineStr">
        <is>
          <t>FA-DE Spice, Cayenne Pepper /Gewürz, Cayennepfeffer</t>
        </is>
      </c>
      <c r="X361" s="151" t="inlineStr">
        <is>
          <t>SPI-00-139339-5</t>
        </is>
      </c>
      <c r="Y361" s="151" t="inlineStr">
        <is>
          <t>0,05</t>
        </is>
      </c>
      <c r="Z361" s="149" t="inlineStr">
        <is>
          <t>0,05</t>
        </is>
      </c>
      <c r="AA361" s="151" t="inlineStr">
        <is>
          <t>grams</t>
        </is>
      </c>
      <c r="AB361" s="151" t="n"/>
      <c r="AC361" s="151" t="n"/>
      <c r="AD361" s="150" t="n">
        <v>0.98006</v>
      </c>
      <c r="AE361" s="149" t="n">
        <v>0.05</v>
      </c>
      <c r="AF361" s="151" t="inlineStr">
        <is>
          <t>grams</t>
        </is>
      </c>
      <c r="AG361" s="151" t="n"/>
      <c r="AH361" s="151" t="n"/>
    </row>
    <row r="362">
      <c r="A362" s="151" t="inlineStr">
        <is>
          <t>FV0333A - Tuscan Shrimp [DE]</t>
        </is>
      </c>
      <c r="B362" s="151" t="inlineStr">
        <is>
          <t>REC-013835-4-002</t>
        </is>
      </c>
      <c r="C362" s="151" t="inlineStr">
        <is>
          <t>Tuscan Shrimp batch</t>
        </is>
      </c>
      <c r="D362" s="151" t="inlineStr">
        <is>
          <t>SUB-013801-4-001</t>
        </is>
      </c>
      <c r="E362" s="150" t="n">
        <v>7</v>
      </c>
      <c r="F362" s="151" t="inlineStr">
        <is>
          <t>each</t>
        </is>
      </c>
      <c r="G362" s="151" t="inlineStr">
        <is>
          <t>BLAST CHILLER, MARINADE, OVEN, THAW</t>
        </is>
      </c>
      <c r="H362" s="151" t="inlineStr">
        <is>
          <t>Tuscan Marinade</t>
        </is>
      </c>
      <c r="I362" s="151" t="inlineStr">
        <is>
          <t>SUB-031711-4-001</t>
        </is>
      </c>
      <c r="J362" s="150" t="n">
        <v>10.96</v>
      </c>
      <c r="K362" s="151" t="inlineStr">
        <is>
          <t>grams</t>
        </is>
      </c>
      <c r="L362" s="151" t="inlineStr">
        <is>
          <t>IMMERSION BLENDER</t>
        </is>
      </c>
      <c r="M362" s="151" t="inlineStr">
        <is>
          <t>Tuscan Spice</t>
        </is>
      </c>
      <c r="N362" s="151" t="inlineStr">
        <is>
          <t>SUB-013784-4-001</t>
        </is>
      </c>
      <c r="O362" s="156" t="n">
        <v>1.22</v>
      </c>
      <c r="P362" s="151" t="inlineStr">
        <is>
          <t>grams</t>
        </is>
      </c>
      <c r="Q362" s="151" t="inlineStr">
        <is>
          <t>HAND MIX, SPICE PORTIONING</t>
        </is>
      </c>
      <c r="R362" s="151" t="n"/>
      <c r="S362" s="151" t="n"/>
      <c r="T362" s="151" t="n"/>
      <c r="U362" s="151" t="n"/>
      <c r="V362" s="151" t="n"/>
      <c r="W362" s="151" t="inlineStr">
        <is>
          <t>FA-DE Spice, Oregano Dry /Gewürz, Oregano trocken</t>
        </is>
      </c>
      <c r="X362" s="151" t="inlineStr">
        <is>
          <t>SPI-00-139372-5</t>
        </is>
      </c>
      <c r="Y362" s="151" t="inlineStr">
        <is>
          <t>0,22</t>
        </is>
      </c>
      <c r="Z362" s="149" t="inlineStr">
        <is>
          <t>0,22</t>
        </is>
      </c>
      <c r="AA362" s="151" t="inlineStr">
        <is>
          <t>grams</t>
        </is>
      </c>
      <c r="AB362" s="151" t="n"/>
      <c r="AC362" s="151" t="n"/>
      <c r="AD362" s="150" t="n">
        <v>0.98006</v>
      </c>
      <c r="AE362" s="149" t="n">
        <v>0.22</v>
      </c>
      <c r="AF362" s="151" t="inlineStr">
        <is>
          <t>grams</t>
        </is>
      </c>
      <c r="AG362" s="151" t="n"/>
      <c r="AH362" s="151" t="n"/>
    </row>
    <row r="363">
      <c r="A363" s="151" t="inlineStr">
        <is>
          <t>FV0333A - Tuscan Shrimp [DE]</t>
        </is>
      </c>
      <c r="B363" s="151" t="inlineStr">
        <is>
          <t>REC-013835-4-002</t>
        </is>
      </c>
      <c r="C363" s="151" t="inlineStr">
        <is>
          <t>Tuscan Shrimp batch</t>
        </is>
      </c>
      <c r="D363" s="151" t="inlineStr">
        <is>
          <t>SUB-013801-4-001</t>
        </is>
      </c>
      <c r="E363" s="150" t="n">
        <v>7</v>
      </c>
      <c r="F363" s="151" t="inlineStr">
        <is>
          <t>each</t>
        </is>
      </c>
      <c r="G363" s="151" t="inlineStr">
        <is>
          <t>BLAST CHILLER, MARINADE, OVEN, THAW</t>
        </is>
      </c>
      <c r="H363" s="151" t="inlineStr">
        <is>
          <t>Tuscan Marinade</t>
        </is>
      </c>
      <c r="I363" s="151" t="inlineStr">
        <is>
          <t>SUB-031711-4-001</t>
        </is>
      </c>
      <c r="J363" s="150" t="n">
        <v>10.96</v>
      </c>
      <c r="K363" s="151" t="inlineStr">
        <is>
          <t>grams</t>
        </is>
      </c>
      <c r="L363" s="151" t="inlineStr">
        <is>
          <t>IMMERSION BLENDER</t>
        </is>
      </c>
      <c r="M363" s="151" t="inlineStr">
        <is>
          <t>Tuscan Spice</t>
        </is>
      </c>
      <c r="N363" s="151" t="inlineStr">
        <is>
          <t>SUB-013784-4-001</t>
        </is>
      </c>
      <c r="O363" s="156" t="n">
        <v>1.22</v>
      </c>
      <c r="P363" s="151" t="inlineStr">
        <is>
          <t>grams</t>
        </is>
      </c>
      <c r="Q363" s="151" t="inlineStr">
        <is>
          <t>HAND MIX, SPICE PORTIONING</t>
        </is>
      </c>
      <c r="R363" s="151" t="n"/>
      <c r="S363" s="151" t="n"/>
      <c r="T363" s="151" t="n"/>
      <c r="U363" s="151" t="n"/>
      <c r="V363" s="151" t="n"/>
      <c r="W363" s="151" t="inlineStr">
        <is>
          <t>FA-DE Spice, Rosemary, Powder /Gewürz, Rosmarin, Pulver</t>
        </is>
      </c>
      <c r="X363" s="151" t="inlineStr">
        <is>
          <t>SPI-00-139376-5</t>
        </is>
      </c>
      <c r="Y363" s="151" t="inlineStr">
        <is>
          <t>0,22</t>
        </is>
      </c>
      <c r="Z363" s="149" t="inlineStr">
        <is>
          <t>0,22</t>
        </is>
      </c>
      <c r="AA363" s="151" t="inlineStr">
        <is>
          <t>grams</t>
        </is>
      </c>
      <c r="AB363" s="151" t="n"/>
      <c r="AC363" s="151" t="n"/>
      <c r="AD363" s="150" t="n">
        <v>0.98006</v>
      </c>
      <c r="AE363" s="149" t="n">
        <v>0.22</v>
      </c>
      <c r="AF363" s="151" t="inlineStr">
        <is>
          <t>grams</t>
        </is>
      </c>
      <c r="AG363" s="151" t="n"/>
      <c r="AH363" s="151" t="n"/>
    </row>
    <row r="364">
      <c r="A364" s="151" t="inlineStr">
        <is>
          <t>FV0333A - Tuscan Shrimp [DE]</t>
        </is>
      </c>
      <c r="B364" s="151" t="inlineStr">
        <is>
          <t>REC-013835-4-002</t>
        </is>
      </c>
      <c r="C364" s="151" t="inlineStr">
        <is>
          <t>Tuscan Shrimp batch</t>
        </is>
      </c>
      <c r="D364" s="151" t="inlineStr">
        <is>
          <t>SUB-013801-4-001</t>
        </is>
      </c>
      <c r="E364" s="150" t="n">
        <v>7</v>
      </c>
      <c r="F364" s="151" t="inlineStr">
        <is>
          <t>each</t>
        </is>
      </c>
      <c r="G364" s="151" t="inlineStr">
        <is>
          <t>BLAST CHILLER, MARINADE, OVEN, THAW</t>
        </is>
      </c>
      <c r="H364" s="151" t="inlineStr">
        <is>
          <t>Tuscan Marinade</t>
        </is>
      </c>
      <c r="I364" s="151" t="inlineStr">
        <is>
          <t>SUB-031711-4-001</t>
        </is>
      </c>
      <c r="J364" s="150" t="n">
        <v>10.96</v>
      </c>
      <c r="K364" s="151" t="inlineStr">
        <is>
          <t>grams</t>
        </is>
      </c>
      <c r="L364" s="151" t="inlineStr">
        <is>
          <t>IMMERSION BLENDER</t>
        </is>
      </c>
      <c r="M364" s="151" t="inlineStr">
        <is>
          <t>Tuscan Spice</t>
        </is>
      </c>
      <c r="N364" s="151" t="inlineStr">
        <is>
          <t>SUB-013784-4-001</t>
        </is>
      </c>
      <c r="O364" s="156" t="n">
        <v>1.22</v>
      </c>
      <c r="P364" s="151" t="inlineStr">
        <is>
          <t>grams</t>
        </is>
      </c>
      <c r="Q364" s="151" t="inlineStr">
        <is>
          <t>HAND MIX, SPICE PORTIONING</t>
        </is>
      </c>
      <c r="R364" s="151" t="n"/>
      <c r="S364" s="151" t="n"/>
      <c r="T364" s="151" t="n"/>
      <c r="U364" s="151" t="n"/>
      <c r="V364" s="151" t="n"/>
      <c r="W364" s="151" t="inlineStr">
        <is>
          <t>FA-DE Spice, Garlic Granulated /Gewürz, Knoblauch granuliert</t>
        </is>
      </c>
      <c r="X364" s="151" t="inlineStr">
        <is>
          <t>SPI-00-139353-5</t>
        </is>
      </c>
      <c r="Y364" s="151" t="inlineStr">
        <is>
          <t>0,32</t>
        </is>
      </c>
      <c r="Z364" s="149" t="inlineStr">
        <is>
          <t>0,32</t>
        </is>
      </c>
      <c r="AA364" s="151" t="inlineStr">
        <is>
          <t>grams</t>
        </is>
      </c>
      <c r="AB364" s="151" t="n"/>
      <c r="AC364" s="151" t="n"/>
      <c r="AD364" s="150" t="n">
        <v>0.98006</v>
      </c>
      <c r="AE364" s="149" t="n">
        <v>0.32</v>
      </c>
      <c r="AF364" s="151" t="inlineStr">
        <is>
          <t>grams</t>
        </is>
      </c>
      <c r="AG364" s="151" t="n"/>
      <c r="AH364" s="151" t="n"/>
    </row>
    <row r="365">
      <c r="A365" s="151" t="inlineStr">
        <is>
          <t>FV0333A - Tuscan Shrimp [DE]</t>
        </is>
      </c>
      <c r="B365" s="151" t="inlineStr">
        <is>
          <t>REC-013835-4-002</t>
        </is>
      </c>
      <c r="C365" s="151" t="inlineStr">
        <is>
          <t>Tuscan Shrimp batch</t>
        </is>
      </c>
      <c r="D365" s="151" t="inlineStr">
        <is>
          <t>SUB-013801-4-001</t>
        </is>
      </c>
      <c r="E365" s="150" t="n">
        <v>7</v>
      </c>
      <c r="F365" s="151" t="inlineStr">
        <is>
          <t>each</t>
        </is>
      </c>
      <c r="G365" s="151" t="inlineStr">
        <is>
          <t>BLAST CHILLER, MARINADE, OVEN, THAW</t>
        </is>
      </c>
      <c r="H365" s="151" t="inlineStr">
        <is>
          <t>Tuscan Marinade</t>
        </is>
      </c>
      <c r="I365" s="151" t="inlineStr">
        <is>
          <t>SUB-031711-4-001</t>
        </is>
      </c>
      <c r="J365" s="150" t="n">
        <v>10.96</v>
      </c>
      <c r="K365" s="151" t="inlineStr">
        <is>
          <t>grams</t>
        </is>
      </c>
      <c r="L365" s="151" t="inlineStr">
        <is>
          <t>IMMERSION BLENDER</t>
        </is>
      </c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inlineStr">
        <is>
          <t>FA-DE Spice, Sea Salt /Gewürze, Meersalz</t>
        </is>
      </c>
      <c r="X365" s="151" t="inlineStr">
        <is>
          <t>SPI-00-139378-5</t>
        </is>
      </c>
      <c r="Y365" s="151" t="inlineStr">
        <is>
          <t>0,21</t>
        </is>
      </c>
      <c r="Z365" s="149" t="inlineStr">
        <is>
          <t>0,21</t>
        </is>
      </c>
      <c r="AA365" s="151" t="inlineStr">
        <is>
          <t>grams</t>
        </is>
      </c>
      <c r="AB365" s="151" t="n"/>
      <c r="AC365" s="151" t="n"/>
      <c r="AD365" s="150" t="n">
        <v>0.96256</v>
      </c>
      <c r="AE365" s="149" t="n">
        <v>0.21</v>
      </c>
      <c r="AF365" s="151" t="inlineStr">
        <is>
          <t>grams</t>
        </is>
      </c>
      <c r="AG365" s="151" t="n"/>
      <c r="AH365" s="151" t="n"/>
    </row>
    <row r="366">
      <c r="A366" s="151" t="inlineStr">
        <is>
          <t>FV0333A - Tuscan Shrimp [DE]</t>
        </is>
      </c>
      <c r="B366" s="151" t="inlineStr">
        <is>
          <t>REC-013835-4-002</t>
        </is>
      </c>
      <c r="C366" s="151" t="inlineStr">
        <is>
          <t>Sauce - Tuscan Shrimp Butter Sauce</t>
        </is>
      </c>
      <c r="D366" s="151" t="inlineStr">
        <is>
          <t>SUB-013803-4-001</t>
        </is>
      </c>
      <c r="E366" s="150" t="n">
        <v>35</v>
      </c>
      <c r="F366" s="151" t="inlineStr">
        <is>
          <t>grams</t>
        </is>
      </c>
      <c r="G366" s="151" t="inlineStr">
        <is>
          <t>BLAST CHILLER, BRAISER, IMMERSION BLENDER, SPICE PORTIONING</t>
        </is>
      </c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inlineStr">
        <is>
          <t>FA-DE Butter, Unsalted /Butter, ungesalzen</t>
        </is>
      </c>
      <c r="X366" s="151" t="inlineStr">
        <is>
          <t>DAI-00-139146-3</t>
        </is>
      </c>
      <c r="Y366" s="151" t="inlineStr">
        <is>
          <t>15,91</t>
        </is>
      </c>
      <c r="Z366" s="149" t="inlineStr">
        <is>
          <t>15,91</t>
        </is>
      </c>
      <c r="AA366" s="151" t="inlineStr">
        <is>
          <t>grams</t>
        </is>
      </c>
      <c r="AB366" s="151" t="inlineStr">
        <is>
          <t>MILCH (EINSCHLIESSLICH LAKTOSE)</t>
        </is>
      </c>
      <c r="AC366" s="151" t="n"/>
      <c r="AD366" s="150" t="n">
        <v>0.89392</v>
      </c>
      <c r="AE366" s="149" t="n">
        <v>15.91</v>
      </c>
      <c r="AF366" s="151" t="inlineStr">
        <is>
          <t>grams</t>
        </is>
      </c>
      <c r="AG366" s="151" t="n"/>
      <c r="AH366" s="151" t="n"/>
    </row>
    <row r="367">
      <c r="A367" s="151" t="inlineStr">
        <is>
          <t>FV0333A - Tuscan Shrimp [DE]</t>
        </is>
      </c>
      <c r="B367" s="151" t="inlineStr">
        <is>
          <t>REC-013835-4-002</t>
        </is>
      </c>
      <c r="C367" s="151" t="inlineStr">
        <is>
          <t>Sauce - Tuscan Shrimp Butter Sauce</t>
        </is>
      </c>
      <c r="D367" s="151" t="inlineStr">
        <is>
          <t>SUB-013803-4-001</t>
        </is>
      </c>
      <c r="E367" s="150" t="n">
        <v>35</v>
      </c>
      <c r="F367" s="151" t="inlineStr">
        <is>
          <t>grams</t>
        </is>
      </c>
      <c r="G367" s="151" t="inlineStr">
        <is>
          <t>BLAST CHILLER, BRAISER, IMMERSION BLENDER, SPICE PORTIONING</t>
        </is>
      </c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inlineStr">
        <is>
          <t>FA-DE Spice, Minced Garlic, Toasted, Dry /Gewürz, gehackter Knoblauch, geröstet, trocken</t>
        </is>
      </c>
      <c r="X367" s="151" t="inlineStr">
        <is>
          <t>SPI-00-139367-5</t>
        </is>
      </c>
      <c r="Y367" s="151" t="inlineStr">
        <is>
          <t>0,42</t>
        </is>
      </c>
      <c r="Z367" s="149" t="inlineStr">
        <is>
          <t>0,42</t>
        </is>
      </c>
      <c r="AA367" s="151" t="inlineStr">
        <is>
          <t>grams</t>
        </is>
      </c>
      <c r="AB367" s="151" t="n"/>
      <c r="AC367" s="151" t="n"/>
      <c r="AD367" s="150" t="n">
        <v>0.89392</v>
      </c>
      <c r="AE367" s="149" t="n">
        <v>0.42</v>
      </c>
      <c r="AF367" s="151" t="inlineStr">
        <is>
          <t>grams</t>
        </is>
      </c>
      <c r="AG367" s="151" t="n"/>
      <c r="AH367" s="151" t="n"/>
    </row>
    <row r="368">
      <c r="A368" s="151" t="inlineStr">
        <is>
          <t>FV0333A - Tuscan Shrimp [DE]</t>
        </is>
      </c>
      <c r="B368" s="151" t="inlineStr">
        <is>
          <t>REC-013835-4-002</t>
        </is>
      </c>
      <c r="C368" s="151" t="inlineStr">
        <is>
          <t>Sauce - Tuscan Shrimp Butter Sauce</t>
        </is>
      </c>
      <c r="D368" s="151" t="inlineStr">
        <is>
          <t>SUB-013803-4-001</t>
        </is>
      </c>
      <c r="E368" s="150" t="n">
        <v>35</v>
      </c>
      <c r="F368" s="151" t="inlineStr">
        <is>
          <t>grams</t>
        </is>
      </c>
      <c r="G368" s="151" t="inlineStr">
        <is>
          <t>BLAST CHILLER, BRAISER, IMMERSION BLENDER, SPICE PORTIONING</t>
        </is>
      </c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inlineStr">
        <is>
          <t>FA-DE Gum, Xanthan /Gummi, Xanthan</t>
        </is>
      </c>
      <c r="X368" s="151" t="inlineStr">
        <is>
          <t>DRY-00-139153-5</t>
        </is>
      </c>
      <c r="Y368" s="151" t="inlineStr">
        <is>
          <t>0,08</t>
        </is>
      </c>
      <c r="Z368" s="149" t="inlineStr">
        <is>
          <t>0,08</t>
        </is>
      </c>
      <c r="AA368" s="151" t="inlineStr">
        <is>
          <t>grams</t>
        </is>
      </c>
      <c r="AB368" s="151" t="n"/>
      <c r="AC368" s="151" t="n"/>
      <c r="AD368" s="150" t="n">
        <v>0.89392</v>
      </c>
      <c r="AE368" s="149" t="n">
        <v>0.08</v>
      </c>
      <c r="AF368" s="151" t="inlineStr">
        <is>
          <t>grams</t>
        </is>
      </c>
      <c r="AG368" s="151" t="n"/>
      <c r="AH368" s="151" t="n"/>
    </row>
    <row r="369">
      <c r="A369" s="151" t="inlineStr">
        <is>
          <t>FV0333A - Tuscan Shrimp [DE]</t>
        </is>
      </c>
      <c r="B369" s="151" t="inlineStr">
        <is>
          <t>REC-013835-4-002</t>
        </is>
      </c>
      <c r="C369" s="151" t="inlineStr">
        <is>
          <t>Sauce - Tuscan Shrimp Butter Sauce</t>
        </is>
      </c>
      <c r="D369" s="151" t="inlineStr">
        <is>
          <t>SUB-013803-4-001</t>
        </is>
      </c>
      <c r="E369" s="150" t="n">
        <v>35</v>
      </c>
      <c r="F369" s="151" t="inlineStr">
        <is>
          <t>grams</t>
        </is>
      </c>
      <c r="G369" s="151" t="inlineStr">
        <is>
          <t>BLAST CHILLER, BRAISER, IMMERSION BLENDER, SPICE PORTIONING</t>
        </is>
      </c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inlineStr">
        <is>
          <t>FA-DE Onion, Spanish, Diced 5mm /Zwiebel, Spanisch, gewürfelt 5 mm</t>
        </is>
      </c>
      <c r="X369" s="151" t="inlineStr">
        <is>
          <t>PHF-00-139212-3</t>
        </is>
      </c>
      <c r="Y369" s="151" t="inlineStr">
        <is>
          <t>3,82</t>
        </is>
      </c>
      <c r="Z369" s="149" t="inlineStr">
        <is>
          <t>3,82</t>
        </is>
      </c>
      <c r="AA369" s="151" t="inlineStr">
        <is>
          <t>grams</t>
        </is>
      </c>
      <c r="AB369" s="151" t="n"/>
      <c r="AC369" s="151" t="n"/>
      <c r="AD369" s="150" t="n">
        <v>0.89392</v>
      </c>
      <c r="AE369" s="149" t="n">
        <v>3.82</v>
      </c>
      <c r="AF369" s="151" t="inlineStr">
        <is>
          <t>grams</t>
        </is>
      </c>
      <c r="AG369" s="151" t="n"/>
      <c r="AH369" s="151" t="n"/>
    </row>
    <row r="370">
      <c r="A370" s="151" t="inlineStr">
        <is>
          <t>FV0333A - Tuscan Shrimp [DE]</t>
        </is>
      </c>
      <c r="B370" s="151" t="inlineStr">
        <is>
          <t>REC-013835-4-002</t>
        </is>
      </c>
      <c r="C370" s="151" t="inlineStr">
        <is>
          <t>Sauce - Tuscan Shrimp Butter Sauce</t>
        </is>
      </c>
      <c r="D370" s="151" t="inlineStr">
        <is>
          <t>SUB-013803-4-001</t>
        </is>
      </c>
      <c r="E370" s="150" t="n">
        <v>35</v>
      </c>
      <c r="F370" s="151" t="inlineStr">
        <is>
          <t>grams</t>
        </is>
      </c>
      <c r="G370" s="151" t="inlineStr">
        <is>
          <t>BLAST CHILLER, BRAISER, IMMERSION BLENDER, SPICE PORTIONING</t>
        </is>
      </c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inlineStr">
        <is>
          <t>FA-DE Spice, Black Pepper, Ground /Gewürz, schwarzer Pfeffer, gemahlen</t>
        </is>
      </c>
      <c r="X370" s="151" t="inlineStr">
        <is>
          <t>SPI-00-139334-5</t>
        </is>
      </c>
      <c r="Y370" s="151" t="inlineStr">
        <is>
          <t>0,1</t>
        </is>
      </c>
      <c r="Z370" s="149" t="inlineStr">
        <is>
          <t>0,1</t>
        </is>
      </c>
      <c r="AA370" s="151" t="inlineStr">
        <is>
          <t>grams</t>
        </is>
      </c>
      <c r="AB370" s="151" t="n"/>
      <c r="AC370" s="151" t="n"/>
      <c r="AD370" s="150" t="n">
        <v>0.89392</v>
      </c>
      <c r="AE370" s="149" t="n">
        <v>0.1</v>
      </c>
      <c r="AF370" s="151" t="inlineStr">
        <is>
          <t>grams</t>
        </is>
      </c>
      <c r="AG370" s="151" t="n"/>
      <c r="AH370" s="151" t="n"/>
    </row>
    <row r="371">
      <c r="A371" s="151" t="inlineStr">
        <is>
          <t>FV0333A - Tuscan Shrimp [DE]</t>
        </is>
      </c>
      <c r="B371" s="151" t="inlineStr">
        <is>
          <t>REC-013835-4-002</t>
        </is>
      </c>
      <c r="C371" s="151" t="inlineStr">
        <is>
          <t>Sauce - Tuscan Shrimp Butter Sauce</t>
        </is>
      </c>
      <c r="D371" s="151" t="inlineStr">
        <is>
          <t>SUB-013803-4-001</t>
        </is>
      </c>
      <c r="E371" s="150" t="n">
        <v>35</v>
      </c>
      <c r="F371" s="151" t="inlineStr">
        <is>
          <t>grams</t>
        </is>
      </c>
      <c r="G371" s="151" t="inlineStr">
        <is>
          <t>BLAST CHILLER, BRAISER, IMMERSION BLENDER, SPICE PORTIONING</t>
        </is>
      </c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inlineStr">
        <is>
          <t>FA-DE Water / Wasser</t>
        </is>
      </c>
      <c r="X371" s="151" t="inlineStr">
        <is>
          <t>OTH-00-144038-5</t>
        </is>
      </c>
      <c r="Y371" s="151" t="inlineStr">
        <is>
          <t>16,23</t>
        </is>
      </c>
      <c r="Z371" s="149" t="inlineStr">
        <is>
          <t>16,23</t>
        </is>
      </c>
      <c r="AA371" s="151" t="inlineStr">
        <is>
          <t>grams</t>
        </is>
      </c>
      <c r="AB371" s="151" t="n"/>
      <c r="AC371" s="151" t="n"/>
      <c r="AD371" s="150" t="n">
        <v>0.89392</v>
      </c>
      <c r="AE371" s="149" t="n">
        <v>16.23</v>
      </c>
      <c r="AF371" s="151" t="inlineStr">
        <is>
          <t>grams</t>
        </is>
      </c>
      <c r="AG371" s="151" t="n"/>
      <c r="AH371" s="151" t="n"/>
    </row>
    <row r="372">
      <c r="A372" s="151" t="inlineStr">
        <is>
          <t>FV0333A - Tuscan Shrimp [DE]</t>
        </is>
      </c>
      <c r="B372" s="151" t="inlineStr">
        <is>
          <t>REC-013835-4-002</t>
        </is>
      </c>
      <c r="C372" s="151" t="inlineStr">
        <is>
          <t>Sauce - Tuscan Shrimp Butter Sauce</t>
        </is>
      </c>
      <c r="D372" s="151" t="inlineStr">
        <is>
          <t>SUB-013803-4-001</t>
        </is>
      </c>
      <c r="E372" s="150" t="n">
        <v>35</v>
      </c>
      <c r="F372" s="151" t="inlineStr">
        <is>
          <t>grams</t>
        </is>
      </c>
      <c r="G372" s="151" t="inlineStr">
        <is>
          <t>BLAST CHILLER, BRAISER, IMMERSION BLENDER, SPICE PORTIONING</t>
        </is>
      </c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inlineStr">
        <is>
          <t>FA-DE Garlic, IQF, Diced 4 mm /Knoblauch, IQF, gewürfelt 4 mm</t>
        </is>
      </c>
      <c r="X372" s="151" t="inlineStr">
        <is>
          <t>PHF-00-139237-1</t>
        </is>
      </c>
      <c r="Y372" s="153" t="inlineStr">
        <is>
          <t>1,21</t>
        </is>
      </c>
      <c r="Z372" s="149" t="inlineStr">
        <is>
          <t>1,21</t>
        </is>
      </c>
      <c r="AA372" s="151" t="inlineStr">
        <is>
          <t>grams</t>
        </is>
      </c>
      <c r="AB372" s="151" t="inlineStr">
        <is>
          <t>SCHWEFELDIOXIDE UND SULFITE</t>
        </is>
      </c>
      <c r="AC372" s="151" t="n"/>
      <c r="AD372" s="150" t="n">
        <v>0.89392</v>
      </c>
      <c r="AE372" s="149" t="n">
        <v>1.21</v>
      </c>
      <c r="AF372" s="151" t="inlineStr">
        <is>
          <t>grams</t>
        </is>
      </c>
      <c r="AG372" s="151" t="n"/>
      <c r="AH372" s="151" t="n"/>
    </row>
    <row r="373">
      <c r="A373" s="151" t="inlineStr">
        <is>
          <t>FV0333A - Tuscan Shrimp [DE]</t>
        </is>
      </c>
      <c r="B373" s="151" t="inlineStr">
        <is>
          <t>REC-013835-4-002</t>
        </is>
      </c>
      <c r="C373" s="151" t="inlineStr">
        <is>
          <t>Sauce - Tuscan Shrimp Butter Sauce</t>
        </is>
      </c>
      <c r="D373" s="151" t="inlineStr">
        <is>
          <t>SUB-013803-4-001</t>
        </is>
      </c>
      <c r="E373" s="150" t="n">
        <v>35</v>
      </c>
      <c r="F373" s="151" t="inlineStr">
        <is>
          <t>grams</t>
        </is>
      </c>
      <c r="G373" s="151" t="inlineStr">
        <is>
          <t>BLAST CHILLER, BRAISER, IMMERSION BLENDER, SPICE PORTIONING</t>
        </is>
      </c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inlineStr">
        <is>
          <t>FA-DE Spice, Sea Salt /Gewürze, Meersalz</t>
        </is>
      </c>
      <c r="X373" s="151" t="inlineStr">
        <is>
          <t>SPI-00-139378-5</t>
        </is>
      </c>
      <c r="Y373" s="151" t="inlineStr">
        <is>
          <t>0,24</t>
        </is>
      </c>
      <c r="Z373" s="149" t="inlineStr">
        <is>
          <t>0,24</t>
        </is>
      </c>
      <c r="AA373" s="151" t="inlineStr">
        <is>
          <t>grams</t>
        </is>
      </c>
      <c r="AB373" s="151" t="n"/>
      <c r="AC373" s="151" t="n"/>
      <c r="AD373" s="150" t="n">
        <v>0.89392</v>
      </c>
      <c r="AE373" s="149" t="n">
        <v>0.24</v>
      </c>
      <c r="AF373" s="151" t="inlineStr">
        <is>
          <t>grams</t>
        </is>
      </c>
      <c r="AG373" s="151" t="n"/>
      <c r="AH373" s="151" t="n"/>
    </row>
    <row r="374">
      <c r="A374" s="151" t="inlineStr">
        <is>
          <t>FV0333A - Tuscan Shrimp [DE]</t>
        </is>
      </c>
      <c r="B374" s="151" t="inlineStr">
        <is>
          <t>REC-013835-4-002</t>
        </is>
      </c>
      <c r="C374" s="151" t="inlineStr">
        <is>
          <t>Sauce - Tuscan Shrimp Butter Sauce</t>
        </is>
      </c>
      <c r="D374" s="151" t="inlineStr">
        <is>
          <t>SUB-013803-4-001</t>
        </is>
      </c>
      <c r="E374" s="150" t="n">
        <v>35</v>
      </c>
      <c r="F374" s="151" t="inlineStr">
        <is>
          <t>grams</t>
        </is>
      </c>
      <c r="G374" s="151" t="inlineStr">
        <is>
          <t>BLAST CHILLER, BRAISER, IMMERSION BLENDER, SPICE PORTIONING</t>
        </is>
      </c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inlineStr">
        <is>
          <t>FA-DE Spice, Garlic Powder, Toasted /Gewürz, Knoblauchpulver, geröstet</t>
        </is>
      </c>
      <c r="X374" s="151" t="inlineStr">
        <is>
          <t>SPI-00-139354-5</t>
        </is>
      </c>
      <c r="Y374" s="151" t="inlineStr">
        <is>
          <t>0,31</t>
        </is>
      </c>
      <c r="Z374" s="149" t="inlineStr">
        <is>
          <t>0,31</t>
        </is>
      </c>
      <c r="AA374" s="151" t="inlineStr">
        <is>
          <t>grams</t>
        </is>
      </c>
      <c r="AB374" s="151" t="n"/>
      <c r="AC374" s="151" t="n"/>
      <c r="AD374" s="150" t="n">
        <v>0.89392</v>
      </c>
      <c r="AE374" s="149" t="n">
        <v>0.31</v>
      </c>
      <c r="AF374" s="151" t="inlineStr">
        <is>
          <t>grams</t>
        </is>
      </c>
      <c r="AG374" s="151" t="n"/>
      <c r="AH374" s="151" t="n"/>
    </row>
    <row r="375">
      <c r="A375" s="151" t="inlineStr">
        <is>
          <t>FV0333A - Tuscan Shrimp [DE]</t>
        </is>
      </c>
      <c r="B375" s="151" t="inlineStr">
        <is>
          <t>REC-013835-4-002</t>
        </is>
      </c>
      <c r="C375" s="151" t="inlineStr">
        <is>
          <t>Sauce - Tuscan Shrimp Butter Sauce</t>
        </is>
      </c>
      <c r="D375" s="151" t="inlineStr">
        <is>
          <t>SUB-013803-4-001</t>
        </is>
      </c>
      <c r="E375" s="150" t="n">
        <v>35</v>
      </c>
      <c r="F375" s="151" t="inlineStr">
        <is>
          <t>grams</t>
        </is>
      </c>
      <c r="G375" s="151" t="inlineStr">
        <is>
          <t>BLAST CHILLER, BRAISER, IMMERSION BLENDER, SPICE PORTIONING</t>
        </is>
      </c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inlineStr">
        <is>
          <t>FA-DE Spice, Parsley Dried /Gewürze, getrocknete Petersilie</t>
        </is>
      </c>
      <c r="X375" s="151" t="inlineStr">
        <is>
          <t>SPI-00-139374-5</t>
        </is>
      </c>
      <c r="Y375" s="151" t="inlineStr">
        <is>
          <t>0,04</t>
        </is>
      </c>
      <c r="Z375" s="149" t="inlineStr">
        <is>
          <t>0,04</t>
        </is>
      </c>
      <c r="AA375" s="151" t="inlineStr">
        <is>
          <t>grams</t>
        </is>
      </c>
      <c r="AB375" s="151" t="n"/>
      <c r="AC375" s="151" t="n"/>
      <c r="AD375" s="150" t="n">
        <v>0.89392</v>
      </c>
      <c r="AE375" s="149" t="n">
        <v>0.04</v>
      </c>
      <c r="AF375" s="151" t="inlineStr">
        <is>
          <t>grams</t>
        </is>
      </c>
      <c r="AG375" s="151" t="n"/>
      <c r="AH375" s="151" t="n"/>
    </row>
    <row r="376">
      <c r="A376" s="151" t="inlineStr">
        <is>
          <t>FV0333A - Tuscan Shrimp [DE]</t>
        </is>
      </c>
      <c r="B376" s="151" t="inlineStr">
        <is>
          <t>REC-013835-4-002</t>
        </is>
      </c>
      <c r="C376" s="151" t="inlineStr">
        <is>
          <t>Sauce - Tuscan Shrimp Butter Sauce</t>
        </is>
      </c>
      <c r="D376" s="151" t="inlineStr">
        <is>
          <t>SUB-013803-4-001</t>
        </is>
      </c>
      <c r="E376" s="150" t="n">
        <v>35</v>
      </c>
      <c r="F376" s="151" t="inlineStr">
        <is>
          <t>grams</t>
        </is>
      </c>
      <c r="G376" s="151" t="inlineStr">
        <is>
          <t>BLAST CHILLER, BRAISER, IMMERSION BLENDER, SPICE PORTIONING</t>
        </is>
      </c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inlineStr">
        <is>
          <t>FA-DE Stock Concentrate, Mirepoix /Stammkonzentrat, Mirepoix</t>
        </is>
      </c>
      <c r="X376" s="151" t="inlineStr">
        <is>
          <t>PRO-00-139287-5</t>
        </is>
      </c>
      <c r="Y376" s="151" t="inlineStr">
        <is>
          <t>0,8</t>
        </is>
      </c>
      <c r="Z376" s="149" t="inlineStr">
        <is>
          <t>0,8</t>
        </is>
      </c>
      <c r="AA376" s="151" t="inlineStr">
        <is>
          <t>grams</t>
        </is>
      </c>
      <c r="AB376" s="151" t="inlineStr">
        <is>
          <t>SELLERIE</t>
        </is>
      </c>
      <c r="AC376" s="151" t="n"/>
      <c r="AD376" s="150" t="n">
        <v>0.89392</v>
      </c>
      <c r="AE376" s="149" t="n">
        <v>0.8</v>
      </c>
      <c r="AF376" s="151" t="inlineStr">
        <is>
          <t>grams</t>
        </is>
      </c>
      <c r="AG376" s="151" t="n"/>
      <c r="AH376" s="151" t="n"/>
    </row>
    <row r="377">
      <c r="A377" s="151" t="inlineStr">
        <is>
          <t>FV0333A - Tuscan Shrimp [DE]</t>
        </is>
      </c>
      <c r="B377" s="151" t="inlineStr">
        <is>
          <t>REC-013835-4-002</t>
        </is>
      </c>
      <c r="C377" s="151" t="inlineStr">
        <is>
          <t>Zucchini/Pepper/Onion Mix for Tuscan Shrimp - 1/2" Diced</t>
        </is>
      </c>
      <c r="D377" s="151" t="inlineStr">
        <is>
          <t>SUB-013802-4-001</t>
        </is>
      </c>
      <c r="E377" s="150" t="n">
        <v>100</v>
      </c>
      <c r="F377" s="151" t="inlineStr">
        <is>
          <t>grams</t>
        </is>
      </c>
      <c r="G377" s="151" t="inlineStr">
        <is>
          <t>BLAST CHILLER, OVEN</t>
        </is>
      </c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inlineStr">
        <is>
          <t>FA-DE Onion, Red, Diced 10mm/Zwiebeln, rot, gewürfelt, 10 mm</t>
        </is>
      </c>
      <c r="X377" s="151" t="inlineStr">
        <is>
          <t>PHF-00-139216-3</t>
        </is>
      </c>
      <c r="Y377" s="155" t="inlineStr">
        <is>
          <t>13,01</t>
        </is>
      </c>
      <c r="Z377" s="149" t="inlineStr">
        <is>
          <t>13,01</t>
        </is>
      </c>
      <c r="AA377" s="151" t="inlineStr">
        <is>
          <t>grams</t>
        </is>
      </c>
      <c r="AB377" s="151" t="n"/>
      <c r="AC377" s="151" t="n"/>
      <c r="AD377" s="150" t="n">
        <v>0.89908</v>
      </c>
      <c r="AE377" s="149" t="n">
        <v>13.01</v>
      </c>
      <c r="AF377" s="151" t="inlineStr">
        <is>
          <t>grams</t>
        </is>
      </c>
      <c r="AG377" s="151" t="n"/>
      <c r="AH377" s="151" t="n"/>
    </row>
    <row r="378">
      <c r="A378" s="151" t="inlineStr">
        <is>
          <t>FV0333A - Tuscan Shrimp [DE]</t>
        </is>
      </c>
      <c r="B378" s="151" t="inlineStr">
        <is>
          <t>REC-013835-4-002</t>
        </is>
      </c>
      <c r="C378" s="151" t="inlineStr">
        <is>
          <t>Zucchini/Pepper/Onion Mix for Tuscan Shrimp - 1/2" Diced</t>
        </is>
      </c>
      <c r="D378" s="151" t="inlineStr">
        <is>
          <t>SUB-013802-4-001</t>
        </is>
      </c>
      <c r="E378" s="150" t="n">
        <v>100</v>
      </c>
      <c r="F378" s="151" t="inlineStr">
        <is>
          <t>grams</t>
        </is>
      </c>
      <c r="G378" s="151" t="inlineStr">
        <is>
          <t>BLAST CHILLER, OVEN</t>
        </is>
      </c>
      <c r="H378" s="151" t="inlineStr">
        <is>
          <t>Tuscan Spice</t>
        </is>
      </c>
      <c r="I378" s="151" t="inlineStr">
        <is>
          <t>SUB-013784-4-001</t>
        </is>
      </c>
      <c r="J378" s="150" t="n">
        <v>0.58</v>
      </c>
      <c r="K378" s="151" t="inlineStr">
        <is>
          <t>grams</t>
        </is>
      </c>
      <c r="L378" s="151" t="inlineStr">
        <is>
          <t>HAND MIX, SPICE PORTIONING</t>
        </is>
      </c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inlineStr">
        <is>
          <t>FA-DE Spice, Fennel Ground /Gewürz, Fenchel gemahlen</t>
        </is>
      </c>
      <c r="X378" s="151" t="inlineStr">
        <is>
          <t>SPI-00-139351-5</t>
        </is>
      </c>
      <c r="Y378" s="151" t="inlineStr">
        <is>
          <t>0,05</t>
        </is>
      </c>
      <c r="Z378" s="149" t="inlineStr">
        <is>
          <t>0,05</t>
        </is>
      </c>
      <c r="AA378" s="151" t="inlineStr">
        <is>
          <t>grams</t>
        </is>
      </c>
      <c r="AB378" s="151" t="n"/>
      <c r="AC378" s="151" t="n"/>
      <c r="AD378" s="150" t="n">
        <v>0.98006</v>
      </c>
      <c r="AE378" s="149" t="n">
        <v>0.05</v>
      </c>
      <c r="AF378" s="151" t="inlineStr">
        <is>
          <t>grams</t>
        </is>
      </c>
      <c r="AG378" s="151" t="n"/>
      <c r="AH378" s="151" t="n"/>
    </row>
    <row r="379">
      <c r="A379" s="151" t="inlineStr">
        <is>
          <t>FV0333A - Tuscan Shrimp [DE]</t>
        </is>
      </c>
      <c r="B379" s="151" t="inlineStr">
        <is>
          <t>REC-013835-4-002</t>
        </is>
      </c>
      <c r="C379" s="151" t="inlineStr">
        <is>
          <t>Zucchini/Pepper/Onion Mix for Tuscan Shrimp - 1/2" Diced</t>
        </is>
      </c>
      <c r="D379" s="151" t="inlineStr">
        <is>
          <t>SUB-013802-4-001</t>
        </is>
      </c>
      <c r="E379" s="150" t="n">
        <v>100</v>
      </c>
      <c r="F379" s="151" t="inlineStr">
        <is>
          <t>grams</t>
        </is>
      </c>
      <c r="G379" s="151" t="inlineStr">
        <is>
          <t>BLAST CHILLER, OVEN</t>
        </is>
      </c>
      <c r="H379" s="151" t="inlineStr">
        <is>
          <t>Tuscan Spice</t>
        </is>
      </c>
      <c r="I379" s="151" t="inlineStr">
        <is>
          <t>SUB-013784-4-001</t>
        </is>
      </c>
      <c r="J379" s="150" t="n">
        <v>0.58</v>
      </c>
      <c r="K379" s="151" t="inlineStr">
        <is>
          <t>grams</t>
        </is>
      </c>
      <c r="L379" s="151" t="inlineStr">
        <is>
          <t>HAND MIX, SPICE PORTIONING</t>
        </is>
      </c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inlineStr">
        <is>
          <t>FA-DE Spice, Basil, Dried /Gewürz, Basilikum, getrocknet</t>
        </is>
      </c>
      <c r="X379" s="151" t="inlineStr">
        <is>
          <t>SPI-00-139331-5</t>
        </is>
      </c>
      <c r="Y379" s="151" t="inlineStr">
        <is>
          <t>0,15</t>
        </is>
      </c>
      <c r="Z379" s="149" t="inlineStr">
        <is>
          <t>0,15</t>
        </is>
      </c>
      <c r="AA379" s="151" t="inlineStr">
        <is>
          <t>grams</t>
        </is>
      </c>
      <c r="AB379" s="151" t="n"/>
      <c r="AC379" s="151" t="n"/>
      <c r="AD379" s="150" t="n">
        <v>0.98006</v>
      </c>
      <c r="AE379" s="149" t="n">
        <v>0.15</v>
      </c>
      <c r="AF379" s="151" t="inlineStr">
        <is>
          <t>grams</t>
        </is>
      </c>
      <c r="AG379" s="151" t="n"/>
      <c r="AH379" s="151" t="n"/>
    </row>
    <row r="380">
      <c r="A380" s="151" t="inlineStr">
        <is>
          <t>FV0333A - Tuscan Shrimp [DE]</t>
        </is>
      </c>
      <c r="B380" s="151" t="inlineStr">
        <is>
          <t>REC-013835-4-002</t>
        </is>
      </c>
      <c r="C380" s="151" t="inlineStr">
        <is>
          <t>Zucchini/Pepper/Onion Mix for Tuscan Shrimp - 1/2" Diced</t>
        </is>
      </c>
      <c r="D380" s="151" t="inlineStr">
        <is>
          <t>SUB-013802-4-001</t>
        </is>
      </c>
      <c r="E380" s="150" t="n">
        <v>100</v>
      </c>
      <c r="F380" s="151" t="inlineStr">
        <is>
          <t>grams</t>
        </is>
      </c>
      <c r="G380" s="151" t="inlineStr">
        <is>
          <t>BLAST CHILLER, OVEN</t>
        </is>
      </c>
      <c r="H380" s="151" t="inlineStr">
        <is>
          <t>Tuscan Spice</t>
        </is>
      </c>
      <c r="I380" s="151" t="inlineStr">
        <is>
          <t>SUB-013784-4-001</t>
        </is>
      </c>
      <c r="J380" s="150" t="n">
        <v>0.58</v>
      </c>
      <c r="K380" s="151" t="inlineStr">
        <is>
          <t>grams</t>
        </is>
      </c>
      <c r="L380" s="151" t="inlineStr">
        <is>
          <t>HAND MIX, SPICE PORTIONING</t>
        </is>
      </c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inlineStr">
        <is>
          <t>FA-DE Spice, Cayenne Pepper /Gewürz, Cayennepfeffer</t>
        </is>
      </c>
      <c r="X380" s="151" t="inlineStr">
        <is>
          <t>SPI-00-139339-5</t>
        </is>
      </c>
      <c r="Y380" s="151" t="inlineStr">
        <is>
          <t>0,03</t>
        </is>
      </c>
      <c r="Z380" s="149" t="inlineStr">
        <is>
          <t>0,03</t>
        </is>
      </c>
      <c r="AA380" s="151" t="inlineStr">
        <is>
          <t>grams</t>
        </is>
      </c>
      <c r="AB380" s="151" t="n"/>
      <c r="AC380" s="151" t="n"/>
      <c r="AD380" s="150" t="n">
        <v>0.98006</v>
      </c>
      <c r="AE380" s="149" t="n">
        <v>0.03</v>
      </c>
      <c r="AF380" s="151" t="inlineStr">
        <is>
          <t>grams</t>
        </is>
      </c>
      <c r="AG380" s="151" t="n"/>
      <c r="AH380" s="151" t="n"/>
    </row>
    <row r="381">
      <c r="A381" s="151" t="inlineStr">
        <is>
          <t>FV0333A - Tuscan Shrimp [DE]</t>
        </is>
      </c>
      <c r="B381" s="151" t="inlineStr">
        <is>
          <t>REC-013835-4-002</t>
        </is>
      </c>
      <c r="C381" s="151" t="inlineStr">
        <is>
          <t>Zucchini/Pepper/Onion Mix for Tuscan Shrimp - 1/2" Diced</t>
        </is>
      </c>
      <c r="D381" s="151" t="inlineStr">
        <is>
          <t>SUB-013802-4-001</t>
        </is>
      </c>
      <c r="E381" s="150" t="n">
        <v>100</v>
      </c>
      <c r="F381" s="151" t="inlineStr">
        <is>
          <t>grams</t>
        </is>
      </c>
      <c r="G381" s="151" t="inlineStr">
        <is>
          <t>BLAST CHILLER, OVEN</t>
        </is>
      </c>
      <c r="H381" s="151" t="inlineStr">
        <is>
          <t>Tuscan Spice</t>
        </is>
      </c>
      <c r="I381" s="151" t="inlineStr">
        <is>
          <t>SUB-013784-4-001</t>
        </is>
      </c>
      <c r="J381" s="150" t="n">
        <v>0.58</v>
      </c>
      <c r="K381" s="151" t="inlineStr">
        <is>
          <t>grams</t>
        </is>
      </c>
      <c r="L381" s="151" t="inlineStr">
        <is>
          <t>HAND MIX, SPICE PORTIONING</t>
        </is>
      </c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inlineStr">
        <is>
          <t>FA-DE Spice, Oregano Dry /Gewürz, Oregano trocken</t>
        </is>
      </c>
      <c r="X381" s="151" t="inlineStr">
        <is>
          <t>SPI-00-139372-5</t>
        </is>
      </c>
      <c r="Y381" s="151" t="inlineStr">
        <is>
          <t>0,1</t>
        </is>
      </c>
      <c r="Z381" s="149" t="inlineStr">
        <is>
          <t>0,1</t>
        </is>
      </c>
      <c r="AA381" s="151" t="inlineStr">
        <is>
          <t>grams</t>
        </is>
      </c>
      <c r="AB381" s="151" t="n"/>
      <c r="AC381" s="151" t="n"/>
      <c r="AD381" s="150" t="n">
        <v>0.98006</v>
      </c>
      <c r="AE381" s="149" t="n">
        <v>0.1</v>
      </c>
      <c r="AF381" s="151" t="inlineStr">
        <is>
          <t>grams</t>
        </is>
      </c>
      <c r="AG381" s="151" t="n"/>
      <c r="AH381" s="151" t="n"/>
    </row>
    <row r="382">
      <c r="A382" s="151" t="inlineStr">
        <is>
          <t>FV0333A - Tuscan Shrimp [DE]</t>
        </is>
      </c>
      <c r="B382" s="151" t="inlineStr">
        <is>
          <t>REC-013835-4-002</t>
        </is>
      </c>
      <c r="C382" s="151" t="inlineStr">
        <is>
          <t>Zucchini/Pepper/Onion Mix for Tuscan Shrimp - 1/2" Diced</t>
        </is>
      </c>
      <c r="D382" s="151" t="inlineStr">
        <is>
          <t>SUB-013802-4-001</t>
        </is>
      </c>
      <c r="E382" s="150" t="n">
        <v>100</v>
      </c>
      <c r="F382" s="151" t="inlineStr">
        <is>
          <t>grams</t>
        </is>
      </c>
      <c r="G382" s="151" t="inlineStr">
        <is>
          <t>BLAST CHILLER, OVEN</t>
        </is>
      </c>
      <c r="H382" s="151" t="inlineStr">
        <is>
          <t>Tuscan Spice</t>
        </is>
      </c>
      <c r="I382" s="151" t="inlineStr">
        <is>
          <t>SUB-013784-4-001</t>
        </is>
      </c>
      <c r="J382" s="150" t="n">
        <v>0.58</v>
      </c>
      <c r="K382" s="151" t="inlineStr">
        <is>
          <t>grams</t>
        </is>
      </c>
      <c r="L382" s="151" t="inlineStr">
        <is>
          <t>HAND MIX, SPICE PORTIONING</t>
        </is>
      </c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inlineStr">
        <is>
          <t>FA-DE Spice, Rosemary, Powder /Gewürz, Rosmarin, Pulver</t>
        </is>
      </c>
      <c r="X382" s="151" t="inlineStr">
        <is>
          <t>SPI-00-139376-5</t>
        </is>
      </c>
      <c r="Y382" s="151" t="inlineStr">
        <is>
          <t>0,1</t>
        </is>
      </c>
      <c r="Z382" s="149" t="inlineStr">
        <is>
          <t>0,1</t>
        </is>
      </c>
      <c r="AA382" s="151" t="inlineStr">
        <is>
          <t>grams</t>
        </is>
      </c>
      <c r="AB382" s="151" t="n"/>
      <c r="AC382" s="151" t="n"/>
      <c r="AD382" s="150" t="n">
        <v>0.98006</v>
      </c>
      <c r="AE382" s="149" t="n">
        <v>0.1</v>
      </c>
      <c r="AF382" s="151" t="inlineStr">
        <is>
          <t>grams</t>
        </is>
      </c>
      <c r="AG382" s="151" t="n"/>
      <c r="AH382" s="151" t="n"/>
    </row>
    <row r="383">
      <c r="A383" s="151" t="inlineStr">
        <is>
          <t>FV0333A - Tuscan Shrimp [DE]</t>
        </is>
      </c>
      <c r="B383" s="151" t="inlineStr">
        <is>
          <t>REC-013835-4-002</t>
        </is>
      </c>
      <c r="C383" s="151" t="inlineStr">
        <is>
          <t>Zucchini/Pepper/Onion Mix for Tuscan Shrimp - 1/2" Diced</t>
        </is>
      </c>
      <c r="D383" s="151" t="inlineStr">
        <is>
          <t>SUB-013802-4-001</t>
        </is>
      </c>
      <c r="E383" s="150" t="n">
        <v>100</v>
      </c>
      <c r="F383" s="151" t="inlineStr">
        <is>
          <t>grams</t>
        </is>
      </c>
      <c r="G383" s="151" t="inlineStr">
        <is>
          <t>BLAST CHILLER, OVEN</t>
        </is>
      </c>
      <c r="H383" s="151" t="inlineStr">
        <is>
          <t>Tuscan Spice</t>
        </is>
      </c>
      <c r="I383" s="151" t="inlineStr">
        <is>
          <t>SUB-013784-4-001</t>
        </is>
      </c>
      <c r="J383" s="150" t="n">
        <v>0.58</v>
      </c>
      <c r="K383" s="151" t="inlineStr">
        <is>
          <t>grams</t>
        </is>
      </c>
      <c r="L383" s="151" t="inlineStr">
        <is>
          <t>HAND MIX, SPICE PORTIONING</t>
        </is>
      </c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inlineStr">
        <is>
          <t>FA-DE Spice, Garlic Granulated /Gewürz, Knoblauch granuliert</t>
        </is>
      </c>
      <c r="X383" s="151" t="inlineStr">
        <is>
          <t>SPI-00-139353-5</t>
        </is>
      </c>
      <c r="Y383" s="151" t="inlineStr">
        <is>
          <t>0,15</t>
        </is>
      </c>
      <c r="Z383" s="149" t="inlineStr">
        <is>
          <t>0,15</t>
        </is>
      </c>
      <c r="AA383" s="151" t="inlineStr">
        <is>
          <t>grams</t>
        </is>
      </c>
      <c r="AB383" s="151" t="n"/>
      <c r="AC383" s="151" t="n"/>
      <c r="AD383" s="150" t="n">
        <v>0.98006</v>
      </c>
      <c r="AE383" s="149" t="n">
        <v>0.15</v>
      </c>
      <c r="AF383" s="151" t="inlineStr">
        <is>
          <t>grams</t>
        </is>
      </c>
      <c r="AG383" s="151" t="n"/>
      <c r="AH383" s="151" t="n"/>
    </row>
    <row r="384">
      <c r="A384" s="151" t="inlineStr">
        <is>
          <t>FV0333A - Tuscan Shrimp [DE]</t>
        </is>
      </c>
      <c r="B384" s="151" t="inlineStr">
        <is>
          <t>REC-013835-4-002</t>
        </is>
      </c>
      <c r="C384" s="151" t="inlineStr">
        <is>
          <t>Zucchini/Pepper/Onion Mix for Tuscan Shrimp - 1/2" Diced</t>
        </is>
      </c>
      <c r="D384" s="151" t="inlineStr">
        <is>
          <t>SUB-013802-4-001</t>
        </is>
      </c>
      <c r="E384" s="150" t="n">
        <v>100</v>
      </c>
      <c r="F384" s="151" t="inlineStr">
        <is>
          <t>grams</t>
        </is>
      </c>
      <c r="G384" s="151" t="inlineStr">
        <is>
          <t>BLAST CHILLER, OVEN</t>
        </is>
      </c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inlineStr">
        <is>
          <t>FA-DE Oil, Olive /Öl, Olivenöl</t>
        </is>
      </c>
      <c r="X384" s="151" t="inlineStr">
        <is>
          <t>PRO-00-139277-5</t>
        </is>
      </c>
      <c r="Y384" s="151" t="inlineStr">
        <is>
          <t>2,89</t>
        </is>
      </c>
      <c r="Z384" s="149" t="inlineStr">
        <is>
          <t>2,89</t>
        </is>
      </c>
      <c r="AA384" s="151" t="inlineStr">
        <is>
          <t>grams</t>
        </is>
      </c>
      <c r="AB384" s="151" t="n"/>
      <c r="AC384" s="151" t="n"/>
      <c r="AD384" s="150" t="n">
        <v>0.89908</v>
      </c>
      <c r="AE384" s="149" t="n">
        <v>2.89</v>
      </c>
      <c r="AF384" s="151" t="inlineStr">
        <is>
          <t>grams</t>
        </is>
      </c>
      <c r="AG384" s="151" t="n"/>
      <c r="AH384" s="151" t="n"/>
    </row>
    <row r="385">
      <c r="A385" s="151" t="inlineStr">
        <is>
          <t>FV0333A - Tuscan Shrimp [DE]</t>
        </is>
      </c>
      <c r="B385" s="151" t="inlineStr">
        <is>
          <t>REC-013835-4-002</t>
        </is>
      </c>
      <c r="C385" s="151" t="inlineStr">
        <is>
          <t>Zucchini/Pepper/Onion Mix for Tuscan Shrimp - 1/2" Diced</t>
        </is>
      </c>
      <c r="D385" s="151" t="inlineStr">
        <is>
          <t>SUB-013802-4-001</t>
        </is>
      </c>
      <c r="E385" s="150" t="n">
        <v>100</v>
      </c>
      <c r="F385" s="151" t="inlineStr">
        <is>
          <t>grams</t>
        </is>
      </c>
      <c r="G385" s="151" t="inlineStr">
        <is>
          <t>BLAST CHILLER, OVEN</t>
        </is>
      </c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inlineStr">
        <is>
          <t>FA-DE Zucchini, Diced 10mm /Zucchini, gewürfelt 10 mm</t>
        </is>
      </c>
      <c r="X385" s="151" t="inlineStr">
        <is>
          <t>PHF-00-139229-3</t>
        </is>
      </c>
      <c r="Y385" s="151" t="inlineStr">
        <is>
          <t>75,15</t>
        </is>
      </c>
      <c r="Z385" s="149" t="inlineStr">
        <is>
          <t>75,15</t>
        </is>
      </c>
      <c r="AA385" s="151" t="inlineStr">
        <is>
          <t>grams</t>
        </is>
      </c>
      <c r="AB385" s="151" t="n"/>
      <c r="AC385" s="151" t="n"/>
      <c r="AD385" s="150" t="n">
        <v>0.89908</v>
      </c>
      <c r="AE385" s="149" t="n">
        <v>75.15000000000001</v>
      </c>
      <c r="AF385" s="151" t="inlineStr">
        <is>
          <t>grams</t>
        </is>
      </c>
      <c r="AG385" s="151" t="n"/>
      <c r="AH385" s="151" t="n"/>
    </row>
    <row r="386">
      <c r="A386" s="151" t="inlineStr">
        <is>
          <t>FV0333A - Tuscan Shrimp [DE]</t>
        </is>
      </c>
      <c r="B386" s="151" t="inlineStr">
        <is>
          <t>REC-013835-4-002</t>
        </is>
      </c>
      <c r="C386" s="151" t="inlineStr">
        <is>
          <t>Zucchini/Pepper/Onion Mix for Tuscan Shrimp - 1/2" Diced</t>
        </is>
      </c>
      <c r="D386" s="151" t="inlineStr">
        <is>
          <t>SUB-013802-4-001</t>
        </is>
      </c>
      <c r="E386" s="150" t="n">
        <v>100</v>
      </c>
      <c r="F386" s="151" t="inlineStr">
        <is>
          <t>grams</t>
        </is>
      </c>
      <c r="G386" s="151" t="inlineStr">
        <is>
          <t>BLAST CHILLER, OVEN</t>
        </is>
      </c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inlineStr">
        <is>
          <t>FA-DE Spice, Sea Salt /Gewürze, Meersalz</t>
        </is>
      </c>
      <c r="X386" s="151" t="inlineStr">
        <is>
          <t>SPI-00-139378-5</t>
        </is>
      </c>
      <c r="Y386" s="151" t="inlineStr">
        <is>
          <t>0,24</t>
        </is>
      </c>
      <c r="Z386" s="149" t="inlineStr">
        <is>
          <t>0,24</t>
        </is>
      </c>
      <c r="AA386" s="151" t="inlineStr">
        <is>
          <t>grams</t>
        </is>
      </c>
      <c r="AB386" s="151" t="n"/>
      <c r="AC386" s="151" t="n"/>
      <c r="AD386" s="150" t="n">
        <v>0.89908</v>
      </c>
      <c r="AE386" s="149" t="n">
        <v>0.24</v>
      </c>
      <c r="AF386" s="151" t="inlineStr">
        <is>
          <t>grams</t>
        </is>
      </c>
      <c r="AG386" s="151" t="n"/>
      <c r="AH386" s="151" t="n"/>
    </row>
    <row r="387">
      <c r="A387" s="151" t="inlineStr">
        <is>
          <t>FV0333A - Tuscan Shrimp [DE]</t>
        </is>
      </c>
      <c r="B387" s="151" t="inlineStr">
        <is>
          <t>REC-013835-4-002</t>
        </is>
      </c>
      <c r="C387" s="151" t="inlineStr">
        <is>
          <t>Zucchini/Pepper/Onion Mix for Tuscan Shrimp - 1/2" Diced</t>
        </is>
      </c>
      <c r="D387" s="151" t="inlineStr">
        <is>
          <t>SUB-013802-4-001</t>
        </is>
      </c>
      <c r="E387" s="150" t="n">
        <v>100</v>
      </c>
      <c r="F387" s="151" t="inlineStr">
        <is>
          <t>grams</t>
        </is>
      </c>
      <c r="G387" s="151" t="inlineStr">
        <is>
          <t>BLAST CHILLER, OVEN</t>
        </is>
      </c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inlineStr">
        <is>
          <t>FA-DE Bell Peppers, Red, Diced 10mm /Paprika, rot, gewürfelt 10 mm</t>
        </is>
      </c>
      <c r="X387" s="151" t="inlineStr">
        <is>
          <t>PHF-00-139179-3</t>
        </is>
      </c>
      <c r="Y387" s="151" t="inlineStr">
        <is>
          <t>19,36</t>
        </is>
      </c>
      <c r="Z387" s="149" t="inlineStr">
        <is>
          <t>19,36</t>
        </is>
      </c>
      <c r="AA387" s="151" t="inlineStr">
        <is>
          <t>grams</t>
        </is>
      </c>
      <c r="AB387" s="151" t="n"/>
      <c r="AC387" s="151" t="n"/>
      <c r="AD387" s="150" t="n">
        <v>0.89908</v>
      </c>
      <c r="AE387" s="149" t="n">
        <v>19.36</v>
      </c>
      <c r="AF387" s="151" t="inlineStr">
        <is>
          <t>grams</t>
        </is>
      </c>
      <c r="AG387" s="151" t="n"/>
      <c r="AH387" s="151" t="n"/>
    </row>
    <row r="388">
      <c r="A388" s="151" t="inlineStr">
        <is>
          <t>FV0333A - Tuscan Shrimp [DKSE]</t>
        </is>
      </c>
      <c r="B388" s="151" t="inlineStr">
        <is>
          <t>REC-013835-4-003</t>
        </is>
      </c>
      <c r="C388" s="151" t="inlineStr">
        <is>
          <t>Creamed Kale - Cream Cheese</t>
        </is>
      </c>
      <c r="D388" s="151" t="inlineStr">
        <is>
          <t>SUB-013834-4-001</t>
        </is>
      </c>
      <c r="E388" s="150" t="n">
        <v>100</v>
      </c>
      <c r="F388" s="151" t="inlineStr">
        <is>
          <t>grams</t>
        </is>
      </c>
      <c r="G388" s="151" t="inlineStr">
        <is>
          <t>BLAST CHILLER, BRAISER, SPICE PORTIONING</t>
        </is>
      </c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inlineStr">
        <is>
          <t>FA-DE Milk, Whole /Milch, voll</t>
        </is>
      </c>
      <c r="X388" s="151" t="inlineStr">
        <is>
          <t>DAI-00-139142-3</t>
        </is>
      </c>
      <c r="Y388" s="151" t="inlineStr">
        <is>
          <t>3,86</t>
        </is>
      </c>
      <c r="Z388" s="149" t="inlineStr">
        <is>
          <t>3,86</t>
        </is>
      </c>
      <c r="AA388" s="151" t="inlineStr">
        <is>
          <t>grams</t>
        </is>
      </c>
      <c r="AB388" s="151" t="inlineStr">
        <is>
          <t>MILCH (EINSCHLIESSLICH LAKTOSE)</t>
        </is>
      </c>
      <c r="AC388" s="151" t="n"/>
      <c r="AD388" s="150" t="n">
        <v>0.9522699999999999</v>
      </c>
      <c r="AE388" s="149" t="n">
        <v>3.86</v>
      </c>
      <c r="AF388" s="151" t="inlineStr">
        <is>
          <t>grams</t>
        </is>
      </c>
      <c r="AG388" s="151" t="n"/>
      <c r="AH388" s="151" t="n"/>
    </row>
    <row r="389">
      <c r="A389" s="151" t="inlineStr">
        <is>
          <t>FV0333A - Tuscan Shrimp [DKSE]</t>
        </is>
      </c>
      <c r="B389" s="151" t="inlineStr">
        <is>
          <t>REC-013835-4-003</t>
        </is>
      </c>
      <c r="C389" s="151" t="inlineStr">
        <is>
          <t>Creamed Kale - Cream Cheese</t>
        </is>
      </c>
      <c r="D389" s="151" t="inlineStr">
        <is>
          <t>SUB-013834-4-001</t>
        </is>
      </c>
      <c r="E389" s="150" t="n">
        <v>100</v>
      </c>
      <c r="F389" s="151" t="inlineStr">
        <is>
          <t>grams</t>
        </is>
      </c>
      <c r="G389" s="151" t="inlineStr">
        <is>
          <t>BLAST CHILLER, BRAISER, SPICE PORTIONING</t>
        </is>
      </c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inlineStr">
        <is>
          <t>FA-DE Heavy Cream 20% /Sahne 20%</t>
        </is>
      </c>
      <c r="X389" s="151" t="inlineStr">
        <is>
          <t>DAI-00-139137-3</t>
        </is>
      </c>
      <c r="Y389" s="151" t="inlineStr">
        <is>
          <t>47,58</t>
        </is>
      </c>
      <c r="Z389" s="149" t="inlineStr">
        <is>
          <t>47,58</t>
        </is>
      </c>
      <c r="AA389" s="151" t="inlineStr">
        <is>
          <t>grams</t>
        </is>
      </c>
      <c r="AB389" s="151" t="inlineStr">
        <is>
          <t>MILCH (EINSCHLIESSLICH LAKTOSE)</t>
        </is>
      </c>
      <c r="AC389" s="151" t="n"/>
      <c r="AD389" s="150" t="n">
        <v>0.9522699999999999</v>
      </c>
      <c r="AE389" s="149" t="n">
        <v>47.58</v>
      </c>
      <c r="AF389" s="151" t="inlineStr">
        <is>
          <t>grams</t>
        </is>
      </c>
      <c r="AG389" s="151" t="n"/>
      <c r="AH389" s="151" t="n"/>
    </row>
    <row r="390">
      <c r="A390" s="151" t="inlineStr">
        <is>
          <t>FV0333A - Tuscan Shrimp [DKSE]</t>
        </is>
      </c>
      <c r="B390" s="151" t="inlineStr">
        <is>
          <t>REC-013835-4-003</t>
        </is>
      </c>
      <c r="C390" s="151" t="inlineStr">
        <is>
          <t>Creamed Kale - Cream Cheese</t>
        </is>
      </c>
      <c r="D390" s="151" t="inlineStr">
        <is>
          <t>SUB-013834-4-001</t>
        </is>
      </c>
      <c r="E390" s="150" t="n">
        <v>100</v>
      </c>
      <c r="F390" s="151" t="inlineStr">
        <is>
          <t>grams</t>
        </is>
      </c>
      <c r="G390" s="151" t="inlineStr">
        <is>
          <t>BLAST CHILLER, BRAISER, SPICE PORTIONING</t>
        </is>
      </c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inlineStr">
        <is>
          <t>FA-DE Spice, White Pepper /Gewürz, weißer Pfeffer</t>
        </is>
      </c>
      <c r="X390" s="151" t="inlineStr">
        <is>
          <t>SPI-00-139387-5</t>
        </is>
      </c>
      <c r="Y390" s="151" t="inlineStr">
        <is>
          <t>0,07</t>
        </is>
      </c>
      <c r="Z390" s="149" t="inlineStr">
        <is>
          <t>0,07</t>
        </is>
      </c>
      <c r="AA390" s="151" t="inlineStr">
        <is>
          <t>grams</t>
        </is>
      </c>
      <c r="AB390" s="151" t="n"/>
      <c r="AC390" s="151" t="n"/>
      <c r="AD390" s="150" t="n">
        <v>0.9522699999999999</v>
      </c>
      <c r="AE390" s="149" t="n">
        <v>0.07000000000000001</v>
      </c>
      <c r="AF390" s="151" t="inlineStr">
        <is>
          <t>grams</t>
        </is>
      </c>
      <c r="AG390" s="151" t="n"/>
      <c r="AH390" s="151" t="n"/>
    </row>
    <row r="391">
      <c r="A391" s="151" t="inlineStr">
        <is>
          <t>FV0333A - Tuscan Shrimp [DKSE]</t>
        </is>
      </c>
      <c r="B391" s="151" t="inlineStr">
        <is>
          <t>REC-013835-4-003</t>
        </is>
      </c>
      <c r="C391" s="151" t="inlineStr">
        <is>
          <t>Creamed Kale - Cream Cheese</t>
        </is>
      </c>
      <c r="D391" s="151" t="inlineStr">
        <is>
          <t>SUB-013834-4-001</t>
        </is>
      </c>
      <c r="E391" s="150" t="n">
        <v>100</v>
      </c>
      <c r="F391" s="151" t="inlineStr">
        <is>
          <t>grams</t>
        </is>
      </c>
      <c r="G391" s="151" t="inlineStr">
        <is>
          <t>BLAST CHILLER, BRAISER, SPICE PORTIONING</t>
        </is>
      </c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inlineStr">
        <is>
          <t>FA-DE Cheese, Cream, 13% Fat (Milk) /Käse, Sahne, 13% Fett</t>
        </is>
      </c>
      <c r="X391" s="151" t="inlineStr">
        <is>
          <t>DAI-00-139122-3</t>
        </is>
      </c>
      <c r="Y391" s="151" t="inlineStr">
        <is>
          <t>7,72</t>
        </is>
      </c>
      <c r="Z391" s="149" t="inlineStr">
        <is>
          <t>7,72</t>
        </is>
      </c>
      <c r="AA391" s="151" t="inlineStr">
        <is>
          <t>grams</t>
        </is>
      </c>
      <c r="AB391" s="151" t="inlineStr">
        <is>
          <t>MILCH (EINSCHLIESSLICH LAKTOSE)</t>
        </is>
      </c>
      <c r="AC391" s="151" t="n"/>
      <c r="AD391" s="150" t="n">
        <v>0.9522699999999999</v>
      </c>
      <c r="AE391" s="149" t="n">
        <v>7.72</v>
      </c>
      <c r="AF391" s="151" t="inlineStr">
        <is>
          <t>grams</t>
        </is>
      </c>
      <c r="AG391" s="151" t="n"/>
      <c r="AH391" s="151" t="n"/>
    </row>
    <row r="392">
      <c r="A392" s="151" t="inlineStr">
        <is>
          <t>FV0333A - Tuscan Shrimp [DKSE]</t>
        </is>
      </c>
      <c r="B392" s="151" t="inlineStr">
        <is>
          <t>REC-013835-4-003</t>
        </is>
      </c>
      <c r="C392" s="151" t="inlineStr">
        <is>
          <t>Creamed Kale - Cream Cheese</t>
        </is>
      </c>
      <c r="D392" s="151" t="inlineStr">
        <is>
          <t>SUB-013834-4-001</t>
        </is>
      </c>
      <c r="E392" s="150" t="n">
        <v>100</v>
      </c>
      <c r="F392" s="151" t="inlineStr">
        <is>
          <t>grams</t>
        </is>
      </c>
      <c r="G392" s="151" t="inlineStr">
        <is>
          <t>BLAST CHILLER, BRAISER, SPICE PORTIONING</t>
        </is>
      </c>
      <c r="H392" s="151" t="inlineStr">
        <is>
          <t>Steamed Kale - 1/2"diced</t>
        </is>
      </c>
      <c r="I392" s="151" t="inlineStr">
        <is>
          <t>SUB-013786-4-001</t>
        </is>
      </c>
      <c r="J392" s="150" t="n">
        <v>24.72</v>
      </c>
      <c r="K392" s="151" t="inlineStr">
        <is>
          <t>grams</t>
        </is>
      </c>
      <c r="L392" s="151" t="inlineStr">
        <is>
          <t>BLAST CHILLER, OVEN</t>
        </is>
      </c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inlineStr">
        <is>
          <t>FA-DE Kale, Shredded 5mm /Grünkohl, geschreddert, 5 mm</t>
        </is>
      </c>
      <c r="X392" s="151" t="inlineStr">
        <is>
          <t>PHF-00-139203-3</t>
        </is>
      </c>
      <c r="Y392" s="151" t="inlineStr">
        <is>
          <t>26,16</t>
        </is>
      </c>
      <c r="Z392" s="149" t="inlineStr">
        <is>
          <t>26,16</t>
        </is>
      </c>
      <c r="AA392" s="151" t="inlineStr">
        <is>
          <t>grams</t>
        </is>
      </c>
      <c r="AB392" s="151" t="n"/>
      <c r="AC392" s="151" t="n"/>
      <c r="AD392" s="150" t="n">
        <v>0.94493</v>
      </c>
      <c r="AE392" s="149" t="n">
        <v>26.16</v>
      </c>
      <c r="AF392" s="151" t="inlineStr">
        <is>
          <t>grams</t>
        </is>
      </c>
      <c r="AG392" s="151" t="n"/>
      <c r="AH392" s="151" t="n"/>
    </row>
    <row r="393">
      <c r="A393" s="151" t="inlineStr">
        <is>
          <t>FV0333A - Tuscan Shrimp [DKSE]</t>
        </is>
      </c>
      <c r="B393" s="151" t="inlineStr">
        <is>
          <t>REC-013835-4-003</t>
        </is>
      </c>
      <c r="C393" s="151" t="inlineStr">
        <is>
          <t>Creamed Kale - Cream Cheese</t>
        </is>
      </c>
      <c r="D393" s="151" t="inlineStr">
        <is>
          <t>SUB-013834-4-001</t>
        </is>
      </c>
      <c r="E393" s="150" t="n">
        <v>100</v>
      </c>
      <c r="F393" s="151" t="inlineStr">
        <is>
          <t>grams</t>
        </is>
      </c>
      <c r="G393" s="151" t="inlineStr">
        <is>
          <t>BLAST CHILLER, BRAISER, SPICE PORTIONING</t>
        </is>
      </c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inlineStr">
        <is>
          <t>FA-DE Spice, Sea Salt /Gewürze, Meersalz</t>
        </is>
      </c>
      <c r="X393" s="151" t="inlineStr">
        <is>
          <t>SPI-00-139378-5</t>
        </is>
      </c>
      <c r="Y393" s="151" t="inlineStr">
        <is>
          <t>0,6</t>
        </is>
      </c>
      <c r="Z393" s="149" t="inlineStr">
        <is>
          <t>0,6</t>
        </is>
      </c>
      <c r="AA393" s="151" t="inlineStr">
        <is>
          <t>grams</t>
        </is>
      </c>
      <c r="AB393" s="151" t="n"/>
      <c r="AC393" s="151" t="n"/>
      <c r="AD393" s="150" t="n">
        <v>0.9522699999999999</v>
      </c>
      <c r="AE393" s="149" t="n">
        <v>0.6</v>
      </c>
      <c r="AF393" s="151" t="inlineStr">
        <is>
          <t>grams</t>
        </is>
      </c>
      <c r="AG393" s="151" t="n"/>
      <c r="AH393" s="151" t="n"/>
    </row>
    <row r="394">
      <c r="A394" s="151" t="inlineStr">
        <is>
          <t>FV0333A - Tuscan Shrimp [DKSE]</t>
        </is>
      </c>
      <c r="B394" s="151" t="inlineStr">
        <is>
          <t>REC-013835-4-003</t>
        </is>
      </c>
      <c r="C394" s="151" t="inlineStr">
        <is>
          <t>Creamed Kale - Cream Cheese</t>
        </is>
      </c>
      <c r="D394" s="151" t="inlineStr">
        <is>
          <t>SUB-013834-4-001</t>
        </is>
      </c>
      <c r="E394" s="150" t="n">
        <v>100</v>
      </c>
      <c r="F394" s="151" t="inlineStr">
        <is>
          <t>grams</t>
        </is>
      </c>
      <c r="G394" s="151" t="inlineStr">
        <is>
          <t>BLAST CHILLER, BRAISER, SPICE PORTIONING</t>
        </is>
      </c>
      <c r="H394" s="151" t="inlineStr">
        <is>
          <t>Roasted Onions/Garlic</t>
        </is>
      </c>
      <c r="I394" s="151" t="inlineStr">
        <is>
          <t>SUB-013787-4-001</t>
        </is>
      </c>
      <c r="J394" s="157" t="n">
        <v>13.9</v>
      </c>
      <c r="K394" s="151" t="inlineStr">
        <is>
          <t>grams</t>
        </is>
      </c>
      <c r="L394" s="151" t="inlineStr">
        <is>
          <t>BLAST CHILLER, OVEN</t>
        </is>
      </c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inlineStr">
        <is>
          <t>FA-DE Onion, Spanish, Diced 5mm /Zwiebel, Spanisch, gewürfelt 5 mm</t>
        </is>
      </c>
      <c r="X394" s="151" t="inlineStr">
        <is>
          <t>PHF-00-139212-3</t>
        </is>
      </c>
      <c r="Y394" s="151" t="inlineStr">
        <is>
          <t>9,65</t>
        </is>
      </c>
      <c r="Z394" s="149" t="inlineStr">
        <is>
          <t>9,65</t>
        </is>
      </c>
      <c r="AA394" s="151" t="inlineStr">
        <is>
          <t>grams</t>
        </is>
      </c>
      <c r="AB394" s="151" t="n"/>
      <c r="AC394" s="151" t="n"/>
      <c r="AD394" s="150" t="n">
        <v>0.85798</v>
      </c>
      <c r="AE394" s="149" t="n">
        <v>9.65</v>
      </c>
      <c r="AF394" s="151" t="inlineStr">
        <is>
          <t>grams</t>
        </is>
      </c>
      <c r="AG394" s="151" t="n"/>
      <c r="AH394" s="151" t="n"/>
    </row>
    <row r="395">
      <c r="A395" s="151" t="inlineStr">
        <is>
          <t>FV0333A - Tuscan Shrimp [DKSE]</t>
        </is>
      </c>
      <c r="B395" s="151" t="inlineStr">
        <is>
          <t>REC-013835-4-003</t>
        </is>
      </c>
      <c r="C395" s="151" t="inlineStr">
        <is>
          <t>Creamed Kale - Cream Cheese</t>
        </is>
      </c>
      <c r="D395" s="151" t="inlineStr">
        <is>
          <t>SUB-013834-4-001</t>
        </is>
      </c>
      <c r="E395" s="150" t="n">
        <v>100</v>
      </c>
      <c r="F395" s="151" t="inlineStr">
        <is>
          <t>grams</t>
        </is>
      </c>
      <c r="G395" s="151" t="inlineStr">
        <is>
          <t>BLAST CHILLER, BRAISER, SPICE PORTIONING</t>
        </is>
      </c>
      <c r="H395" s="151" t="inlineStr">
        <is>
          <t>Roasted Onions/Garlic</t>
        </is>
      </c>
      <c r="I395" s="151" t="inlineStr">
        <is>
          <t>SUB-013787-4-001</t>
        </is>
      </c>
      <c r="J395" s="157" t="n">
        <v>13.9</v>
      </c>
      <c r="K395" s="151" t="inlineStr">
        <is>
          <t>grams</t>
        </is>
      </c>
      <c r="L395" s="151" t="inlineStr">
        <is>
          <t>BLAST CHILLER, OVEN</t>
        </is>
      </c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inlineStr">
        <is>
          <t>FA-DE Garlic, IQF, Diced 4 mm /Knoblauch, IQF, gewürfelt 4 mm</t>
        </is>
      </c>
      <c r="X395" s="151" t="inlineStr">
        <is>
          <t>PHF-00-139237-1</t>
        </is>
      </c>
      <c r="Y395" s="151" t="inlineStr">
        <is>
          <t>3,85</t>
        </is>
      </c>
      <c r="Z395" s="149" t="inlineStr">
        <is>
          <t>3,85</t>
        </is>
      </c>
      <c r="AA395" s="151" t="inlineStr">
        <is>
          <t>grams</t>
        </is>
      </c>
      <c r="AB395" s="151" t="inlineStr">
        <is>
          <t>SCHWEFELDIOXIDE UND SULFITE</t>
        </is>
      </c>
      <c r="AC395" s="151" t="n"/>
      <c r="AD395" s="150" t="n">
        <v>0.85798</v>
      </c>
      <c r="AE395" s="149" t="n">
        <v>3.85</v>
      </c>
      <c r="AF395" s="151" t="inlineStr">
        <is>
          <t>grams</t>
        </is>
      </c>
      <c r="AG395" s="151" t="n"/>
      <c r="AH395" s="151" t="n"/>
    </row>
    <row r="396">
      <c r="A396" s="151" t="inlineStr">
        <is>
          <t>FV0333A - Tuscan Shrimp [DKSE]</t>
        </is>
      </c>
      <c r="B396" s="151" t="inlineStr">
        <is>
          <t>REC-013835-4-003</t>
        </is>
      </c>
      <c r="C396" s="151" t="inlineStr">
        <is>
          <t>Creamed Kale - Cream Cheese</t>
        </is>
      </c>
      <c r="D396" s="151" t="inlineStr">
        <is>
          <t>SUB-013834-4-001</t>
        </is>
      </c>
      <c r="E396" s="150" t="n">
        <v>100</v>
      </c>
      <c r="F396" s="151" t="inlineStr">
        <is>
          <t>grams</t>
        </is>
      </c>
      <c r="G396" s="151" t="inlineStr">
        <is>
          <t>BLAST CHILLER, BRAISER, SPICE PORTIONING</t>
        </is>
      </c>
      <c r="H396" s="151" t="inlineStr">
        <is>
          <t>Roasted Onions/Garlic</t>
        </is>
      </c>
      <c r="I396" s="151" t="inlineStr">
        <is>
          <t>SUB-013787-4-001</t>
        </is>
      </c>
      <c r="J396" s="157" t="n">
        <v>13.9</v>
      </c>
      <c r="K396" s="151" t="inlineStr">
        <is>
          <t>grams</t>
        </is>
      </c>
      <c r="L396" s="151" t="inlineStr">
        <is>
          <t>BLAST CHILLER, OVEN</t>
        </is>
      </c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inlineStr">
        <is>
          <t>FA-DE Oil, Olive /Öl, Olivenöl</t>
        </is>
      </c>
      <c r="X396" s="151" t="inlineStr">
        <is>
          <t>PRO-00-139277-5</t>
        </is>
      </c>
      <c r="Y396" s="154" t="inlineStr">
        <is>
          <t>2,7</t>
        </is>
      </c>
      <c r="Z396" s="149" t="inlineStr">
        <is>
          <t>2,7</t>
        </is>
      </c>
      <c r="AA396" s="151" t="inlineStr">
        <is>
          <t>grams</t>
        </is>
      </c>
      <c r="AB396" s="151" t="n"/>
      <c r="AC396" s="151" t="n"/>
      <c r="AD396" s="150" t="n">
        <v>0.85798</v>
      </c>
      <c r="AE396" s="149" t="n">
        <v>2.7</v>
      </c>
      <c r="AF396" s="151" t="inlineStr">
        <is>
          <t>grams</t>
        </is>
      </c>
      <c r="AG396" s="151" t="n"/>
      <c r="AH396" s="151" t="n"/>
    </row>
    <row r="397">
      <c r="A397" s="151" t="inlineStr">
        <is>
          <t>FV0333A - Tuscan Shrimp [DKSE]</t>
        </is>
      </c>
      <c r="B397" s="151" t="inlineStr">
        <is>
          <t>REC-013835-4-003</t>
        </is>
      </c>
      <c r="C397" s="151" t="inlineStr">
        <is>
          <t>Creamed Kale - Cream Cheese</t>
        </is>
      </c>
      <c r="D397" s="151" t="inlineStr">
        <is>
          <t>SUB-013834-4-001</t>
        </is>
      </c>
      <c r="E397" s="150" t="n">
        <v>100</v>
      </c>
      <c r="F397" s="151" t="inlineStr">
        <is>
          <t>grams</t>
        </is>
      </c>
      <c r="G397" s="151" t="inlineStr">
        <is>
          <t>BLAST CHILLER, BRAISER, SPICE PORTIONING</t>
        </is>
      </c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inlineStr">
        <is>
          <t>FA-DE Cheese, Parmesan, Grated /Käse, Parmesan, gerieben</t>
        </is>
      </c>
      <c r="X397" s="151" t="inlineStr">
        <is>
          <t>DAI-00-139127-3</t>
        </is>
      </c>
      <c r="Y397" s="151" t="inlineStr">
        <is>
          <t>6,57</t>
        </is>
      </c>
      <c r="Z397" s="149" t="inlineStr">
        <is>
          <t>6,57</t>
        </is>
      </c>
      <c r="AA397" s="151" t="inlineStr">
        <is>
          <t>grams</t>
        </is>
      </c>
      <c r="AB397" s="151" t="inlineStr">
        <is>
          <t>MILCH (EINSCHLIESSLICH LAKTOSE)</t>
        </is>
      </c>
      <c r="AC397" s="151" t="n"/>
      <c r="AD397" s="150" t="n">
        <v>0.9522699999999999</v>
      </c>
      <c r="AE397" s="149" t="n">
        <v>6.57</v>
      </c>
      <c r="AF397" s="151" t="inlineStr">
        <is>
          <t>grams</t>
        </is>
      </c>
      <c r="AG397" s="151" t="n"/>
      <c r="AH397" s="151" t="n"/>
    </row>
    <row r="398">
      <c r="A398" s="151" t="inlineStr">
        <is>
          <t>FV0333A - Tuscan Shrimp [DKSE]</t>
        </is>
      </c>
      <c r="B398" s="151" t="inlineStr">
        <is>
          <t>REC-013835-4-003</t>
        </is>
      </c>
      <c r="C398" s="151" t="inlineStr">
        <is>
          <t>Tuscan Shrimp batch</t>
        </is>
      </c>
      <c r="D398" s="151" t="inlineStr">
        <is>
          <t>SUB-013801-4-001</t>
        </is>
      </c>
      <c r="E398" s="150" t="n">
        <v>7</v>
      </c>
      <c r="F398" s="151" t="inlineStr">
        <is>
          <t>each</t>
        </is>
      </c>
      <c r="G398" s="151" t="inlineStr">
        <is>
          <t>BLAST CHILLER, MARINADE, OVEN, THAW</t>
        </is>
      </c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inlineStr">
        <is>
          <t>FA-DE Prawns 21/25 /Garnelen 21/25 - IQF</t>
        </is>
      </c>
      <c r="X398" s="151" t="inlineStr">
        <is>
          <t>PTN-00-139321-1</t>
        </is>
      </c>
      <c r="Y398" s="151" t="inlineStr">
        <is>
          <t>138,92</t>
        </is>
      </c>
      <c r="Z398" s="149" t="inlineStr">
        <is>
          <t>138,92</t>
        </is>
      </c>
      <c r="AA398" s="151" t="inlineStr">
        <is>
          <t>grams</t>
        </is>
      </c>
      <c r="AB398" s="151" t="inlineStr">
        <is>
          <t>KREBSTIERE</t>
        </is>
      </c>
      <c r="AC398" s="151" t="n"/>
      <c r="AD398" s="150" t="n">
        <v>0.70061</v>
      </c>
      <c r="AE398" s="149" t="n">
        <v>138.92</v>
      </c>
      <c r="AF398" s="151" t="inlineStr">
        <is>
          <t>grams</t>
        </is>
      </c>
      <c r="AG398" s="151" t="n"/>
      <c r="AH398" s="151" t="n"/>
    </row>
    <row r="399">
      <c r="A399" s="151" t="inlineStr">
        <is>
          <t>FV0333A - Tuscan Shrimp [DKSE]</t>
        </is>
      </c>
      <c r="B399" s="151" t="inlineStr">
        <is>
          <t>REC-013835-4-003</t>
        </is>
      </c>
      <c r="C399" s="151" t="inlineStr">
        <is>
          <t>Tuscan Shrimp batch</t>
        </is>
      </c>
      <c r="D399" s="151" t="inlineStr">
        <is>
          <t>SUB-013801-4-001</t>
        </is>
      </c>
      <c r="E399" s="150" t="n">
        <v>7</v>
      </c>
      <c r="F399" s="151" t="inlineStr">
        <is>
          <t>each</t>
        </is>
      </c>
      <c r="G399" s="151" t="inlineStr">
        <is>
          <t>BLAST CHILLER, MARINADE, OVEN, THAW</t>
        </is>
      </c>
      <c r="H399" s="151" t="inlineStr">
        <is>
          <t>Tuscan Marinade</t>
        </is>
      </c>
      <c r="I399" s="151" t="inlineStr">
        <is>
          <t>SUB-031711-4-001</t>
        </is>
      </c>
      <c r="J399" s="150" t="n">
        <v>10.96</v>
      </c>
      <c r="K399" s="151" t="inlineStr">
        <is>
          <t>grams</t>
        </is>
      </c>
      <c r="L399" s="151" t="inlineStr">
        <is>
          <t>IMMERSION BLENDER</t>
        </is>
      </c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inlineStr">
        <is>
          <t>FA-DE Oil, Olive /Öl, Olivenöl</t>
        </is>
      </c>
      <c r="X399" s="151" t="inlineStr">
        <is>
          <t>PRO-00-139277-5</t>
        </is>
      </c>
      <c r="Y399" s="151" t="inlineStr">
        <is>
          <t>7,73</t>
        </is>
      </c>
      <c r="Z399" s="149" t="inlineStr">
        <is>
          <t>7,73</t>
        </is>
      </c>
      <c r="AA399" s="151" t="inlineStr">
        <is>
          <t>grams</t>
        </is>
      </c>
      <c r="AB399" s="151" t="n"/>
      <c r="AC399" s="151" t="n"/>
      <c r="AD399" s="150" t="n">
        <v>0.96256</v>
      </c>
      <c r="AE399" s="149" t="n">
        <v>7.73</v>
      </c>
      <c r="AF399" s="151" t="inlineStr">
        <is>
          <t>grams</t>
        </is>
      </c>
      <c r="AG399" s="151" t="n"/>
      <c r="AH399" s="151" t="n"/>
    </row>
    <row r="400">
      <c r="A400" s="151" t="inlineStr">
        <is>
          <t>FV0333A - Tuscan Shrimp [DKSE]</t>
        </is>
      </c>
      <c r="B400" s="151" t="inlineStr">
        <is>
          <t>REC-013835-4-003</t>
        </is>
      </c>
      <c r="C400" s="151" t="inlineStr">
        <is>
          <t>Tuscan Shrimp batch</t>
        </is>
      </c>
      <c r="D400" s="151" t="inlineStr">
        <is>
          <t>SUB-013801-4-001</t>
        </is>
      </c>
      <c r="E400" s="150" t="n">
        <v>7</v>
      </c>
      <c r="F400" s="151" t="inlineStr">
        <is>
          <t>each</t>
        </is>
      </c>
      <c r="G400" s="151" t="inlineStr">
        <is>
          <t>BLAST CHILLER, MARINADE, OVEN, THAW</t>
        </is>
      </c>
      <c r="H400" s="151" t="inlineStr">
        <is>
          <t>Tuscan Marinade</t>
        </is>
      </c>
      <c r="I400" s="151" t="inlineStr">
        <is>
          <t>SUB-031711-4-001</t>
        </is>
      </c>
      <c r="J400" s="150" t="n">
        <v>10.96</v>
      </c>
      <c r="K400" s="151" t="inlineStr">
        <is>
          <t>grams</t>
        </is>
      </c>
      <c r="L400" s="151" t="inlineStr">
        <is>
          <t>IMMERSION BLENDER</t>
        </is>
      </c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inlineStr">
        <is>
          <t>FA-DE Garlic, IQF, Diced 4 mm /Knoblauch, IQF, gewürfelt 4 mm</t>
        </is>
      </c>
      <c r="X400" s="151" t="inlineStr">
        <is>
          <t>PHF-00-139237-1</t>
        </is>
      </c>
      <c r="Y400" s="154" t="inlineStr">
        <is>
          <t>2,06</t>
        </is>
      </c>
      <c r="Z400" s="149" t="inlineStr">
        <is>
          <t>2,06</t>
        </is>
      </c>
      <c r="AA400" s="151" t="inlineStr">
        <is>
          <t>grams</t>
        </is>
      </c>
      <c r="AB400" s="151" t="inlineStr">
        <is>
          <t>SCHWEFELDIOXIDE UND SULFITE</t>
        </is>
      </c>
      <c r="AC400" s="151" t="n"/>
      <c r="AD400" s="150" t="n">
        <v>0.96256</v>
      </c>
      <c r="AE400" s="149" t="n">
        <v>2.06</v>
      </c>
      <c r="AF400" s="151" t="inlineStr">
        <is>
          <t>grams</t>
        </is>
      </c>
      <c r="AG400" s="151" t="n"/>
      <c r="AH400" s="151" t="n"/>
    </row>
    <row r="401">
      <c r="A401" s="151" t="inlineStr">
        <is>
          <t>FV0333A - Tuscan Shrimp [DKSE]</t>
        </is>
      </c>
      <c r="B401" s="151" t="inlineStr">
        <is>
          <t>REC-013835-4-003</t>
        </is>
      </c>
      <c r="C401" s="151" t="inlineStr">
        <is>
          <t>Tuscan Shrimp batch</t>
        </is>
      </c>
      <c r="D401" s="151" t="inlineStr">
        <is>
          <t>SUB-013801-4-001</t>
        </is>
      </c>
      <c r="E401" s="150" t="n">
        <v>7</v>
      </c>
      <c r="F401" s="151" t="inlineStr">
        <is>
          <t>each</t>
        </is>
      </c>
      <c r="G401" s="151" t="inlineStr">
        <is>
          <t>BLAST CHILLER, MARINADE, OVEN, THAW</t>
        </is>
      </c>
      <c r="H401" s="151" t="inlineStr">
        <is>
          <t>Tuscan Marinade</t>
        </is>
      </c>
      <c r="I401" s="151" t="inlineStr">
        <is>
          <t>SUB-031711-4-001</t>
        </is>
      </c>
      <c r="J401" s="150" t="n">
        <v>10.96</v>
      </c>
      <c r="K401" s="151" t="inlineStr">
        <is>
          <t>grams</t>
        </is>
      </c>
      <c r="L401" s="151" t="inlineStr">
        <is>
          <t>IMMERSION BLENDER</t>
        </is>
      </c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inlineStr">
        <is>
          <t>FA-DE Spice, Black Pepper, Ground /Gewürz, schwarzer Pfeffer, gemahlen</t>
        </is>
      </c>
      <c r="X401" s="151" t="inlineStr">
        <is>
          <t>SPI-00-139334-5</t>
        </is>
      </c>
      <c r="Y401" s="151" t="inlineStr">
        <is>
          <t>0,17</t>
        </is>
      </c>
      <c r="Z401" s="149" t="inlineStr">
        <is>
          <t>0,17</t>
        </is>
      </c>
      <c r="AA401" s="151" t="inlineStr">
        <is>
          <t>grams</t>
        </is>
      </c>
      <c r="AB401" s="151" t="n"/>
      <c r="AC401" s="151" t="n"/>
      <c r="AD401" s="150" t="n">
        <v>0.96256</v>
      </c>
      <c r="AE401" s="149" t="n">
        <v>0.17</v>
      </c>
      <c r="AF401" s="151" t="inlineStr">
        <is>
          <t>grams</t>
        </is>
      </c>
      <c r="AG401" s="151" t="n"/>
      <c r="AH401" s="151" t="n"/>
    </row>
    <row r="402">
      <c r="A402" s="151" t="inlineStr">
        <is>
          <t>FV0333A - Tuscan Shrimp [DKSE]</t>
        </is>
      </c>
      <c r="B402" s="151" t="inlineStr">
        <is>
          <t>REC-013835-4-003</t>
        </is>
      </c>
      <c r="C402" s="151" t="inlineStr">
        <is>
          <t>Tuscan Shrimp batch</t>
        </is>
      </c>
      <c r="D402" s="151" t="inlineStr">
        <is>
          <t>SUB-013801-4-001</t>
        </is>
      </c>
      <c r="E402" s="150" t="n">
        <v>7</v>
      </c>
      <c r="F402" s="151" t="inlineStr">
        <is>
          <t>each</t>
        </is>
      </c>
      <c r="G402" s="151" t="inlineStr">
        <is>
          <t>BLAST CHILLER, MARINADE, OVEN, THAW</t>
        </is>
      </c>
      <c r="H402" s="151" t="inlineStr">
        <is>
          <t>Tuscan Marinade</t>
        </is>
      </c>
      <c r="I402" s="151" t="inlineStr">
        <is>
          <t>SUB-031711-4-001</t>
        </is>
      </c>
      <c r="J402" s="150" t="n">
        <v>10.96</v>
      </c>
      <c r="K402" s="151" t="inlineStr">
        <is>
          <t>grams</t>
        </is>
      </c>
      <c r="L402" s="151" t="inlineStr">
        <is>
          <t>IMMERSION BLENDER</t>
        </is>
      </c>
      <c r="M402" s="151" t="inlineStr">
        <is>
          <t>Tuscan Spice</t>
        </is>
      </c>
      <c r="N402" s="151" t="inlineStr">
        <is>
          <t>SUB-013784-4-001</t>
        </is>
      </c>
      <c r="O402" s="156" t="n">
        <v>1.22</v>
      </c>
      <c r="P402" s="151" t="inlineStr">
        <is>
          <t>grams</t>
        </is>
      </c>
      <c r="Q402" s="151" t="inlineStr">
        <is>
          <t>HAND MIX, SPICE PORTIONING</t>
        </is>
      </c>
      <c r="R402" s="151" t="n"/>
      <c r="S402" s="151" t="n"/>
      <c r="T402" s="151" t="n"/>
      <c r="U402" s="151" t="n"/>
      <c r="V402" s="151" t="n"/>
      <c r="W402" s="151" t="inlineStr">
        <is>
          <t>FA-DE Spice, Fennel Ground /Gewürz, Fenchel gemahlen</t>
        </is>
      </c>
      <c r="X402" s="151" t="inlineStr">
        <is>
          <t>SPI-00-139351-5</t>
        </is>
      </c>
      <c r="Y402" s="151" t="inlineStr">
        <is>
          <t>0,11</t>
        </is>
      </c>
      <c r="Z402" s="149" t="inlineStr">
        <is>
          <t>0,11</t>
        </is>
      </c>
      <c r="AA402" s="151" t="inlineStr">
        <is>
          <t>grams</t>
        </is>
      </c>
      <c r="AB402" s="151" t="n"/>
      <c r="AC402" s="151" t="n"/>
      <c r="AD402" s="150" t="n">
        <v>0.98006</v>
      </c>
      <c r="AE402" s="149" t="n">
        <v>0.11</v>
      </c>
      <c r="AF402" s="151" t="inlineStr">
        <is>
          <t>grams</t>
        </is>
      </c>
      <c r="AG402" s="151" t="n"/>
      <c r="AH402" s="151" t="n"/>
    </row>
    <row r="403">
      <c r="A403" s="151" t="inlineStr">
        <is>
          <t>FV0333A - Tuscan Shrimp [DKSE]</t>
        </is>
      </c>
      <c r="B403" s="151" t="inlineStr">
        <is>
          <t>REC-013835-4-003</t>
        </is>
      </c>
      <c r="C403" s="151" t="inlineStr">
        <is>
          <t>Tuscan Shrimp batch</t>
        </is>
      </c>
      <c r="D403" s="151" t="inlineStr">
        <is>
          <t>SUB-013801-4-001</t>
        </is>
      </c>
      <c r="E403" s="150" t="n">
        <v>7</v>
      </c>
      <c r="F403" s="151" t="inlineStr">
        <is>
          <t>each</t>
        </is>
      </c>
      <c r="G403" s="151" t="inlineStr">
        <is>
          <t>BLAST CHILLER, MARINADE, OVEN, THAW</t>
        </is>
      </c>
      <c r="H403" s="151" t="inlineStr">
        <is>
          <t>Tuscan Marinade</t>
        </is>
      </c>
      <c r="I403" s="151" t="inlineStr">
        <is>
          <t>SUB-031711-4-001</t>
        </is>
      </c>
      <c r="J403" s="150" t="n">
        <v>10.96</v>
      </c>
      <c r="K403" s="151" t="inlineStr">
        <is>
          <t>grams</t>
        </is>
      </c>
      <c r="L403" s="151" t="inlineStr">
        <is>
          <t>IMMERSION BLENDER</t>
        </is>
      </c>
      <c r="M403" s="151" t="inlineStr">
        <is>
          <t>Tuscan Spice</t>
        </is>
      </c>
      <c r="N403" s="151" t="inlineStr">
        <is>
          <t>SUB-013784-4-001</t>
        </is>
      </c>
      <c r="O403" s="156" t="n">
        <v>1.22</v>
      </c>
      <c r="P403" s="151" t="inlineStr">
        <is>
          <t>grams</t>
        </is>
      </c>
      <c r="Q403" s="151" t="inlineStr">
        <is>
          <t>HAND MIX, SPICE PORTIONING</t>
        </is>
      </c>
      <c r="R403" s="151" t="n"/>
      <c r="S403" s="151" t="n"/>
      <c r="T403" s="151" t="n"/>
      <c r="U403" s="151" t="n"/>
      <c r="V403" s="151" t="n"/>
      <c r="W403" s="151" t="inlineStr">
        <is>
          <t>FA-DE Spice, Basil, Dried /Gewürz, Basilikum, getrocknet</t>
        </is>
      </c>
      <c r="X403" s="151" t="inlineStr">
        <is>
          <t>SPI-00-139331-5</t>
        </is>
      </c>
      <c r="Y403" s="151" t="inlineStr">
        <is>
          <t>0,32</t>
        </is>
      </c>
      <c r="Z403" s="149" t="inlineStr">
        <is>
          <t>0,32</t>
        </is>
      </c>
      <c r="AA403" s="151" t="inlineStr">
        <is>
          <t>grams</t>
        </is>
      </c>
      <c r="AB403" s="151" t="n"/>
      <c r="AC403" s="151" t="n"/>
      <c r="AD403" s="150" t="n">
        <v>0.98006</v>
      </c>
      <c r="AE403" s="149" t="n">
        <v>0.32</v>
      </c>
      <c r="AF403" s="151" t="inlineStr">
        <is>
          <t>grams</t>
        </is>
      </c>
      <c r="AG403" s="151" t="n"/>
      <c r="AH403" s="151" t="n"/>
    </row>
    <row r="404">
      <c r="A404" s="151" t="inlineStr">
        <is>
          <t>FV0333A - Tuscan Shrimp [DKSE]</t>
        </is>
      </c>
      <c r="B404" s="151" t="inlineStr">
        <is>
          <t>REC-013835-4-003</t>
        </is>
      </c>
      <c r="C404" s="151" t="inlineStr">
        <is>
          <t>Tuscan Shrimp batch</t>
        </is>
      </c>
      <c r="D404" s="151" t="inlineStr">
        <is>
          <t>SUB-013801-4-001</t>
        </is>
      </c>
      <c r="E404" s="150" t="n">
        <v>7</v>
      </c>
      <c r="F404" s="151" t="inlineStr">
        <is>
          <t>each</t>
        </is>
      </c>
      <c r="G404" s="151" t="inlineStr">
        <is>
          <t>BLAST CHILLER, MARINADE, OVEN, THAW</t>
        </is>
      </c>
      <c r="H404" s="151" t="inlineStr">
        <is>
          <t>Tuscan Marinade</t>
        </is>
      </c>
      <c r="I404" s="151" t="inlineStr">
        <is>
          <t>SUB-031711-4-001</t>
        </is>
      </c>
      <c r="J404" s="150" t="n">
        <v>10.96</v>
      </c>
      <c r="K404" s="151" t="inlineStr">
        <is>
          <t>grams</t>
        </is>
      </c>
      <c r="L404" s="151" t="inlineStr">
        <is>
          <t>IMMERSION BLENDER</t>
        </is>
      </c>
      <c r="M404" s="151" t="inlineStr">
        <is>
          <t>Tuscan Spice</t>
        </is>
      </c>
      <c r="N404" s="151" t="inlineStr">
        <is>
          <t>SUB-013784-4-001</t>
        </is>
      </c>
      <c r="O404" s="156" t="n">
        <v>1.22</v>
      </c>
      <c r="P404" s="151" t="inlineStr">
        <is>
          <t>grams</t>
        </is>
      </c>
      <c r="Q404" s="151" t="inlineStr">
        <is>
          <t>HAND MIX, SPICE PORTIONING</t>
        </is>
      </c>
      <c r="R404" s="151" t="n"/>
      <c r="S404" s="151" t="n"/>
      <c r="T404" s="151" t="n"/>
      <c r="U404" s="151" t="n"/>
      <c r="V404" s="151" t="n"/>
      <c r="W404" s="151" t="inlineStr">
        <is>
          <t>FA-DE Spice, Cayenne Pepper /Gewürz, Cayennepfeffer</t>
        </is>
      </c>
      <c r="X404" s="151" t="inlineStr">
        <is>
          <t>SPI-00-139339-5</t>
        </is>
      </c>
      <c r="Y404" s="151" t="inlineStr">
        <is>
          <t>0,05</t>
        </is>
      </c>
      <c r="Z404" s="149" t="inlineStr">
        <is>
          <t>0,05</t>
        </is>
      </c>
      <c r="AA404" s="151" t="inlineStr">
        <is>
          <t>grams</t>
        </is>
      </c>
      <c r="AB404" s="151" t="n"/>
      <c r="AC404" s="151" t="n"/>
      <c r="AD404" s="150" t="n">
        <v>0.98006</v>
      </c>
      <c r="AE404" s="149" t="n">
        <v>0.05</v>
      </c>
      <c r="AF404" s="151" t="inlineStr">
        <is>
          <t>grams</t>
        </is>
      </c>
      <c r="AG404" s="151" t="n"/>
      <c r="AH404" s="151" t="n"/>
    </row>
    <row r="405">
      <c r="A405" s="151" t="inlineStr">
        <is>
          <t>FV0333A - Tuscan Shrimp [DKSE]</t>
        </is>
      </c>
      <c r="B405" s="151" t="inlineStr">
        <is>
          <t>REC-013835-4-003</t>
        </is>
      </c>
      <c r="C405" s="151" t="inlineStr">
        <is>
          <t>Tuscan Shrimp batch</t>
        </is>
      </c>
      <c r="D405" s="151" t="inlineStr">
        <is>
          <t>SUB-013801-4-001</t>
        </is>
      </c>
      <c r="E405" s="150" t="n">
        <v>7</v>
      </c>
      <c r="F405" s="151" t="inlineStr">
        <is>
          <t>each</t>
        </is>
      </c>
      <c r="G405" s="151" t="inlineStr">
        <is>
          <t>BLAST CHILLER, MARINADE, OVEN, THAW</t>
        </is>
      </c>
      <c r="H405" s="151" t="inlineStr">
        <is>
          <t>Tuscan Marinade</t>
        </is>
      </c>
      <c r="I405" s="151" t="inlineStr">
        <is>
          <t>SUB-031711-4-001</t>
        </is>
      </c>
      <c r="J405" s="150" t="n">
        <v>10.96</v>
      </c>
      <c r="K405" s="151" t="inlineStr">
        <is>
          <t>grams</t>
        </is>
      </c>
      <c r="L405" s="151" t="inlineStr">
        <is>
          <t>IMMERSION BLENDER</t>
        </is>
      </c>
      <c r="M405" s="151" t="inlineStr">
        <is>
          <t>Tuscan Spice</t>
        </is>
      </c>
      <c r="N405" s="151" t="inlineStr">
        <is>
          <t>SUB-013784-4-001</t>
        </is>
      </c>
      <c r="O405" s="156" t="n">
        <v>1.22</v>
      </c>
      <c r="P405" s="151" t="inlineStr">
        <is>
          <t>grams</t>
        </is>
      </c>
      <c r="Q405" s="151" t="inlineStr">
        <is>
          <t>HAND MIX, SPICE PORTIONING</t>
        </is>
      </c>
      <c r="R405" s="151" t="n"/>
      <c r="S405" s="151" t="n"/>
      <c r="T405" s="151" t="n"/>
      <c r="U405" s="151" t="n"/>
      <c r="V405" s="151" t="n"/>
      <c r="W405" s="151" t="inlineStr">
        <is>
          <t>FA-DE Spice, Oregano Dry /Gewürz, Oregano trocken</t>
        </is>
      </c>
      <c r="X405" s="151" t="inlineStr">
        <is>
          <t>SPI-00-139372-5</t>
        </is>
      </c>
      <c r="Y405" s="151" t="inlineStr">
        <is>
          <t>0,22</t>
        </is>
      </c>
      <c r="Z405" s="149" t="inlineStr">
        <is>
          <t>0,22</t>
        </is>
      </c>
      <c r="AA405" s="151" t="inlineStr">
        <is>
          <t>grams</t>
        </is>
      </c>
      <c r="AB405" s="151" t="n"/>
      <c r="AC405" s="151" t="n"/>
      <c r="AD405" s="150" t="n">
        <v>0.98006</v>
      </c>
      <c r="AE405" s="149" t="n">
        <v>0.22</v>
      </c>
      <c r="AF405" s="151" t="inlineStr">
        <is>
          <t>grams</t>
        </is>
      </c>
      <c r="AG405" s="151" t="n"/>
      <c r="AH405" s="151" t="n"/>
    </row>
    <row r="406">
      <c r="A406" s="151" t="inlineStr">
        <is>
          <t>FV0333A - Tuscan Shrimp [DKSE]</t>
        </is>
      </c>
      <c r="B406" s="151" t="inlineStr">
        <is>
          <t>REC-013835-4-003</t>
        </is>
      </c>
      <c r="C406" s="151" t="inlineStr">
        <is>
          <t>Tuscan Shrimp batch</t>
        </is>
      </c>
      <c r="D406" s="151" t="inlineStr">
        <is>
          <t>SUB-013801-4-001</t>
        </is>
      </c>
      <c r="E406" s="150" t="n">
        <v>7</v>
      </c>
      <c r="F406" s="151" t="inlineStr">
        <is>
          <t>each</t>
        </is>
      </c>
      <c r="G406" s="151" t="inlineStr">
        <is>
          <t>BLAST CHILLER, MARINADE, OVEN, THAW</t>
        </is>
      </c>
      <c r="H406" s="151" t="inlineStr">
        <is>
          <t>Tuscan Marinade</t>
        </is>
      </c>
      <c r="I406" s="151" t="inlineStr">
        <is>
          <t>SUB-031711-4-001</t>
        </is>
      </c>
      <c r="J406" s="150" t="n">
        <v>10.96</v>
      </c>
      <c r="K406" s="151" t="inlineStr">
        <is>
          <t>grams</t>
        </is>
      </c>
      <c r="L406" s="151" t="inlineStr">
        <is>
          <t>IMMERSION BLENDER</t>
        </is>
      </c>
      <c r="M406" s="151" t="inlineStr">
        <is>
          <t>Tuscan Spice</t>
        </is>
      </c>
      <c r="N406" s="151" t="inlineStr">
        <is>
          <t>SUB-013784-4-001</t>
        </is>
      </c>
      <c r="O406" s="156" t="n">
        <v>1.22</v>
      </c>
      <c r="P406" s="151" t="inlineStr">
        <is>
          <t>grams</t>
        </is>
      </c>
      <c r="Q406" s="151" t="inlineStr">
        <is>
          <t>HAND MIX, SPICE PORTIONING</t>
        </is>
      </c>
      <c r="R406" s="151" t="n"/>
      <c r="S406" s="151" t="n"/>
      <c r="T406" s="151" t="n"/>
      <c r="U406" s="151" t="n"/>
      <c r="V406" s="151" t="n"/>
      <c r="W406" s="151" t="inlineStr">
        <is>
          <t>FA-DE Spice, Rosemary, Powder /Gewürz, Rosmarin, Pulver</t>
        </is>
      </c>
      <c r="X406" s="151" t="inlineStr">
        <is>
          <t>SPI-00-139376-5</t>
        </is>
      </c>
      <c r="Y406" s="151" t="inlineStr">
        <is>
          <t>0,22</t>
        </is>
      </c>
      <c r="Z406" s="149" t="inlineStr">
        <is>
          <t>0,22</t>
        </is>
      </c>
      <c r="AA406" s="151" t="inlineStr">
        <is>
          <t>grams</t>
        </is>
      </c>
      <c r="AB406" s="151" t="n"/>
      <c r="AC406" s="151" t="n"/>
      <c r="AD406" s="150" t="n">
        <v>0.98006</v>
      </c>
      <c r="AE406" s="149" t="n">
        <v>0.22</v>
      </c>
      <c r="AF406" s="151" t="inlineStr">
        <is>
          <t>grams</t>
        </is>
      </c>
      <c r="AG406" s="151" t="n"/>
      <c r="AH406" s="151" t="n"/>
    </row>
    <row r="407">
      <c r="A407" s="151" t="inlineStr">
        <is>
          <t>FV0333A - Tuscan Shrimp [DKSE]</t>
        </is>
      </c>
      <c r="B407" s="151" t="inlineStr">
        <is>
          <t>REC-013835-4-003</t>
        </is>
      </c>
      <c r="C407" s="151" t="inlineStr">
        <is>
          <t>Tuscan Shrimp batch</t>
        </is>
      </c>
      <c r="D407" s="151" t="inlineStr">
        <is>
          <t>SUB-013801-4-001</t>
        </is>
      </c>
      <c r="E407" s="150" t="n">
        <v>7</v>
      </c>
      <c r="F407" s="151" t="inlineStr">
        <is>
          <t>each</t>
        </is>
      </c>
      <c r="G407" s="151" t="inlineStr">
        <is>
          <t>BLAST CHILLER, MARINADE, OVEN, THAW</t>
        </is>
      </c>
      <c r="H407" s="151" t="inlineStr">
        <is>
          <t>Tuscan Marinade</t>
        </is>
      </c>
      <c r="I407" s="151" t="inlineStr">
        <is>
          <t>SUB-031711-4-001</t>
        </is>
      </c>
      <c r="J407" s="150" t="n">
        <v>10.96</v>
      </c>
      <c r="K407" s="151" t="inlineStr">
        <is>
          <t>grams</t>
        </is>
      </c>
      <c r="L407" s="151" t="inlineStr">
        <is>
          <t>IMMERSION BLENDER</t>
        </is>
      </c>
      <c r="M407" s="151" t="inlineStr">
        <is>
          <t>Tuscan Spice</t>
        </is>
      </c>
      <c r="N407" s="151" t="inlineStr">
        <is>
          <t>SUB-013784-4-001</t>
        </is>
      </c>
      <c r="O407" s="156" t="n">
        <v>1.22</v>
      </c>
      <c r="P407" s="151" t="inlineStr">
        <is>
          <t>grams</t>
        </is>
      </c>
      <c r="Q407" s="151" t="inlineStr">
        <is>
          <t>HAND MIX, SPICE PORTIONING</t>
        </is>
      </c>
      <c r="R407" s="151" t="n"/>
      <c r="S407" s="151" t="n"/>
      <c r="T407" s="151" t="n"/>
      <c r="U407" s="151" t="n"/>
      <c r="V407" s="151" t="n"/>
      <c r="W407" s="151" t="inlineStr">
        <is>
          <t>FA-DE Spice, Garlic Granulated /Gewürz, Knoblauch granuliert</t>
        </is>
      </c>
      <c r="X407" s="151" t="inlineStr">
        <is>
          <t>SPI-00-139353-5</t>
        </is>
      </c>
      <c r="Y407" s="151" t="inlineStr">
        <is>
          <t>0,32</t>
        </is>
      </c>
      <c r="Z407" s="149" t="inlineStr">
        <is>
          <t>0,32</t>
        </is>
      </c>
      <c r="AA407" s="151" t="inlineStr">
        <is>
          <t>grams</t>
        </is>
      </c>
      <c r="AB407" s="151" t="n"/>
      <c r="AC407" s="151" t="n"/>
      <c r="AD407" s="150" t="n">
        <v>0.98006</v>
      </c>
      <c r="AE407" s="149" t="n">
        <v>0.32</v>
      </c>
      <c r="AF407" s="151" t="inlineStr">
        <is>
          <t>grams</t>
        </is>
      </c>
      <c r="AG407" s="151" t="n"/>
      <c r="AH407" s="151" t="n"/>
    </row>
    <row r="408">
      <c r="A408" s="151" t="inlineStr">
        <is>
          <t>FV0333A - Tuscan Shrimp [DKSE]</t>
        </is>
      </c>
      <c r="B408" s="151" t="inlineStr">
        <is>
          <t>REC-013835-4-003</t>
        </is>
      </c>
      <c r="C408" s="151" t="inlineStr">
        <is>
          <t>Tuscan Shrimp batch</t>
        </is>
      </c>
      <c r="D408" s="151" t="inlineStr">
        <is>
          <t>SUB-013801-4-001</t>
        </is>
      </c>
      <c r="E408" s="150" t="n">
        <v>7</v>
      </c>
      <c r="F408" s="151" t="inlineStr">
        <is>
          <t>each</t>
        </is>
      </c>
      <c r="G408" s="151" t="inlineStr">
        <is>
          <t>BLAST CHILLER, MARINADE, OVEN, THAW</t>
        </is>
      </c>
      <c r="H408" s="151" t="inlineStr">
        <is>
          <t>Tuscan Marinade</t>
        </is>
      </c>
      <c r="I408" s="151" t="inlineStr">
        <is>
          <t>SUB-031711-4-001</t>
        </is>
      </c>
      <c r="J408" s="150" t="n">
        <v>10.96</v>
      </c>
      <c r="K408" s="151" t="inlineStr">
        <is>
          <t>grams</t>
        </is>
      </c>
      <c r="L408" s="151" t="inlineStr">
        <is>
          <t>IMMERSION BLENDER</t>
        </is>
      </c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inlineStr">
        <is>
          <t>FA-DE Spice, Sea Salt /Gewürze, Meersalz</t>
        </is>
      </c>
      <c r="X408" s="151" t="inlineStr">
        <is>
          <t>SPI-00-139378-5</t>
        </is>
      </c>
      <c r="Y408" s="151" t="inlineStr">
        <is>
          <t>0,21</t>
        </is>
      </c>
      <c r="Z408" s="149" t="inlineStr">
        <is>
          <t>0,21</t>
        </is>
      </c>
      <c r="AA408" s="151" t="inlineStr">
        <is>
          <t>grams</t>
        </is>
      </c>
      <c r="AB408" s="151" t="n"/>
      <c r="AC408" s="151" t="n"/>
      <c r="AD408" s="150" t="n">
        <v>0.96256</v>
      </c>
      <c r="AE408" s="149" t="n">
        <v>0.21</v>
      </c>
      <c r="AF408" s="151" t="inlineStr">
        <is>
          <t>grams</t>
        </is>
      </c>
      <c r="AG408" s="151" t="n"/>
      <c r="AH408" s="151" t="n"/>
    </row>
    <row r="409">
      <c r="A409" s="151" t="inlineStr">
        <is>
          <t>FV0333A - Tuscan Shrimp [DKSE]</t>
        </is>
      </c>
      <c r="B409" s="151" t="inlineStr">
        <is>
          <t>REC-013835-4-003</t>
        </is>
      </c>
      <c r="C409" s="151" t="inlineStr">
        <is>
          <t>Sauce - Tuscan Shrimp Butter Sauce</t>
        </is>
      </c>
      <c r="D409" s="151" t="inlineStr">
        <is>
          <t>SUB-013803-4-001</t>
        </is>
      </c>
      <c r="E409" s="150" t="n">
        <v>35</v>
      </c>
      <c r="F409" s="151" t="inlineStr">
        <is>
          <t>grams</t>
        </is>
      </c>
      <c r="G409" s="151" t="inlineStr">
        <is>
          <t>BLAST CHILLER, BRAISER, IMMERSION BLENDER, SPICE PORTIONING</t>
        </is>
      </c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inlineStr">
        <is>
          <t>FA-DE Butter, Unsalted /Butter, ungesalzen</t>
        </is>
      </c>
      <c r="X409" s="151" t="inlineStr">
        <is>
          <t>DAI-00-139146-3</t>
        </is>
      </c>
      <c r="Y409" s="151" t="inlineStr">
        <is>
          <t>15,91</t>
        </is>
      </c>
      <c r="Z409" s="149" t="inlineStr">
        <is>
          <t>15,91</t>
        </is>
      </c>
      <c r="AA409" s="151" t="inlineStr">
        <is>
          <t>grams</t>
        </is>
      </c>
      <c r="AB409" s="151" t="inlineStr">
        <is>
          <t>MILCH (EINSCHLIESSLICH LAKTOSE)</t>
        </is>
      </c>
      <c r="AC409" s="151" t="n"/>
      <c r="AD409" s="150" t="n">
        <v>0.89392</v>
      </c>
      <c r="AE409" s="149" t="n">
        <v>15.91</v>
      </c>
      <c r="AF409" s="151" t="inlineStr">
        <is>
          <t>grams</t>
        </is>
      </c>
      <c r="AG409" s="151" t="n"/>
      <c r="AH409" s="151" t="n"/>
    </row>
    <row r="410">
      <c r="A410" s="151" t="inlineStr">
        <is>
          <t>FV0333A - Tuscan Shrimp [DKSE]</t>
        </is>
      </c>
      <c r="B410" s="151" t="inlineStr">
        <is>
          <t>REC-013835-4-003</t>
        </is>
      </c>
      <c r="C410" s="151" t="inlineStr">
        <is>
          <t>Sauce - Tuscan Shrimp Butter Sauce</t>
        </is>
      </c>
      <c r="D410" s="151" t="inlineStr">
        <is>
          <t>SUB-013803-4-001</t>
        </is>
      </c>
      <c r="E410" s="150" t="n">
        <v>35</v>
      </c>
      <c r="F410" s="151" t="inlineStr">
        <is>
          <t>grams</t>
        </is>
      </c>
      <c r="G410" s="151" t="inlineStr">
        <is>
          <t>BLAST CHILLER, BRAISER, IMMERSION BLENDER, SPICE PORTIONING</t>
        </is>
      </c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inlineStr">
        <is>
          <t>FA-DE Spice, Minced Garlic, Toasted, Dry /Gewürz, gehackter Knoblauch, geröstet, trocken</t>
        </is>
      </c>
      <c r="X410" s="151" t="inlineStr">
        <is>
          <t>SPI-00-139367-5</t>
        </is>
      </c>
      <c r="Y410" s="151" t="inlineStr">
        <is>
          <t>0,42</t>
        </is>
      </c>
      <c r="Z410" s="149" t="inlineStr">
        <is>
          <t>0,42</t>
        </is>
      </c>
      <c r="AA410" s="151" t="inlineStr">
        <is>
          <t>grams</t>
        </is>
      </c>
      <c r="AB410" s="151" t="n"/>
      <c r="AC410" s="151" t="n"/>
      <c r="AD410" s="150" t="n">
        <v>0.89392</v>
      </c>
      <c r="AE410" s="149" t="n">
        <v>0.42</v>
      </c>
      <c r="AF410" s="151" t="inlineStr">
        <is>
          <t>grams</t>
        </is>
      </c>
      <c r="AG410" s="151" t="n"/>
      <c r="AH410" s="151" t="n"/>
    </row>
    <row r="411">
      <c r="A411" s="151" t="inlineStr">
        <is>
          <t>FV0333A - Tuscan Shrimp [DKSE]</t>
        </is>
      </c>
      <c r="B411" s="151" t="inlineStr">
        <is>
          <t>REC-013835-4-003</t>
        </is>
      </c>
      <c r="C411" s="151" t="inlineStr">
        <is>
          <t>Sauce - Tuscan Shrimp Butter Sauce</t>
        </is>
      </c>
      <c r="D411" s="151" t="inlineStr">
        <is>
          <t>SUB-013803-4-001</t>
        </is>
      </c>
      <c r="E411" s="150" t="n">
        <v>35</v>
      </c>
      <c r="F411" s="151" t="inlineStr">
        <is>
          <t>grams</t>
        </is>
      </c>
      <c r="G411" s="151" t="inlineStr">
        <is>
          <t>BLAST CHILLER, BRAISER, IMMERSION BLENDER, SPICE PORTIONING</t>
        </is>
      </c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inlineStr">
        <is>
          <t>FA-DE Gum, Xanthan /Gummi, Xanthan</t>
        </is>
      </c>
      <c r="X411" s="151" t="inlineStr">
        <is>
          <t>DRY-00-139153-5</t>
        </is>
      </c>
      <c r="Y411" s="151" t="inlineStr">
        <is>
          <t>0,08</t>
        </is>
      </c>
      <c r="Z411" s="149" t="inlineStr">
        <is>
          <t>0,08</t>
        </is>
      </c>
      <c r="AA411" s="151" t="inlineStr">
        <is>
          <t>grams</t>
        </is>
      </c>
      <c r="AB411" s="151" t="n"/>
      <c r="AC411" s="151" t="n"/>
      <c r="AD411" s="150" t="n">
        <v>0.89392</v>
      </c>
      <c r="AE411" s="149" t="n">
        <v>0.08</v>
      </c>
      <c r="AF411" s="151" t="inlineStr">
        <is>
          <t>grams</t>
        </is>
      </c>
      <c r="AG411" s="151" t="n"/>
      <c r="AH411" s="151" t="n"/>
    </row>
    <row r="412">
      <c r="A412" s="151" t="inlineStr">
        <is>
          <t>FV0333A - Tuscan Shrimp [DKSE]</t>
        </is>
      </c>
      <c r="B412" s="151" t="inlineStr">
        <is>
          <t>REC-013835-4-003</t>
        </is>
      </c>
      <c r="C412" s="151" t="inlineStr">
        <is>
          <t>Sauce - Tuscan Shrimp Butter Sauce</t>
        </is>
      </c>
      <c r="D412" s="151" t="inlineStr">
        <is>
          <t>SUB-013803-4-001</t>
        </is>
      </c>
      <c r="E412" s="150" t="n">
        <v>35</v>
      </c>
      <c r="F412" s="151" t="inlineStr">
        <is>
          <t>grams</t>
        </is>
      </c>
      <c r="G412" s="151" t="inlineStr">
        <is>
          <t>BLAST CHILLER, BRAISER, IMMERSION BLENDER, SPICE PORTIONING</t>
        </is>
      </c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inlineStr">
        <is>
          <t>FA-DE Onion, Spanish, Diced 5mm /Zwiebel, Spanisch, gewürfelt 5 mm</t>
        </is>
      </c>
      <c r="X412" s="151" t="inlineStr">
        <is>
          <t>PHF-00-139212-3</t>
        </is>
      </c>
      <c r="Y412" s="151" t="inlineStr">
        <is>
          <t>3,82</t>
        </is>
      </c>
      <c r="Z412" s="149" t="inlineStr">
        <is>
          <t>3,82</t>
        </is>
      </c>
      <c r="AA412" s="151" t="inlineStr">
        <is>
          <t>grams</t>
        </is>
      </c>
      <c r="AB412" s="151" t="n"/>
      <c r="AC412" s="151" t="n"/>
      <c r="AD412" s="150" t="n">
        <v>0.89392</v>
      </c>
      <c r="AE412" s="149" t="n">
        <v>3.82</v>
      </c>
      <c r="AF412" s="151" t="inlineStr">
        <is>
          <t>grams</t>
        </is>
      </c>
      <c r="AG412" s="151" t="n"/>
      <c r="AH412" s="151" t="n"/>
    </row>
    <row r="413">
      <c r="A413" s="151" t="inlineStr">
        <is>
          <t>FV0333A - Tuscan Shrimp [DKSE]</t>
        </is>
      </c>
      <c r="B413" s="151" t="inlineStr">
        <is>
          <t>REC-013835-4-003</t>
        </is>
      </c>
      <c r="C413" s="151" t="inlineStr">
        <is>
          <t>Sauce - Tuscan Shrimp Butter Sauce</t>
        </is>
      </c>
      <c r="D413" s="151" t="inlineStr">
        <is>
          <t>SUB-013803-4-001</t>
        </is>
      </c>
      <c r="E413" s="150" t="n">
        <v>35</v>
      </c>
      <c r="F413" s="151" t="inlineStr">
        <is>
          <t>grams</t>
        </is>
      </c>
      <c r="G413" s="151" t="inlineStr">
        <is>
          <t>BLAST CHILLER, BRAISER, IMMERSION BLENDER, SPICE PORTIONING</t>
        </is>
      </c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inlineStr">
        <is>
          <t>FA-DE Spice, Black Pepper, Ground /Gewürz, schwarzer Pfeffer, gemahlen</t>
        </is>
      </c>
      <c r="X413" s="151" t="inlineStr">
        <is>
          <t>SPI-00-139334-5</t>
        </is>
      </c>
      <c r="Y413" s="151" t="inlineStr">
        <is>
          <t>0,1</t>
        </is>
      </c>
      <c r="Z413" s="149" t="inlineStr">
        <is>
          <t>0,1</t>
        </is>
      </c>
      <c r="AA413" s="151" t="inlineStr">
        <is>
          <t>grams</t>
        </is>
      </c>
      <c r="AB413" s="151" t="n"/>
      <c r="AC413" s="151" t="n"/>
      <c r="AD413" s="150" t="n">
        <v>0.89392</v>
      </c>
      <c r="AE413" s="149" t="n">
        <v>0.1</v>
      </c>
      <c r="AF413" s="151" t="inlineStr">
        <is>
          <t>grams</t>
        </is>
      </c>
      <c r="AG413" s="151" t="n"/>
      <c r="AH413" s="151" t="n"/>
    </row>
    <row r="414">
      <c r="A414" s="151" t="inlineStr">
        <is>
          <t>FV0333A - Tuscan Shrimp [DKSE]</t>
        </is>
      </c>
      <c r="B414" s="151" t="inlineStr">
        <is>
          <t>REC-013835-4-003</t>
        </is>
      </c>
      <c r="C414" s="151" t="inlineStr">
        <is>
          <t>Sauce - Tuscan Shrimp Butter Sauce</t>
        </is>
      </c>
      <c r="D414" s="151" t="inlineStr">
        <is>
          <t>SUB-013803-4-001</t>
        </is>
      </c>
      <c r="E414" s="150" t="n">
        <v>35</v>
      </c>
      <c r="F414" s="151" t="inlineStr">
        <is>
          <t>grams</t>
        </is>
      </c>
      <c r="G414" s="151" t="inlineStr">
        <is>
          <t>BLAST CHILLER, BRAISER, IMMERSION BLENDER, SPICE PORTIONING</t>
        </is>
      </c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inlineStr">
        <is>
          <t>FA-DE Water / Wasser</t>
        </is>
      </c>
      <c r="X414" s="151" t="inlineStr">
        <is>
          <t>OTH-00-144038-5</t>
        </is>
      </c>
      <c r="Y414" s="151" t="inlineStr">
        <is>
          <t>16,23</t>
        </is>
      </c>
      <c r="Z414" s="149" t="inlineStr">
        <is>
          <t>16,23</t>
        </is>
      </c>
      <c r="AA414" s="151" t="inlineStr">
        <is>
          <t>grams</t>
        </is>
      </c>
      <c r="AB414" s="151" t="n"/>
      <c r="AC414" s="151" t="n"/>
      <c r="AD414" s="150" t="n">
        <v>0.89392</v>
      </c>
      <c r="AE414" s="149" t="n">
        <v>16.23</v>
      </c>
      <c r="AF414" s="151" t="inlineStr">
        <is>
          <t>grams</t>
        </is>
      </c>
      <c r="AG414" s="151" t="n"/>
      <c r="AH414" s="151" t="n"/>
    </row>
    <row r="415">
      <c r="A415" s="151" t="inlineStr">
        <is>
          <t>FV0333A - Tuscan Shrimp [DKSE]</t>
        </is>
      </c>
      <c r="B415" s="151" t="inlineStr">
        <is>
          <t>REC-013835-4-003</t>
        </is>
      </c>
      <c r="C415" s="151" t="inlineStr">
        <is>
          <t>Sauce - Tuscan Shrimp Butter Sauce</t>
        </is>
      </c>
      <c r="D415" s="151" t="inlineStr">
        <is>
          <t>SUB-013803-4-001</t>
        </is>
      </c>
      <c r="E415" s="150" t="n">
        <v>35</v>
      </c>
      <c r="F415" s="151" t="inlineStr">
        <is>
          <t>grams</t>
        </is>
      </c>
      <c r="G415" s="151" t="inlineStr">
        <is>
          <t>BLAST CHILLER, BRAISER, IMMERSION BLENDER, SPICE PORTIONING</t>
        </is>
      </c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inlineStr">
        <is>
          <t>FA-DE Garlic, IQF, Diced 4 mm /Knoblauch, IQF, gewürfelt 4 mm</t>
        </is>
      </c>
      <c r="X415" s="151" t="inlineStr">
        <is>
          <t>PHF-00-139237-1</t>
        </is>
      </c>
      <c r="Y415" s="153" t="inlineStr">
        <is>
          <t>1,21</t>
        </is>
      </c>
      <c r="Z415" s="149" t="inlineStr">
        <is>
          <t>1,21</t>
        </is>
      </c>
      <c r="AA415" s="151" t="inlineStr">
        <is>
          <t>grams</t>
        </is>
      </c>
      <c r="AB415" s="151" t="inlineStr">
        <is>
          <t>SCHWEFELDIOXIDE UND SULFITE</t>
        </is>
      </c>
      <c r="AC415" s="151" t="n"/>
      <c r="AD415" s="150" t="n">
        <v>0.89392</v>
      </c>
      <c r="AE415" s="149" t="n">
        <v>1.21</v>
      </c>
      <c r="AF415" s="151" t="inlineStr">
        <is>
          <t>grams</t>
        </is>
      </c>
      <c r="AG415" s="151" t="n"/>
      <c r="AH415" s="151" t="n"/>
    </row>
    <row r="416">
      <c r="A416" s="151" t="inlineStr">
        <is>
          <t>FV0333A - Tuscan Shrimp [DKSE]</t>
        </is>
      </c>
      <c r="B416" s="151" t="inlineStr">
        <is>
          <t>REC-013835-4-003</t>
        </is>
      </c>
      <c r="C416" s="151" t="inlineStr">
        <is>
          <t>Sauce - Tuscan Shrimp Butter Sauce</t>
        </is>
      </c>
      <c r="D416" s="151" t="inlineStr">
        <is>
          <t>SUB-013803-4-001</t>
        </is>
      </c>
      <c r="E416" s="150" t="n">
        <v>35</v>
      </c>
      <c r="F416" s="151" t="inlineStr">
        <is>
          <t>grams</t>
        </is>
      </c>
      <c r="G416" s="151" t="inlineStr">
        <is>
          <t>BLAST CHILLER, BRAISER, IMMERSION BLENDER, SPICE PORTIONING</t>
        </is>
      </c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inlineStr">
        <is>
          <t>FA-DE Spice, Sea Salt /Gewürze, Meersalz</t>
        </is>
      </c>
      <c r="X416" s="151" t="inlineStr">
        <is>
          <t>SPI-00-139378-5</t>
        </is>
      </c>
      <c r="Y416" s="151" t="inlineStr">
        <is>
          <t>0,24</t>
        </is>
      </c>
      <c r="Z416" s="149" t="inlineStr">
        <is>
          <t>0,24</t>
        </is>
      </c>
      <c r="AA416" s="151" t="inlineStr">
        <is>
          <t>grams</t>
        </is>
      </c>
      <c r="AB416" s="151" t="n"/>
      <c r="AC416" s="151" t="n"/>
      <c r="AD416" s="150" t="n">
        <v>0.89392</v>
      </c>
      <c r="AE416" s="149" t="n">
        <v>0.24</v>
      </c>
      <c r="AF416" s="151" t="inlineStr">
        <is>
          <t>grams</t>
        </is>
      </c>
      <c r="AG416" s="151" t="n"/>
      <c r="AH416" s="151" t="n"/>
    </row>
    <row r="417">
      <c r="A417" s="151" t="inlineStr">
        <is>
          <t>FV0333A - Tuscan Shrimp [DKSE]</t>
        </is>
      </c>
      <c r="B417" s="151" t="inlineStr">
        <is>
          <t>REC-013835-4-003</t>
        </is>
      </c>
      <c r="C417" s="151" t="inlineStr">
        <is>
          <t>Sauce - Tuscan Shrimp Butter Sauce</t>
        </is>
      </c>
      <c r="D417" s="151" t="inlineStr">
        <is>
          <t>SUB-013803-4-001</t>
        </is>
      </c>
      <c r="E417" s="150" t="n">
        <v>35</v>
      </c>
      <c r="F417" s="151" t="inlineStr">
        <is>
          <t>grams</t>
        </is>
      </c>
      <c r="G417" s="151" t="inlineStr">
        <is>
          <t>BLAST CHILLER, BRAISER, IMMERSION BLENDER, SPICE PORTIONING</t>
        </is>
      </c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inlineStr">
        <is>
          <t>FA-DE Spice, Garlic Powder, Toasted /Gewürz, Knoblauchpulver, geröstet</t>
        </is>
      </c>
      <c r="X417" s="151" t="inlineStr">
        <is>
          <t>SPI-00-139354-5</t>
        </is>
      </c>
      <c r="Y417" s="151" t="inlineStr">
        <is>
          <t>0,31</t>
        </is>
      </c>
      <c r="Z417" s="149" t="inlineStr">
        <is>
          <t>0,31</t>
        </is>
      </c>
      <c r="AA417" s="151" t="inlineStr">
        <is>
          <t>grams</t>
        </is>
      </c>
      <c r="AB417" s="151" t="n"/>
      <c r="AC417" s="151" t="n"/>
      <c r="AD417" s="150" t="n">
        <v>0.89392</v>
      </c>
      <c r="AE417" s="149" t="n">
        <v>0.31</v>
      </c>
      <c r="AF417" s="151" t="inlineStr">
        <is>
          <t>grams</t>
        </is>
      </c>
      <c r="AG417" s="151" t="n"/>
      <c r="AH417" s="151" t="n"/>
    </row>
    <row r="418">
      <c r="A418" s="151" t="inlineStr">
        <is>
          <t>FV0333A - Tuscan Shrimp [DKSE]</t>
        </is>
      </c>
      <c r="B418" s="151" t="inlineStr">
        <is>
          <t>REC-013835-4-003</t>
        </is>
      </c>
      <c r="C418" s="151" t="inlineStr">
        <is>
          <t>Sauce - Tuscan Shrimp Butter Sauce</t>
        </is>
      </c>
      <c r="D418" s="151" t="inlineStr">
        <is>
          <t>SUB-013803-4-001</t>
        </is>
      </c>
      <c r="E418" s="150" t="n">
        <v>35</v>
      </c>
      <c r="F418" s="151" t="inlineStr">
        <is>
          <t>grams</t>
        </is>
      </c>
      <c r="G418" s="151" t="inlineStr">
        <is>
          <t>BLAST CHILLER, BRAISER, IMMERSION BLENDER, SPICE PORTIONING</t>
        </is>
      </c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inlineStr">
        <is>
          <t>FA-DE Spice, Parsley Dried /Gewürze, getrocknete Petersilie</t>
        </is>
      </c>
      <c r="X418" s="151" t="inlineStr">
        <is>
          <t>SPI-00-139374-5</t>
        </is>
      </c>
      <c r="Y418" s="151" t="inlineStr">
        <is>
          <t>0,04</t>
        </is>
      </c>
      <c r="Z418" s="149" t="inlineStr">
        <is>
          <t>0,04</t>
        </is>
      </c>
      <c r="AA418" s="151" t="inlineStr">
        <is>
          <t>grams</t>
        </is>
      </c>
      <c r="AB418" s="151" t="n"/>
      <c r="AC418" s="151" t="n"/>
      <c r="AD418" s="150" t="n">
        <v>0.89392</v>
      </c>
      <c r="AE418" s="149" t="n">
        <v>0.04</v>
      </c>
      <c r="AF418" s="151" t="inlineStr">
        <is>
          <t>grams</t>
        </is>
      </c>
      <c r="AG418" s="151" t="n"/>
      <c r="AH418" s="151" t="n"/>
    </row>
    <row r="419">
      <c r="A419" s="151" t="inlineStr">
        <is>
          <t>FV0333A - Tuscan Shrimp [DKSE]</t>
        </is>
      </c>
      <c r="B419" s="151" t="inlineStr">
        <is>
          <t>REC-013835-4-003</t>
        </is>
      </c>
      <c r="C419" s="151" t="inlineStr">
        <is>
          <t>Sauce - Tuscan Shrimp Butter Sauce</t>
        </is>
      </c>
      <c r="D419" s="151" t="inlineStr">
        <is>
          <t>SUB-013803-4-001</t>
        </is>
      </c>
      <c r="E419" s="150" t="n">
        <v>35</v>
      </c>
      <c r="F419" s="151" t="inlineStr">
        <is>
          <t>grams</t>
        </is>
      </c>
      <c r="G419" s="151" t="inlineStr">
        <is>
          <t>BLAST CHILLER, BRAISER, IMMERSION BLENDER, SPICE PORTIONING</t>
        </is>
      </c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inlineStr">
        <is>
          <t>FA-DE Stock Concentrate, Mirepoix /Stammkonzentrat, Mirepoix</t>
        </is>
      </c>
      <c r="X419" s="151" t="inlineStr">
        <is>
          <t>PRO-00-139287-5</t>
        </is>
      </c>
      <c r="Y419" s="151" t="inlineStr">
        <is>
          <t>0,8</t>
        </is>
      </c>
      <c r="Z419" s="149" t="inlineStr">
        <is>
          <t>0,8</t>
        </is>
      </c>
      <c r="AA419" s="151" t="inlineStr">
        <is>
          <t>grams</t>
        </is>
      </c>
      <c r="AB419" s="151" t="inlineStr">
        <is>
          <t>SELLERIE</t>
        </is>
      </c>
      <c r="AC419" s="151" t="n"/>
      <c r="AD419" s="150" t="n">
        <v>0.89392</v>
      </c>
      <c r="AE419" s="149" t="n">
        <v>0.8</v>
      </c>
      <c r="AF419" s="151" t="inlineStr">
        <is>
          <t>grams</t>
        </is>
      </c>
      <c r="AG419" s="151" t="n"/>
      <c r="AH419" s="151" t="n"/>
    </row>
    <row r="420">
      <c r="A420" s="151" t="inlineStr">
        <is>
          <t>FV0333A - Tuscan Shrimp [DKSE]</t>
        </is>
      </c>
      <c r="B420" s="151" t="inlineStr">
        <is>
          <t>REC-013835-4-003</t>
        </is>
      </c>
      <c r="C420" s="151" t="inlineStr">
        <is>
          <t>Zucchini/Pepper/Onion Mix for Tuscan Shrimp - 1/2" Diced</t>
        </is>
      </c>
      <c r="D420" s="151" t="inlineStr">
        <is>
          <t>SUB-013802-4-001</t>
        </is>
      </c>
      <c r="E420" s="150" t="n">
        <v>100</v>
      </c>
      <c r="F420" s="151" t="inlineStr">
        <is>
          <t>grams</t>
        </is>
      </c>
      <c r="G420" s="151" t="inlineStr">
        <is>
          <t>BLAST CHILLER, OVEN</t>
        </is>
      </c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inlineStr">
        <is>
          <t>FA-DE Onion, Red, Diced 10mm/Zwiebeln, rot, gewürfelt, 10 mm</t>
        </is>
      </c>
      <c r="X420" s="151" t="inlineStr">
        <is>
          <t>PHF-00-139216-3</t>
        </is>
      </c>
      <c r="Y420" s="155" t="inlineStr">
        <is>
          <t>13,01</t>
        </is>
      </c>
      <c r="Z420" s="149" t="inlineStr">
        <is>
          <t>13,01</t>
        </is>
      </c>
      <c r="AA420" s="151" t="inlineStr">
        <is>
          <t>grams</t>
        </is>
      </c>
      <c r="AB420" s="151" t="n"/>
      <c r="AC420" s="151" t="n"/>
      <c r="AD420" s="150" t="n">
        <v>0.89908</v>
      </c>
      <c r="AE420" s="149" t="n">
        <v>13.01</v>
      </c>
      <c r="AF420" s="151" t="inlineStr">
        <is>
          <t>grams</t>
        </is>
      </c>
      <c r="AG420" s="151" t="n"/>
      <c r="AH420" s="151" t="n"/>
    </row>
    <row r="421">
      <c r="A421" s="151" t="inlineStr">
        <is>
          <t>FV0333A - Tuscan Shrimp [DKSE]</t>
        </is>
      </c>
      <c r="B421" s="151" t="inlineStr">
        <is>
          <t>REC-013835-4-003</t>
        </is>
      </c>
      <c r="C421" s="151" t="inlineStr">
        <is>
          <t>Zucchini/Pepper/Onion Mix for Tuscan Shrimp - 1/2" Diced</t>
        </is>
      </c>
      <c r="D421" s="151" t="inlineStr">
        <is>
          <t>SUB-013802-4-001</t>
        </is>
      </c>
      <c r="E421" s="150" t="n">
        <v>100</v>
      </c>
      <c r="F421" s="151" t="inlineStr">
        <is>
          <t>grams</t>
        </is>
      </c>
      <c r="G421" s="151" t="inlineStr">
        <is>
          <t>BLAST CHILLER, OVEN</t>
        </is>
      </c>
      <c r="H421" s="151" t="inlineStr">
        <is>
          <t>Tuscan Spice</t>
        </is>
      </c>
      <c r="I421" s="151" t="inlineStr">
        <is>
          <t>SUB-013784-4-001</t>
        </is>
      </c>
      <c r="J421" s="150" t="n">
        <v>0.58</v>
      </c>
      <c r="K421" s="151" t="inlineStr">
        <is>
          <t>grams</t>
        </is>
      </c>
      <c r="L421" s="151" t="inlineStr">
        <is>
          <t>HAND MIX, SPICE PORTIONING</t>
        </is>
      </c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inlineStr">
        <is>
          <t>FA-DE Spice, Fennel Ground /Gewürz, Fenchel gemahlen</t>
        </is>
      </c>
      <c r="X421" s="151" t="inlineStr">
        <is>
          <t>SPI-00-139351-5</t>
        </is>
      </c>
      <c r="Y421" s="151" t="inlineStr">
        <is>
          <t>0,05</t>
        </is>
      </c>
      <c r="Z421" s="149" t="inlineStr">
        <is>
          <t>0,05</t>
        </is>
      </c>
      <c r="AA421" s="151" t="inlineStr">
        <is>
          <t>grams</t>
        </is>
      </c>
      <c r="AB421" s="151" t="n"/>
      <c r="AC421" s="151" t="n"/>
      <c r="AD421" s="150" t="n">
        <v>0.98006</v>
      </c>
      <c r="AE421" s="149" t="n">
        <v>0.05</v>
      </c>
      <c r="AF421" s="151" t="inlineStr">
        <is>
          <t>grams</t>
        </is>
      </c>
      <c r="AG421" s="151" t="n"/>
      <c r="AH421" s="151" t="n"/>
    </row>
    <row r="422">
      <c r="A422" s="151" t="inlineStr">
        <is>
          <t>FV0333A - Tuscan Shrimp [DKSE]</t>
        </is>
      </c>
      <c r="B422" s="151" t="inlineStr">
        <is>
          <t>REC-013835-4-003</t>
        </is>
      </c>
      <c r="C422" s="151" t="inlineStr">
        <is>
          <t>Zucchini/Pepper/Onion Mix for Tuscan Shrimp - 1/2" Diced</t>
        </is>
      </c>
      <c r="D422" s="151" t="inlineStr">
        <is>
          <t>SUB-013802-4-001</t>
        </is>
      </c>
      <c r="E422" s="150" t="n">
        <v>100</v>
      </c>
      <c r="F422" s="151" t="inlineStr">
        <is>
          <t>grams</t>
        </is>
      </c>
      <c r="G422" s="151" t="inlineStr">
        <is>
          <t>BLAST CHILLER, OVEN</t>
        </is>
      </c>
      <c r="H422" s="151" t="inlineStr">
        <is>
          <t>Tuscan Spice</t>
        </is>
      </c>
      <c r="I422" s="151" t="inlineStr">
        <is>
          <t>SUB-013784-4-001</t>
        </is>
      </c>
      <c r="J422" s="150" t="n">
        <v>0.58</v>
      </c>
      <c r="K422" s="151" t="inlineStr">
        <is>
          <t>grams</t>
        </is>
      </c>
      <c r="L422" s="151" t="inlineStr">
        <is>
          <t>HAND MIX, SPICE PORTIONING</t>
        </is>
      </c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inlineStr">
        <is>
          <t>FA-DE Spice, Basil, Dried /Gewürz, Basilikum, getrocknet</t>
        </is>
      </c>
      <c r="X422" s="151" t="inlineStr">
        <is>
          <t>SPI-00-139331-5</t>
        </is>
      </c>
      <c r="Y422" s="151" t="inlineStr">
        <is>
          <t>0,15</t>
        </is>
      </c>
      <c r="Z422" s="149" t="inlineStr">
        <is>
          <t>0,15</t>
        </is>
      </c>
      <c r="AA422" s="151" t="inlineStr">
        <is>
          <t>grams</t>
        </is>
      </c>
      <c r="AB422" s="151" t="n"/>
      <c r="AC422" s="151" t="n"/>
      <c r="AD422" s="150" t="n">
        <v>0.98006</v>
      </c>
      <c r="AE422" s="149" t="n">
        <v>0.15</v>
      </c>
      <c r="AF422" s="151" t="inlineStr">
        <is>
          <t>grams</t>
        </is>
      </c>
      <c r="AG422" s="151" t="n"/>
      <c r="AH422" s="151" t="n"/>
    </row>
    <row r="423">
      <c r="A423" s="151" t="inlineStr">
        <is>
          <t>FV0333A - Tuscan Shrimp [DKSE]</t>
        </is>
      </c>
      <c r="B423" s="151" t="inlineStr">
        <is>
          <t>REC-013835-4-003</t>
        </is>
      </c>
      <c r="C423" s="151" t="inlineStr">
        <is>
          <t>Zucchini/Pepper/Onion Mix for Tuscan Shrimp - 1/2" Diced</t>
        </is>
      </c>
      <c r="D423" s="151" t="inlineStr">
        <is>
          <t>SUB-013802-4-001</t>
        </is>
      </c>
      <c r="E423" s="150" t="n">
        <v>100</v>
      </c>
      <c r="F423" s="151" t="inlineStr">
        <is>
          <t>grams</t>
        </is>
      </c>
      <c r="G423" s="151" t="inlineStr">
        <is>
          <t>BLAST CHILLER, OVEN</t>
        </is>
      </c>
      <c r="H423" s="151" t="inlineStr">
        <is>
          <t>Tuscan Spice</t>
        </is>
      </c>
      <c r="I423" s="151" t="inlineStr">
        <is>
          <t>SUB-013784-4-001</t>
        </is>
      </c>
      <c r="J423" s="150" t="n">
        <v>0.58</v>
      </c>
      <c r="K423" s="151" t="inlineStr">
        <is>
          <t>grams</t>
        </is>
      </c>
      <c r="L423" s="151" t="inlineStr">
        <is>
          <t>HAND MIX, SPICE PORTIONING</t>
        </is>
      </c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inlineStr">
        <is>
          <t>FA-DE Spice, Cayenne Pepper /Gewürz, Cayennepfeffer</t>
        </is>
      </c>
      <c r="X423" s="151" t="inlineStr">
        <is>
          <t>SPI-00-139339-5</t>
        </is>
      </c>
      <c r="Y423" s="151" t="inlineStr">
        <is>
          <t>0,03</t>
        </is>
      </c>
      <c r="Z423" s="149" t="inlineStr">
        <is>
          <t>0,03</t>
        </is>
      </c>
      <c r="AA423" s="151" t="inlineStr">
        <is>
          <t>grams</t>
        </is>
      </c>
      <c r="AB423" s="151" t="n"/>
      <c r="AC423" s="151" t="n"/>
      <c r="AD423" s="150" t="n">
        <v>0.98006</v>
      </c>
      <c r="AE423" s="149" t="n">
        <v>0.03</v>
      </c>
      <c r="AF423" s="151" t="inlineStr">
        <is>
          <t>grams</t>
        </is>
      </c>
      <c r="AG423" s="151" t="n"/>
      <c r="AH423" s="151" t="n"/>
    </row>
    <row r="424">
      <c r="A424" s="151" t="inlineStr">
        <is>
          <t>FV0333A - Tuscan Shrimp [DKSE]</t>
        </is>
      </c>
      <c r="B424" s="151" t="inlineStr">
        <is>
          <t>REC-013835-4-003</t>
        </is>
      </c>
      <c r="C424" s="151" t="inlineStr">
        <is>
          <t>Zucchini/Pepper/Onion Mix for Tuscan Shrimp - 1/2" Diced</t>
        </is>
      </c>
      <c r="D424" s="151" t="inlineStr">
        <is>
          <t>SUB-013802-4-001</t>
        </is>
      </c>
      <c r="E424" s="150" t="n">
        <v>100</v>
      </c>
      <c r="F424" s="151" t="inlineStr">
        <is>
          <t>grams</t>
        </is>
      </c>
      <c r="G424" s="151" t="inlineStr">
        <is>
          <t>BLAST CHILLER, OVEN</t>
        </is>
      </c>
      <c r="H424" s="151" t="inlineStr">
        <is>
          <t>Tuscan Spice</t>
        </is>
      </c>
      <c r="I424" s="151" t="inlineStr">
        <is>
          <t>SUB-013784-4-001</t>
        </is>
      </c>
      <c r="J424" s="150" t="n">
        <v>0.58</v>
      </c>
      <c r="K424" s="151" t="inlineStr">
        <is>
          <t>grams</t>
        </is>
      </c>
      <c r="L424" s="151" t="inlineStr">
        <is>
          <t>HAND MIX, SPICE PORTIONING</t>
        </is>
      </c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inlineStr">
        <is>
          <t>FA-DE Spice, Oregano Dry /Gewürz, Oregano trocken</t>
        </is>
      </c>
      <c r="X424" s="151" t="inlineStr">
        <is>
          <t>SPI-00-139372-5</t>
        </is>
      </c>
      <c r="Y424" s="151" t="inlineStr">
        <is>
          <t>0,1</t>
        </is>
      </c>
      <c r="Z424" s="149" t="inlineStr">
        <is>
          <t>0,1</t>
        </is>
      </c>
      <c r="AA424" s="151" t="inlineStr">
        <is>
          <t>grams</t>
        </is>
      </c>
      <c r="AB424" s="151" t="n"/>
      <c r="AC424" s="151" t="n"/>
      <c r="AD424" s="150" t="n">
        <v>0.98006</v>
      </c>
      <c r="AE424" s="149" t="n">
        <v>0.1</v>
      </c>
      <c r="AF424" s="151" t="inlineStr">
        <is>
          <t>grams</t>
        </is>
      </c>
      <c r="AG424" s="151" t="n"/>
      <c r="AH424" s="151" t="n"/>
    </row>
    <row r="425">
      <c r="A425" s="151" t="inlineStr">
        <is>
          <t>FV0333A - Tuscan Shrimp [DKSE]</t>
        </is>
      </c>
      <c r="B425" s="151" t="inlineStr">
        <is>
          <t>REC-013835-4-003</t>
        </is>
      </c>
      <c r="C425" s="151" t="inlineStr">
        <is>
          <t>Zucchini/Pepper/Onion Mix for Tuscan Shrimp - 1/2" Diced</t>
        </is>
      </c>
      <c r="D425" s="151" t="inlineStr">
        <is>
          <t>SUB-013802-4-001</t>
        </is>
      </c>
      <c r="E425" s="150" t="n">
        <v>100</v>
      </c>
      <c r="F425" s="151" t="inlineStr">
        <is>
          <t>grams</t>
        </is>
      </c>
      <c r="G425" s="151" t="inlineStr">
        <is>
          <t>BLAST CHILLER, OVEN</t>
        </is>
      </c>
      <c r="H425" s="151" t="inlineStr">
        <is>
          <t>Tuscan Spice</t>
        </is>
      </c>
      <c r="I425" s="151" t="inlineStr">
        <is>
          <t>SUB-013784-4-001</t>
        </is>
      </c>
      <c r="J425" s="150" t="n">
        <v>0.58</v>
      </c>
      <c r="K425" s="151" t="inlineStr">
        <is>
          <t>grams</t>
        </is>
      </c>
      <c r="L425" s="151" t="inlineStr">
        <is>
          <t>HAND MIX, SPICE PORTIONING</t>
        </is>
      </c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inlineStr">
        <is>
          <t>FA-DE Spice, Rosemary, Powder /Gewürz, Rosmarin, Pulver</t>
        </is>
      </c>
      <c r="X425" s="151" t="inlineStr">
        <is>
          <t>SPI-00-139376-5</t>
        </is>
      </c>
      <c r="Y425" s="151" t="inlineStr">
        <is>
          <t>0,1</t>
        </is>
      </c>
      <c r="Z425" s="149" t="inlineStr">
        <is>
          <t>0,1</t>
        </is>
      </c>
      <c r="AA425" s="151" t="inlineStr">
        <is>
          <t>grams</t>
        </is>
      </c>
      <c r="AB425" s="151" t="n"/>
      <c r="AC425" s="151" t="n"/>
      <c r="AD425" s="150" t="n">
        <v>0.98006</v>
      </c>
      <c r="AE425" s="149" t="n">
        <v>0.1</v>
      </c>
      <c r="AF425" s="151" t="inlineStr">
        <is>
          <t>grams</t>
        </is>
      </c>
      <c r="AG425" s="151" t="n"/>
      <c r="AH425" s="151" t="n"/>
    </row>
    <row r="426">
      <c r="A426" s="151" t="inlineStr">
        <is>
          <t>FV0333A - Tuscan Shrimp [DKSE]</t>
        </is>
      </c>
      <c r="B426" s="151" t="inlineStr">
        <is>
          <t>REC-013835-4-003</t>
        </is>
      </c>
      <c r="C426" s="151" t="inlineStr">
        <is>
          <t>Zucchini/Pepper/Onion Mix for Tuscan Shrimp - 1/2" Diced</t>
        </is>
      </c>
      <c r="D426" s="151" t="inlineStr">
        <is>
          <t>SUB-013802-4-001</t>
        </is>
      </c>
      <c r="E426" s="150" t="n">
        <v>100</v>
      </c>
      <c r="F426" s="151" t="inlineStr">
        <is>
          <t>grams</t>
        </is>
      </c>
      <c r="G426" s="151" t="inlineStr">
        <is>
          <t>BLAST CHILLER, OVEN</t>
        </is>
      </c>
      <c r="H426" s="151" t="inlineStr">
        <is>
          <t>Tuscan Spice</t>
        </is>
      </c>
      <c r="I426" s="151" t="inlineStr">
        <is>
          <t>SUB-013784-4-001</t>
        </is>
      </c>
      <c r="J426" s="150" t="n">
        <v>0.58</v>
      </c>
      <c r="K426" s="151" t="inlineStr">
        <is>
          <t>grams</t>
        </is>
      </c>
      <c r="L426" s="151" t="inlineStr">
        <is>
          <t>HAND MIX, SPICE PORTIONING</t>
        </is>
      </c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inlineStr">
        <is>
          <t>FA-DE Spice, Garlic Granulated /Gewürz, Knoblauch granuliert</t>
        </is>
      </c>
      <c r="X426" s="151" t="inlineStr">
        <is>
          <t>SPI-00-139353-5</t>
        </is>
      </c>
      <c r="Y426" s="151" t="inlineStr">
        <is>
          <t>0,15</t>
        </is>
      </c>
      <c r="Z426" s="149" t="inlineStr">
        <is>
          <t>0,15</t>
        </is>
      </c>
      <c r="AA426" s="151" t="inlineStr">
        <is>
          <t>grams</t>
        </is>
      </c>
      <c r="AB426" s="151" t="n"/>
      <c r="AC426" s="151" t="n"/>
      <c r="AD426" s="150" t="n">
        <v>0.98006</v>
      </c>
      <c r="AE426" s="149" t="n">
        <v>0.15</v>
      </c>
      <c r="AF426" s="151" t="inlineStr">
        <is>
          <t>grams</t>
        </is>
      </c>
      <c r="AG426" s="151" t="n"/>
      <c r="AH426" s="151" t="n"/>
    </row>
    <row r="427">
      <c r="A427" s="151" t="inlineStr">
        <is>
          <t>FV0333A - Tuscan Shrimp [DKSE]</t>
        </is>
      </c>
      <c r="B427" s="151" t="inlineStr">
        <is>
          <t>REC-013835-4-003</t>
        </is>
      </c>
      <c r="C427" s="151" t="inlineStr">
        <is>
          <t>Zucchini/Pepper/Onion Mix for Tuscan Shrimp - 1/2" Diced</t>
        </is>
      </c>
      <c r="D427" s="151" t="inlineStr">
        <is>
          <t>SUB-013802-4-001</t>
        </is>
      </c>
      <c r="E427" s="150" t="n">
        <v>100</v>
      </c>
      <c r="F427" s="151" t="inlineStr">
        <is>
          <t>grams</t>
        </is>
      </c>
      <c r="G427" s="151" t="inlineStr">
        <is>
          <t>BLAST CHILLER, OVEN</t>
        </is>
      </c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inlineStr">
        <is>
          <t>FA-DE Oil, Olive /Öl, Olivenöl</t>
        </is>
      </c>
      <c r="X427" s="151" t="inlineStr">
        <is>
          <t>PRO-00-139277-5</t>
        </is>
      </c>
      <c r="Y427" s="151" t="inlineStr">
        <is>
          <t>2,89</t>
        </is>
      </c>
      <c r="Z427" s="149" t="inlineStr">
        <is>
          <t>2,89</t>
        </is>
      </c>
      <c r="AA427" s="151" t="inlineStr">
        <is>
          <t>grams</t>
        </is>
      </c>
      <c r="AB427" s="151" t="n"/>
      <c r="AC427" s="151" t="n"/>
      <c r="AD427" s="150" t="n">
        <v>0.89908</v>
      </c>
      <c r="AE427" s="149" t="n">
        <v>2.89</v>
      </c>
      <c r="AF427" s="151" t="inlineStr">
        <is>
          <t>grams</t>
        </is>
      </c>
      <c r="AG427" s="151" t="n"/>
      <c r="AH427" s="151" t="n"/>
    </row>
    <row r="428">
      <c r="A428" s="151" t="inlineStr">
        <is>
          <t>FV0333A - Tuscan Shrimp [DKSE]</t>
        </is>
      </c>
      <c r="B428" s="151" t="inlineStr">
        <is>
          <t>REC-013835-4-003</t>
        </is>
      </c>
      <c r="C428" s="151" t="inlineStr">
        <is>
          <t>Zucchini/Pepper/Onion Mix for Tuscan Shrimp - 1/2" Diced</t>
        </is>
      </c>
      <c r="D428" s="151" t="inlineStr">
        <is>
          <t>SUB-013802-4-001</t>
        </is>
      </c>
      <c r="E428" s="150" t="n">
        <v>100</v>
      </c>
      <c r="F428" s="151" t="inlineStr">
        <is>
          <t>grams</t>
        </is>
      </c>
      <c r="G428" s="151" t="inlineStr">
        <is>
          <t>BLAST CHILLER, OVEN</t>
        </is>
      </c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inlineStr">
        <is>
          <t>FA-DE Zucchini, Diced 10mm /Zucchini, gewürfelt 10 mm</t>
        </is>
      </c>
      <c r="X428" s="151" t="inlineStr">
        <is>
          <t>PHF-00-139229-3</t>
        </is>
      </c>
      <c r="Y428" s="151" t="inlineStr">
        <is>
          <t>75,15</t>
        </is>
      </c>
      <c r="Z428" s="149" t="inlineStr">
        <is>
          <t>75,15</t>
        </is>
      </c>
      <c r="AA428" s="151" t="inlineStr">
        <is>
          <t>grams</t>
        </is>
      </c>
      <c r="AB428" s="151" t="n"/>
      <c r="AC428" s="151" t="n"/>
      <c r="AD428" s="150" t="n">
        <v>0.89908</v>
      </c>
      <c r="AE428" s="149" t="n">
        <v>75.15000000000001</v>
      </c>
      <c r="AF428" s="151" t="inlineStr">
        <is>
          <t>grams</t>
        </is>
      </c>
      <c r="AG428" s="151" t="n"/>
      <c r="AH428" s="151" t="n"/>
    </row>
    <row r="429">
      <c r="A429" s="151" t="inlineStr">
        <is>
          <t>FV0333A - Tuscan Shrimp [DKSE]</t>
        </is>
      </c>
      <c r="B429" s="151" t="inlineStr">
        <is>
          <t>REC-013835-4-003</t>
        </is>
      </c>
      <c r="C429" s="151" t="inlineStr">
        <is>
          <t>Zucchini/Pepper/Onion Mix for Tuscan Shrimp - 1/2" Diced</t>
        </is>
      </c>
      <c r="D429" s="151" t="inlineStr">
        <is>
          <t>SUB-013802-4-001</t>
        </is>
      </c>
      <c r="E429" s="150" t="n">
        <v>100</v>
      </c>
      <c r="F429" s="151" t="inlineStr">
        <is>
          <t>grams</t>
        </is>
      </c>
      <c r="G429" s="151" t="inlineStr">
        <is>
          <t>BLAST CHILLER, OVEN</t>
        </is>
      </c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inlineStr">
        <is>
          <t>FA-DE Spice, Sea Salt /Gewürze, Meersalz</t>
        </is>
      </c>
      <c r="X429" s="151" t="inlineStr">
        <is>
          <t>SPI-00-139378-5</t>
        </is>
      </c>
      <c r="Y429" s="151" t="inlineStr">
        <is>
          <t>0,24</t>
        </is>
      </c>
      <c r="Z429" s="149" t="inlineStr">
        <is>
          <t>0,24</t>
        </is>
      </c>
      <c r="AA429" s="151" t="inlineStr">
        <is>
          <t>grams</t>
        </is>
      </c>
      <c r="AB429" s="151" t="n"/>
      <c r="AC429" s="151" t="n"/>
      <c r="AD429" s="150" t="n">
        <v>0.89908</v>
      </c>
      <c r="AE429" s="149" t="n">
        <v>0.24</v>
      </c>
      <c r="AF429" s="151" t="inlineStr">
        <is>
          <t>grams</t>
        </is>
      </c>
      <c r="AG429" s="151" t="n"/>
      <c r="AH429" s="151" t="n"/>
    </row>
    <row r="430">
      <c r="A430" s="151" t="inlineStr">
        <is>
          <t>FV0333A - Tuscan Shrimp [DKSE]</t>
        </is>
      </c>
      <c r="B430" s="151" t="inlineStr">
        <is>
          <t>REC-013835-4-003</t>
        </is>
      </c>
      <c r="C430" s="151" t="inlineStr">
        <is>
          <t>Zucchini/Pepper/Onion Mix for Tuscan Shrimp - 1/2" Diced</t>
        </is>
      </c>
      <c r="D430" s="151" t="inlineStr">
        <is>
          <t>SUB-013802-4-001</t>
        </is>
      </c>
      <c r="E430" s="150" t="n">
        <v>100</v>
      </c>
      <c r="F430" s="151" t="inlineStr">
        <is>
          <t>grams</t>
        </is>
      </c>
      <c r="G430" s="151" t="inlineStr">
        <is>
          <t>BLAST CHILLER, OVEN</t>
        </is>
      </c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inlineStr">
        <is>
          <t>FA-DE Bell Peppers, Red, Diced 10mm /Paprika, rot, gewürfelt 10 mm</t>
        </is>
      </c>
      <c r="X430" s="151" t="inlineStr">
        <is>
          <t>PHF-00-139179-3</t>
        </is>
      </c>
      <c r="Y430" s="151" t="inlineStr">
        <is>
          <t>19,36</t>
        </is>
      </c>
      <c r="Z430" s="149" t="inlineStr">
        <is>
          <t>19,36</t>
        </is>
      </c>
      <c r="AA430" s="151" t="inlineStr">
        <is>
          <t>grams</t>
        </is>
      </c>
      <c r="AB430" s="151" t="n"/>
      <c r="AC430" s="151" t="n"/>
      <c r="AD430" s="150" t="n">
        <v>0.89908</v>
      </c>
      <c r="AE430" s="149" t="n">
        <v>19.36</v>
      </c>
      <c r="AF430" s="151" t="inlineStr">
        <is>
          <t>grams</t>
        </is>
      </c>
      <c r="AG430" s="151" t="n"/>
      <c r="AH430" s="151" t="n"/>
    </row>
    <row r="431">
      <c r="A431" s="151" t="inlineStr">
        <is>
          <t>FV0472A - Indian Butter Chicken [BNL]</t>
        </is>
      </c>
      <c r="B431" s="151" t="inlineStr">
        <is>
          <t>REC-013852-4-003</t>
        </is>
      </c>
      <c r="C431" s="151" t="inlineStr">
        <is>
          <t>Diced chicken - Butter Chicken Batch - BA</t>
        </is>
      </c>
      <c r="D431" s="151" t="inlineStr">
        <is>
          <t>SUB-013850-4-001</t>
        </is>
      </c>
      <c r="E431" s="150" t="n">
        <v>115</v>
      </c>
      <c r="F431" s="151" t="inlineStr">
        <is>
          <t>grams</t>
        </is>
      </c>
      <c r="G431" s="151" t="inlineStr">
        <is>
          <t>BLAST CHILLER, MARINADE, OVEN</t>
        </is>
      </c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inlineStr">
        <is>
          <t>FA-DE Spice, Chili Powder /Gewürz, Chilipulver</t>
        </is>
      </c>
      <c r="X431" s="151" t="inlineStr">
        <is>
          <t>SPI-00-139340-5</t>
        </is>
      </c>
      <c r="Y431" s="151" t="inlineStr">
        <is>
          <t>0,17</t>
        </is>
      </c>
      <c r="Z431" s="149" t="inlineStr">
        <is>
          <t>0,17</t>
        </is>
      </c>
      <c r="AA431" s="151" t="inlineStr">
        <is>
          <t>grams</t>
        </is>
      </c>
      <c r="AB431" s="151" t="n"/>
      <c r="AC431" s="151" t="n"/>
      <c r="AD431" s="150" t="n">
        <v>0.81911</v>
      </c>
      <c r="AE431" s="149" t="n">
        <v>0.17</v>
      </c>
      <c r="AF431" s="151" t="inlineStr">
        <is>
          <t>grams</t>
        </is>
      </c>
      <c r="AG431" s="151" t="n"/>
      <c r="AH431" s="151" t="n"/>
    </row>
    <row r="432">
      <c r="A432" s="151" t="inlineStr">
        <is>
          <t>FV0472A - Indian Butter Chicken [BNL]</t>
        </is>
      </c>
      <c r="B432" s="151" t="inlineStr">
        <is>
          <t>REC-013852-4-003</t>
        </is>
      </c>
      <c r="C432" s="151" t="inlineStr">
        <is>
          <t>Diced chicken - Butter Chicken Batch - BA</t>
        </is>
      </c>
      <c r="D432" s="151" t="inlineStr">
        <is>
          <t>SUB-013850-4-001</t>
        </is>
      </c>
      <c r="E432" s="150" t="n">
        <v>115</v>
      </c>
      <c r="F432" s="151" t="inlineStr">
        <is>
          <t>grams</t>
        </is>
      </c>
      <c r="G432" s="151" t="inlineStr">
        <is>
          <t>BLAST CHILLER, MARINADE, OVEN</t>
        </is>
      </c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inlineStr">
        <is>
          <t>FA-DE Spice, Turmeric /Gewürz, Kurkuma</t>
        </is>
      </c>
      <c r="X432" s="151" t="inlineStr">
        <is>
          <t>SPI-00-139384-5</t>
        </is>
      </c>
      <c r="Y432" s="151" t="inlineStr">
        <is>
          <t>0,37</t>
        </is>
      </c>
      <c r="Z432" s="149" t="inlineStr">
        <is>
          <t>0,37</t>
        </is>
      </c>
      <c r="AA432" s="151" t="inlineStr">
        <is>
          <t>grams</t>
        </is>
      </c>
      <c r="AB432" s="151" t="n"/>
      <c r="AC432" s="151" t="n"/>
      <c r="AD432" s="150" t="n">
        <v>0.81911</v>
      </c>
      <c r="AE432" s="149" t="n">
        <v>0.37</v>
      </c>
      <c r="AF432" s="151" t="inlineStr">
        <is>
          <t>grams</t>
        </is>
      </c>
      <c r="AG432" s="151" t="n"/>
      <c r="AH432" s="151" t="n"/>
    </row>
    <row r="433">
      <c r="A433" s="151" t="inlineStr">
        <is>
          <t>FV0472A - Indian Butter Chicken [BNL]</t>
        </is>
      </c>
      <c r="B433" s="151" t="inlineStr">
        <is>
          <t>REC-013852-4-003</t>
        </is>
      </c>
      <c r="C433" s="151" t="inlineStr">
        <is>
          <t>Diced chicken - Butter Chicken Batch - BA</t>
        </is>
      </c>
      <c r="D433" s="151" t="inlineStr">
        <is>
          <t>SUB-013850-4-001</t>
        </is>
      </c>
      <c r="E433" s="150" t="n">
        <v>115</v>
      </c>
      <c r="F433" s="151" t="inlineStr">
        <is>
          <t>grams</t>
        </is>
      </c>
      <c r="G433" s="151" t="inlineStr">
        <is>
          <t>BLAST CHILLER, MARINADE, OVEN</t>
        </is>
      </c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inlineStr">
        <is>
          <t>FA-DE Spice, Sea Salt /Gewürze, Meersalz</t>
        </is>
      </c>
      <c r="X433" s="151" t="inlineStr">
        <is>
          <t>SPI-00-139378-5</t>
        </is>
      </c>
      <c r="Y433" s="151" t="inlineStr">
        <is>
          <t>0,23</t>
        </is>
      </c>
      <c r="Z433" s="149" t="inlineStr">
        <is>
          <t>0,23</t>
        </is>
      </c>
      <c r="AA433" s="151" t="inlineStr">
        <is>
          <t>grams</t>
        </is>
      </c>
      <c r="AB433" s="151" t="n"/>
      <c r="AC433" s="151" t="n"/>
      <c r="AD433" s="150" t="n">
        <v>0.81911</v>
      </c>
      <c r="AE433" s="149" t="n">
        <v>0.23</v>
      </c>
      <c r="AF433" s="151" t="inlineStr">
        <is>
          <t>grams</t>
        </is>
      </c>
      <c r="AG433" s="151" t="n"/>
      <c r="AH433" s="151" t="n"/>
    </row>
    <row r="434">
      <c r="A434" s="151" t="inlineStr">
        <is>
          <t>FV0472A - Indian Butter Chicken [BNL]</t>
        </is>
      </c>
      <c r="B434" s="151" t="inlineStr">
        <is>
          <t>REC-013852-4-003</t>
        </is>
      </c>
      <c r="C434" s="151" t="inlineStr">
        <is>
          <t>Diced chicken - Butter Chicken Batch - BA</t>
        </is>
      </c>
      <c r="D434" s="151" t="inlineStr">
        <is>
          <t>SUB-013850-4-001</t>
        </is>
      </c>
      <c r="E434" s="150" t="n">
        <v>115</v>
      </c>
      <c r="F434" s="151" t="inlineStr">
        <is>
          <t>grams</t>
        </is>
      </c>
      <c r="G434" s="151" t="inlineStr">
        <is>
          <t>BLAST CHILLER, MARINADE, OVEN</t>
        </is>
      </c>
      <c r="H434" s="151" t="inlineStr">
        <is>
          <t>Factor Garam Masala Spice Blend</t>
        </is>
      </c>
      <c r="I434" s="151" t="inlineStr">
        <is>
          <t>SUB-013507-4-001</t>
        </is>
      </c>
      <c r="J434" s="150" t="n">
        <v>0.92</v>
      </c>
      <c r="K434" s="151" t="inlineStr">
        <is>
          <t>grams</t>
        </is>
      </c>
      <c r="L434" s="151" t="inlineStr">
        <is>
          <t>HAND MIX, SPICE PORTIONING</t>
        </is>
      </c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inlineStr">
        <is>
          <t>FA-DE Spice, Fennel Ground /Gewürz, Fenchel gemahlen</t>
        </is>
      </c>
      <c r="X434" s="151" t="inlineStr">
        <is>
          <t>SPI-00-139351-5</t>
        </is>
      </c>
      <c r="Y434" s="151" t="inlineStr">
        <is>
          <t>0,03</t>
        </is>
      </c>
      <c r="Z434" s="149" t="inlineStr">
        <is>
          <t>0,03</t>
        </is>
      </c>
      <c r="AA434" s="151" t="inlineStr">
        <is>
          <t>grams</t>
        </is>
      </c>
      <c r="AB434" s="151" t="n"/>
      <c r="AC434" s="151" t="n"/>
      <c r="AD434" s="150" t="n">
        <v>0.98</v>
      </c>
      <c r="AE434" s="149" t="n">
        <v>0.03</v>
      </c>
      <c r="AF434" s="151" t="inlineStr">
        <is>
          <t>grams</t>
        </is>
      </c>
      <c r="AG434" s="151" t="n"/>
      <c r="AH434" s="151" t="n"/>
    </row>
    <row r="435">
      <c r="A435" s="151" t="inlineStr">
        <is>
          <t>FV0472A - Indian Butter Chicken [BNL]</t>
        </is>
      </c>
      <c r="B435" s="151" t="inlineStr">
        <is>
          <t>REC-013852-4-003</t>
        </is>
      </c>
      <c r="C435" s="151" t="inlineStr">
        <is>
          <t>Diced chicken - Butter Chicken Batch - BA</t>
        </is>
      </c>
      <c r="D435" s="151" t="inlineStr">
        <is>
          <t>SUB-013850-4-001</t>
        </is>
      </c>
      <c r="E435" s="150" t="n">
        <v>115</v>
      </c>
      <c r="F435" s="151" t="inlineStr">
        <is>
          <t>grams</t>
        </is>
      </c>
      <c r="G435" s="151" t="inlineStr">
        <is>
          <t>BLAST CHILLER, MARINADE, OVEN</t>
        </is>
      </c>
      <c r="H435" s="151" t="inlineStr">
        <is>
          <t>Factor Garam Masala Spice Blend</t>
        </is>
      </c>
      <c r="I435" s="151" t="inlineStr">
        <is>
          <t>SUB-013507-4-001</t>
        </is>
      </c>
      <c r="J435" s="150" t="n">
        <v>0.92</v>
      </c>
      <c r="K435" s="151" t="inlineStr">
        <is>
          <t>grams</t>
        </is>
      </c>
      <c r="L435" s="151" t="inlineStr">
        <is>
          <t>HAND MIX, SPICE PORTIONING</t>
        </is>
      </c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inlineStr">
        <is>
          <t>FA-DE Spice, Nutmeg Ground /Gewürz, gemahlene Muskatnuss</t>
        </is>
      </c>
      <c r="X435" s="151" t="inlineStr">
        <is>
          <t>SPI-00-139368-5</t>
        </is>
      </c>
      <c r="Y435" s="151" t="inlineStr">
        <is>
          <t>0,06</t>
        </is>
      </c>
      <c r="Z435" s="149" t="inlineStr">
        <is>
          <t>0,06</t>
        </is>
      </c>
      <c r="AA435" s="151" t="inlineStr">
        <is>
          <t>grams</t>
        </is>
      </c>
      <c r="AB435" s="151" t="n"/>
      <c r="AC435" s="151" t="n"/>
      <c r="AD435" s="150" t="n">
        <v>0.98</v>
      </c>
      <c r="AE435" s="149" t="n">
        <v>0.06</v>
      </c>
      <c r="AF435" s="151" t="inlineStr">
        <is>
          <t>grams</t>
        </is>
      </c>
      <c r="AG435" s="151" t="n"/>
      <c r="AH435" s="151" t="n"/>
    </row>
    <row r="436">
      <c r="A436" s="151" t="inlineStr">
        <is>
          <t>FV0472A - Indian Butter Chicken [BNL]</t>
        </is>
      </c>
      <c r="B436" s="151" t="inlineStr">
        <is>
          <t>REC-013852-4-003</t>
        </is>
      </c>
      <c r="C436" s="151" t="inlineStr">
        <is>
          <t>Diced chicken - Butter Chicken Batch - BA</t>
        </is>
      </c>
      <c r="D436" s="151" t="inlineStr">
        <is>
          <t>SUB-013850-4-001</t>
        </is>
      </c>
      <c r="E436" s="150" t="n">
        <v>115</v>
      </c>
      <c r="F436" s="151" t="inlineStr">
        <is>
          <t>grams</t>
        </is>
      </c>
      <c r="G436" s="151" t="inlineStr">
        <is>
          <t>BLAST CHILLER, MARINADE, OVEN</t>
        </is>
      </c>
      <c r="H436" s="151" t="inlineStr">
        <is>
          <t>Factor Garam Masala Spice Blend</t>
        </is>
      </c>
      <c r="I436" s="151" t="inlineStr">
        <is>
          <t>SUB-013507-4-001</t>
        </is>
      </c>
      <c r="J436" s="150" t="n">
        <v>0.92</v>
      </c>
      <c r="K436" s="151" t="inlineStr">
        <is>
          <t>grams</t>
        </is>
      </c>
      <c r="L436" s="151" t="inlineStr">
        <is>
          <t>HAND MIX, SPICE PORTIONING</t>
        </is>
      </c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inlineStr">
        <is>
          <t>FA-DE Spice, Coriander Ground /Gewürz, gemahlener Koriander</t>
        </is>
      </c>
      <c r="X436" s="151" t="inlineStr">
        <is>
          <t>SPI-00-139386-5</t>
        </is>
      </c>
      <c r="Y436" s="151" t="inlineStr">
        <is>
          <t>0,18</t>
        </is>
      </c>
      <c r="Z436" s="149" t="inlineStr">
        <is>
          <t>0,18</t>
        </is>
      </c>
      <c r="AA436" s="151" t="inlineStr">
        <is>
          <t>grams</t>
        </is>
      </c>
      <c r="AB436" s="151" t="n"/>
      <c r="AC436" s="151" t="n"/>
      <c r="AD436" s="150" t="n">
        <v>0.98</v>
      </c>
      <c r="AE436" s="149" t="n">
        <v>0.18</v>
      </c>
      <c r="AF436" s="151" t="inlineStr">
        <is>
          <t>grams</t>
        </is>
      </c>
      <c r="AG436" s="151" t="n"/>
      <c r="AH436" s="151" t="n"/>
    </row>
    <row r="437">
      <c r="A437" s="151" t="inlineStr">
        <is>
          <t>FV0472A - Indian Butter Chicken [BNL]</t>
        </is>
      </c>
      <c r="B437" s="151" t="inlineStr">
        <is>
          <t>REC-013852-4-003</t>
        </is>
      </c>
      <c r="C437" s="151" t="inlineStr">
        <is>
          <t>Diced chicken - Butter Chicken Batch - BA</t>
        </is>
      </c>
      <c r="D437" s="151" t="inlineStr">
        <is>
          <t>SUB-013850-4-001</t>
        </is>
      </c>
      <c r="E437" s="150" t="n">
        <v>115</v>
      </c>
      <c r="F437" s="151" t="inlineStr">
        <is>
          <t>grams</t>
        </is>
      </c>
      <c r="G437" s="151" t="inlineStr">
        <is>
          <t>BLAST CHILLER, MARINADE, OVEN</t>
        </is>
      </c>
      <c r="H437" s="151" t="inlineStr">
        <is>
          <t>Factor Garam Masala Spice Blend</t>
        </is>
      </c>
      <c r="I437" s="151" t="inlineStr">
        <is>
          <t>SUB-013507-4-001</t>
        </is>
      </c>
      <c r="J437" s="150" t="n">
        <v>0.92</v>
      </c>
      <c r="K437" s="151" t="inlineStr">
        <is>
          <t>grams</t>
        </is>
      </c>
      <c r="L437" s="151" t="inlineStr">
        <is>
          <t>HAND MIX, SPICE PORTIONING</t>
        </is>
      </c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inlineStr">
        <is>
          <t>FA-DE Spice, Cinnamon Ground /Gewürz, gemahlener Zimt</t>
        </is>
      </c>
      <c r="X437" s="151" t="inlineStr">
        <is>
          <t>SPI-00-139341-5</t>
        </is>
      </c>
      <c r="Y437" s="151" t="inlineStr">
        <is>
          <t>0,12</t>
        </is>
      </c>
      <c r="Z437" s="149" t="inlineStr">
        <is>
          <t>0,12</t>
        </is>
      </c>
      <c r="AA437" s="151" t="inlineStr">
        <is>
          <t>grams</t>
        </is>
      </c>
      <c r="AB437" s="151" t="n"/>
      <c r="AC437" s="151" t="n"/>
      <c r="AD437" s="150" t="n">
        <v>0.98</v>
      </c>
      <c r="AE437" s="149" t="n">
        <v>0.12</v>
      </c>
      <c r="AF437" s="151" t="inlineStr">
        <is>
          <t>grams</t>
        </is>
      </c>
      <c r="AG437" s="151" t="n"/>
      <c r="AH437" s="151" t="n"/>
    </row>
    <row r="438">
      <c r="A438" s="151" t="inlineStr">
        <is>
          <t>FV0472A - Indian Butter Chicken [BNL]</t>
        </is>
      </c>
      <c r="B438" s="151" t="inlineStr">
        <is>
          <t>REC-013852-4-003</t>
        </is>
      </c>
      <c r="C438" s="151" t="inlineStr">
        <is>
          <t>Diced chicken - Butter Chicken Batch - BA</t>
        </is>
      </c>
      <c r="D438" s="151" t="inlineStr">
        <is>
          <t>SUB-013850-4-001</t>
        </is>
      </c>
      <c r="E438" s="150" t="n">
        <v>115</v>
      </c>
      <c r="F438" s="151" t="inlineStr">
        <is>
          <t>grams</t>
        </is>
      </c>
      <c r="G438" s="151" t="inlineStr">
        <is>
          <t>BLAST CHILLER, MARINADE, OVEN</t>
        </is>
      </c>
      <c r="H438" s="151" t="inlineStr">
        <is>
          <t>Factor Garam Masala Spice Blend</t>
        </is>
      </c>
      <c r="I438" s="151" t="inlineStr">
        <is>
          <t>SUB-013507-4-001</t>
        </is>
      </c>
      <c r="J438" s="150" t="n">
        <v>0.92</v>
      </c>
      <c r="K438" s="151" t="inlineStr">
        <is>
          <t>grams</t>
        </is>
      </c>
      <c r="L438" s="151" t="inlineStr">
        <is>
          <t>HAND MIX, SPICE PORTIONING</t>
        </is>
      </c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inlineStr">
        <is>
          <t>FA-DE Spice, Cumin Ground /Gewürz, gemahlener Kreuzkümmel</t>
        </is>
      </c>
      <c r="X438" s="151" t="inlineStr">
        <is>
          <t>SPI-00-139345-5</t>
        </is>
      </c>
      <c r="Y438" s="151" t="inlineStr">
        <is>
          <t>0,37</t>
        </is>
      </c>
      <c r="Z438" s="149" t="inlineStr">
        <is>
          <t>0,37</t>
        </is>
      </c>
      <c r="AA438" s="151" t="inlineStr">
        <is>
          <t>grams</t>
        </is>
      </c>
      <c r="AB438" s="151" t="n"/>
      <c r="AC438" s="151" t="n"/>
      <c r="AD438" s="150" t="n">
        <v>0.98</v>
      </c>
      <c r="AE438" s="149" t="n">
        <v>0.37</v>
      </c>
      <c r="AF438" s="151" t="inlineStr">
        <is>
          <t>grams</t>
        </is>
      </c>
      <c r="AG438" s="151" t="n"/>
      <c r="AH438" s="151" t="n"/>
    </row>
    <row r="439">
      <c r="A439" s="151" t="inlineStr">
        <is>
          <t>FV0472A - Indian Butter Chicken [BNL]</t>
        </is>
      </c>
      <c r="B439" s="151" t="inlineStr">
        <is>
          <t>REC-013852-4-003</t>
        </is>
      </c>
      <c r="C439" s="151" t="inlineStr">
        <is>
          <t>Diced chicken - Butter Chicken Batch - BA</t>
        </is>
      </c>
      <c r="D439" s="151" t="inlineStr">
        <is>
          <t>SUB-013850-4-001</t>
        </is>
      </c>
      <c r="E439" s="150" t="n">
        <v>115</v>
      </c>
      <c r="F439" s="151" t="inlineStr">
        <is>
          <t>grams</t>
        </is>
      </c>
      <c r="G439" s="151" t="inlineStr">
        <is>
          <t>BLAST CHILLER, MARINADE, OVEN</t>
        </is>
      </c>
      <c r="H439" s="151" t="inlineStr">
        <is>
          <t>Factor Garam Masala Spice Blend</t>
        </is>
      </c>
      <c r="I439" s="151" t="inlineStr">
        <is>
          <t>SUB-013507-4-001</t>
        </is>
      </c>
      <c r="J439" s="150" t="n">
        <v>0.92</v>
      </c>
      <c r="K439" s="151" t="inlineStr">
        <is>
          <t>grams</t>
        </is>
      </c>
      <c r="L439" s="151" t="inlineStr">
        <is>
          <t>HAND MIX, SPICE PORTIONING</t>
        </is>
      </c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inlineStr">
        <is>
          <t>FA-DE Spice, Cloves Ground /Gewürze, gemahlene Nelken</t>
        </is>
      </c>
      <c r="X439" s="151" t="inlineStr">
        <is>
          <t>SPI-00-139342-5</t>
        </is>
      </c>
      <c r="Y439" s="151" t="inlineStr">
        <is>
          <t>0,06</t>
        </is>
      </c>
      <c r="Z439" s="149" t="inlineStr">
        <is>
          <t>0,06</t>
        </is>
      </c>
      <c r="AA439" s="151" t="inlineStr">
        <is>
          <t>grams</t>
        </is>
      </c>
      <c r="AB439" s="151" t="n"/>
      <c r="AC439" s="151" t="n"/>
      <c r="AD439" s="150" t="n">
        <v>0.98</v>
      </c>
      <c r="AE439" s="149" t="n">
        <v>0.06</v>
      </c>
      <c r="AF439" s="151" t="inlineStr">
        <is>
          <t>grams</t>
        </is>
      </c>
      <c r="AG439" s="151" t="n"/>
      <c r="AH439" s="151" t="n"/>
    </row>
    <row r="440">
      <c r="A440" s="151" t="inlineStr">
        <is>
          <t>FV0472A - Indian Butter Chicken [BNL]</t>
        </is>
      </c>
      <c r="B440" s="151" t="inlineStr">
        <is>
          <t>REC-013852-4-003</t>
        </is>
      </c>
      <c r="C440" s="151" t="inlineStr">
        <is>
          <t>Diced chicken - Butter Chicken Batch - BA</t>
        </is>
      </c>
      <c r="D440" s="151" t="inlineStr">
        <is>
          <t>SUB-013850-4-001</t>
        </is>
      </c>
      <c r="E440" s="150" t="n">
        <v>115</v>
      </c>
      <c r="F440" s="151" t="inlineStr">
        <is>
          <t>grams</t>
        </is>
      </c>
      <c r="G440" s="151" t="inlineStr">
        <is>
          <t>BLAST CHILLER, MARINADE, OVEN</t>
        </is>
      </c>
      <c r="H440" s="151" t="inlineStr">
        <is>
          <t>Factor Garam Masala Spice Blend</t>
        </is>
      </c>
      <c r="I440" s="151" t="inlineStr">
        <is>
          <t>SUB-013507-4-001</t>
        </is>
      </c>
      <c r="J440" s="150" t="n">
        <v>0.92</v>
      </c>
      <c r="K440" s="151" t="inlineStr">
        <is>
          <t>grams</t>
        </is>
      </c>
      <c r="L440" s="151" t="inlineStr">
        <is>
          <t>HAND MIX, SPICE PORTIONING</t>
        </is>
      </c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inlineStr">
        <is>
          <t>FA-DE Spice, Black Pepper, Ground /Gewürz, schwarzer Pfeffer, gemahlen</t>
        </is>
      </c>
      <c r="X440" s="151" t="inlineStr">
        <is>
          <t>SPI-00-139334-5</t>
        </is>
      </c>
      <c r="Y440" s="151" t="inlineStr">
        <is>
          <t>0,09</t>
        </is>
      </c>
      <c r="Z440" s="149" t="inlineStr">
        <is>
          <t>0,09</t>
        </is>
      </c>
      <c r="AA440" s="151" t="inlineStr">
        <is>
          <t>grams</t>
        </is>
      </c>
      <c r="AB440" s="151" t="n"/>
      <c r="AC440" s="151" t="n"/>
      <c r="AD440" s="150" t="n">
        <v>0.98</v>
      </c>
      <c r="AE440" s="149" t="n">
        <v>0.09</v>
      </c>
      <c r="AF440" s="151" t="inlineStr">
        <is>
          <t>grams</t>
        </is>
      </c>
      <c r="AG440" s="151" t="n"/>
      <c r="AH440" s="151" t="n"/>
    </row>
    <row r="441">
      <c r="A441" s="151" t="inlineStr">
        <is>
          <t>FV0472A - Indian Butter Chicken [BNL]</t>
        </is>
      </c>
      <c r="B441" s="151" t="inlineStr">
        <is>
          <t>REC-013852-4-003</t>
        </is>
      </c>
      <c r="C441" s="151" t="inlineStr">
        <is>
          <t>Diced chicken - Butter Chicken Batch - BA</t>
        </is>
      </c>
      <c r="D441" s="151" t="inlineStr">
        <is>
          <t>SUB-013850-4-001</t>
        </is>
      </c>
      <c r="E441" s="150" t="n">
        <v>115</v>
      </c>
      <c r="F441" s="151" t="inlineStr">
        <is>
          <t>grams</t>
        </is>
      </c>
      <c r="G441" s="151" t="inlineStr">
        <is>
          <t>BLAST CHILLER, MARINADE, OVEN</t>
        </is>
      </c>
      <c r="H441" s="151" t="inlineStr">
        <is>
          <t>Factor Garam Masala Spice Blend</t>
        </is>
      </c>
      <c r="I441" s="151" t="inlineStr">
        <is>
          <t>SUB-013507-4-001</t>
        </is>
      </c>
      <c r="J441" s="150" t="n">
        <v>0.92</v>
      </c>
      <c r="K441" s="151" t="inlineStr">
        <is>
          <t>grams</t>
        </is>
      </c>
      <c r="L441" s="151" t="inlineStr">
        <is>
          <t>HAND MIX, SPICE PORTIONING</t>
        </is>
      </c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inlineStr">
        <is>
          <t>FA-DE Spice, Turmeric /Gewürz, Kurkuma</t>
        </is>
      </c>
      <c r="X441" s="151" t="inlineStr">
        <is>
          <t>SPI-00-139384-5</t>
        </is>
      </c>
      <c r="Y441" s="151" t="inlineStr">
        <is>
          <t>0,03</t>
        </is>
      </c>
      <c r="Z441" s="149" t="inlineStr">
        <is>
          <t>0,03</t>
        </is>
      </c>
      <c r="AA441" s="151" t="inlineStr">
        <is>
          <t>grams</t>
        </is>
      </c>
      <c r="AB441" s="151" t="n"/>
      <c r="AC441" s="151" t="n"/>
      <c r="AD441" s="150" t="n">
        <v>0.98</v>
      </c>
      <c r="AE441" s="149" t="n">
        <v>0.03</v>
      </c>
      <c r="AF441" s="151" t="inlineStr">
        <is>
          <t>grams</t>
        </is>
      </c>
      <c r="AG441" s="151" t="n"/>
      <c r="AH441" s="151" t="n"/>
    </row>
    <row r="442">
      <c r="A442" s="151" t="inlineStr">
        <is>
          <t>FV0472A - Indian Butter Chicken [BNL]</t>
        </is>
      </c>
      <c r="B442" s="151" t="inlineStr">
        <is>
          <t>REC-013852-4-003</t>
        </is>
      </c>
      <c r="C442" s="151" t="inlineStr">
        <is>
          <t>Diced chicken - Butter Chicken Batch - BA</t>
        </is>
      </c>
      <c r="D442" s="151" t="inlineStr">
        <is>
          <t>SUB-013850-4-001</t>
        </is>
      </c>
      <c r="E442" s="150" t="n">
        <v>115</v>
      </c>
      <c r="F442" s="151" t="inlineStr">
        <is>
          <t>grams</t>
        </is>
      </c>
      <c r="G442" s="151" t="inlineStr">
        <is>
          <t>BLAST CHILLER, MARINADE, OVEN</t>
        </is>
      </c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inlineStr">
        <is>
          <t>FA-DE Garlic, IQF, Diced 4 mm /Knoblauch, IQF, gewürfelt 4 mm</t>
        </is>
      </c>
      <c r="X442" s="151" t="inlineStr">
        <is>
          <t>PHF-00-139237-1</t>
        </is>
      </c>
      <c r="Y442" s="151" t="inlineStr">
        <is>
          <t>0,92</t>
        </is>
      </c>
      <c r="Z442" s="149" t="inlineStr">
        <is>
          <t>0,92</t>
        </is>
      </c>
      <c r="AA442" s="151" t="inlineStr">
        <is>
          <t>grams</t>
        </is>
      </c>
      <c r="AB442" s="151" t="inlineStr">
        <is>
          <t>SCHWEFELDIOXIDE UND SULFITE</t>
        </is>
      </c>
      <c r="AC442" s="151" t="n"/>
      <c r="AD442" s="150" t="n">
        <v>0.81911</v>
      </c>
      <c r="AE442" s="149" t="n">
        <v>0.92</v>
      </c>
      <c r="AF442" s="151" t="inlineStr">
        <is>
          <t>grams</t>
        </is>
      </c>
      <c r="AG442" s="151" t="n"/>
      <c r="AH442" s="151" t="n"/>
    </row>
    <row r="443">
      <c r="A443" s="151" t="inlineStr">
        <is>
          <t>FV0472A - Indian Butter Chicken [BNL]</t>
        </is>
      </c>
      <c r="B443" s="151" t="inlineStr">
        <is>
          <t>REC-013852-4-003</t>
        </is>
      </c>
      <c r="C443" s="151" t="inlineStr">
        <is>
          <t>Diced chicken - Butter Chicken Batch - BA</t>
        </is>
      </c>
      <c r="D443" s="151" t="inlineStr">
        <is>
          <t>SUB-013850-4-001</t>
        </is>
      </c>
      <c r="E443" s="150" t="n">
        <v>115</v>
      </c>
      <c r="F443" s="151" t="inlineStr">
        <is>
          <t>grams</t>
        </is>
      </c>
      <c r="G443" s="151" t="inlineStr">
        <is>
          <t>BLAST CHILLER, MARINADE, OVEN</t>
        </is>
      </c>
      <c r="H443" s="151" t="inlineStr">
        <is>
          <t>Chicken CHUNKS - BRINED</t>
        </is>
      </c>
      <c r="I443" s="151" t="inlineStr">
        <is>
          <t>SUB-013451-4-001</t>
        </is>
      </c>
      <c r="J443" s="150" t="n">
        <v>128.29</v>
      </c>
      <c r="K443" s="151" t="inlineStr">
        <is>
          <t>grams</t>
        </is>
      </c>
      <c r="L443" s="151" t="inlineStr">
        <is>
          <t>BRINE</t>
        </is>
      </c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inlineStr">
        <is>
          <t>FA-DE Water / Wasser</t>
        </is>
      </c>
      <c r="X443" s="151" t="inlineStr">
        <is>
          <t>OTH-00-144038-5</t>
        </is>
      </c>
      <c r="Y443" s="151" t="inlineStr">
        <is>
          <t>128,29</t>
        </is>
      </c>
      <c r="Z443" s="149" t="inlineStr">
        <is>
          <t>128,29</t>
        </is>
      </c>
      <c r="AA443" s="151" t="inlineStr">
        <is>
          <t>grams</t>
        </is>
      </c>
      <c r="AB443" s="151" t="n"/>
      <c r="AC443" s="151" t="n"/>
      <c r="AD443" s="150" t="n">
        <v>0.4978</v>
      </c>
      <c r="AE443" s="149" t="n">
        <v>128.29</v>
      </c>
      <c r="AF443" s="151" t="inlineStr">
        <is>
          <t>grams</t>
        </is>
      </c>
      <c r="AG443" s="151" t="n"/>
      <c r="AH443" s="151" t="n"/>
    </row>
    <row r="444">
      <c r="A444" s="151" t="inlineStr">
        <is>
          <t>FV0472A - Indian Butter Chicken [BNL]</t>
        </is>
      </c>
      <c r="B444" s="151" t="inlineStr">
        <is>
          <t>REC-013852-4-003</t>
        </is>
      </c>
      <c r="C444" s="151" t="inlineStr">
        <is>
          <t>Diced chicken - Butter Chicken Batch - BA</t>
        </is>
      </c>
      <c r="D444" s="151" t="inlineStr">
        <is>
          <t>SUB-013850-4-001</t>
        </is>
      </c>
      <c r="E444" s="150" t="n">
        <v>115</v>
      </c>
      <c r="F444" s="151" t="inlineStr">
        <is>
          <t>grams</t>
        </is>
      </c>
      <c r="G444" s="151" t="inlineStr">
        <is>
          <t>BLAST CHILLER, MARINADE, OVEN</t>
        </is>
      </c>
      <c r="H444" s="151" t="inlineStr">
        <is>
          <t>Chicken CHUNKS - BRINED</t>
        </is>
      </c>
      <c r="I444" s="151" t="inlineStr">
        <is>
          <t>SUB-013451-4-001</t>
        </is>
      </c>
      <c r="J444" s="150" t="n">
        <v>128.29</v>
      </c>
      <c r="K444" s="151" t="inlineStr">
        <is>
          <t>grams</t>
        </is>
      </c>
      <c r="L444" s="151" t="inlineStr">
        <is>
          <t>BRINE</t>
        </is>
      </c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inlineStr">
        <is>
          <t>FA-DE Spice, Sea Salt /Gewürze, Meersalz</t>
        </is>
      </c>
      <c r="X444" s="151" t="inlineStr">
        <is>
          <t>SPI-00-139378-5</t>
        </is>
      </c>
      <c r="Y444" s="153" t="inlineStr">
        <is>
          <t>1,13</t>
        </is>
      </c>
      <c r="Z444" s="149" t="inlineStr">
        <is>
          <t>1,13</t>
        </is>
      </c>
      <c r="AA444" s="151" t="inlineStr">
        <is>
          <t>grams</t>
        </is>
      </c>
      <c r="AB444" s="151" t="n"/>
      <c r="AC444" s="151" t="n"/>
      <c r="AD444" s="150" t="n">
        <v>0.4978</v>
      </c>
      <c r="AE444" s="149" t="n">
        <v>1.13</v>
      </c>
      <c r="AF444" s="151" t="inlineStr">
        <is>
          <t>grams</t>
        </is>
      </c>
      <c r="AG444" s="151" t="n"/>
      <c r="AH444" s="151" t="n"/>
    </row>
    <row r="445">
      <c r="A445" s="151" t="inlineStr">
        <is>
          <t>FV0472A - Indian Butter Chicken [BNL]</t>
        </is>
      </c>
      <c r="B445" s="151" t="inlineStr">
        <is>
          <t>REC-013852-4-003</t>
        </is>
      </c>
      <c r="C445" s="151" t="inlineStr">
        <is>
          <t>Diced chicken - Butter Chicken Batch - BA</t>
        </is>
      </c>
      <c r="D445" s="151" t="inlineStr">
        <is>
          <t>SUB-013850-4-001</t>
        </is>
      </c>
      <c r="E445" s="150" t="n">
        <v>115</v>
      </c>
      <c r="F445" s="151" t="inlineStr">
        <is>
          <t>grams</t>
        </is>
      </c>
      <c r="G445" s="151" t="inlineStr">
        <is>
          <t>BLAST CHILLER, MARINADE, OVEN</t>
        </is>
      </c>
      <c r="H445" s="151" t="inlineStr">
        <is>
          <t>Chicken CHUNKS - BRINED</t>
        </is>
      </c>
      <c r="I445" s="151" t="inlineStr">
        <is>
          <t>SUB-013451-4-001</t>
        </is>
      </c>
      <c r="J445" s="150" t="n">
        <v>128.29</v>
      </c>
      <c r="K445" s="151" t="inlineStr">
        <is>
          <t>grams</t>
        </is>
      </c>
      <c r="L445" s="151" t="inlineStr">
        <is>
          <t>BRINE</t>
        </is>
      </c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inlineStr">
        <is>
          <t>FA-DE Chicken Breast, Chunked, Boneless Skinless /Hähnchenbrust, in Stücken, ohne Knochen und ohne Haut</t>
        </is>
      </c>
      <c r="X445" s="151" t="inlineStr">
        <is>
          <t>PTN-00-139314-3</t>
        </is>
      </c>
      <c r="Y445" s="151" t="inlineStr">
        <is>
          <t>128,29</t>
        </is>
      </c>
      <c r="Z445" s="149" t="inlineStr">
        <is>
          <t>128,29</t>
        </is>
      </c>
      <c r="AA445" s="151" t="inlineStr">
        <is>
          <t>grams</t>
        </is>
      </c>
      <c r="AB445" s="151" t="n"/>
      <c r="AC445" s="151" t="n"/>
      <c r="AD445" s="150" t="n">
        <v>0.4978</v>
      </c>
      <c r="AE445" s="149" t="n">
        <v>128.29</v>
      </c>
      <c r="AF445" s="151" t="inlineStr">
        <is>
          <t>grams</t>
        </is>
      </c>
      <c r="AG445" s="151" t="n"/>
      <c r="AH445" s="151" t="n"/>
    </row>
    <row r="446">
      <c r="A446" s="151" t="inlineStr">
        <is>
          <t>FV0472A - Indian Butter Chicken [BNL]</t>
        </is>
      </c>
      <c r="B446" s="151" t="inlineStr">
        <is>
          <t>REC-013852-4-003</t>
        </is>
      </c>
      <c r="C446" s="151" t="inlineStr">
        <is>
          <t>Diced chicken - Butter Chicken Batch - BA</t>
        </is>
      </c>
      <c r="D446" s="151" t="inlineStr">
        <is>
          <t>SUB-013850-4-001</t>
        </is>
      </c>
      <c r="E446" s="150" t="n">
        <v>115</v>
      </c>
      <c r="F446" s="151" t="inlineStr">
        <is>
          <t>grams</t>
        </is>
      </c>
      <c r="G446" s="151" t="inlineStr">
        <is>
          <t>BLAST CHILLER, MARINADE, OVEN</t>
        </is>
      </c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inlineStr">
        <is>
          <t>FA-DE Yogurt, Greek, Plain /Joghurt, Griechisch, Natur</t>
        </is>
      </c>
      <c r="X446" s="151" t="inlineStr">
        <is>
          <t>DAI-00-139161-3</t>
        </is>
      </c>
      <c r="Y446" s="151" t="inlineStr">
        <is>
          <t>6,87</t>
        </is>
      </c>
      <c r="Z446" s="149" t="inlineStr">
        <is>
          <t>6,87</t>
        </is>
      </c>
      <c r="AA446" s="151" t="inlineStr">
        <is>
          <t>grams</t>
        </is>
      </c>
      <c r="AB446" s="151" t="inlineStr">
        <is>
          <t>MILCH (EINSCHLIESSLICH LAKTOSE)</t>
        </is>
      </c>
      <c r="AC446" s="151" t="n"/>
      <c r="AD446" s="150" t="n">
        <v>0.81911</v>
      </c>
      <c r="AE446" s="149" t="n">
        <v>6.87</v>
      </c>
      <c r="AF446" s="151" t="inlineStr">
        <is>
          <t>grams</t>
        </is>
      </c>
      <c r="AG446" s="151" t="n"/>
      <c r="AH446" s="151" t="n"/>
    </row>
    <row r="447">
      <c r="A447" s="151" t="inlineStr">
        <is>
          <t>FV0472A - Indian Butter Chicken [BNL]</t>
        </is>
      </c>
      <c r="B447" s="151" t="inlineStr">
        <is>
          <t>REC-013852-4-003</t>
        </is>
      </c>
      <c r="C447" s="151" t="inlineStr">
        <is>
          <t>Diced chicken - Butter Chicken Batch - BA</t>
        </is>
      </c>
      <c r="D447" s="151" t="inlineStr">
        <is>
          <t>SUB-013850-4-001</t>
        </is>
      </c>
      <c r="E447" s="150" t="n">
        <v>115</v>
      </c>
      <c r="F447" s="151" t="inlineStr">
        <is>
          <t>grams</t>
        </is>
      </c>
      <c r="G447" s="151" t="inlineStr">
        <is>
          <t>BLAST CHILLER, MARINADE, OVEN</t>
        </is>
      </c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inlineStr">
        <is>
          <t>FA-DE Spice, Cumin Ground /Gewürz, gemahlener Kreuzkümmel</t>
        </is>
      </c>
      <c r="X447" s="151" t="inlineStr">
        <is>
          <t>SPI-00-139345-5</t>
        </is>
      </c>
      <c r="Y447" s="151" t="inlineStr">
        <is>
          <t>0,34</t>
        </is>
      </c>
      <c r="Z447" s="149" t="inlineStr">
        <is>
          <t>0,34</t>
        </is>
      </c>
      <c r="AA447" s="151" t="inlineStr">
        <is>
          <t>grams</t>
        </is>
      </c>
      <c r="AB447" s="151" t="n"/>
      <c r="AC447" s="151" t="n"/>
      <c r="AD447" s="150" t="n">
        <v>0.81911</v>
      </c>
      <c r="AE447" s="149" t="n">
        <v>0.34</v>
      </c>
      <c r="AF447" s="151" t="inlineStr">
        <is>
          <t>grams</t>
        </is>
      </c>
      <c r="AG447" s="151" t="n"/>
      <c r="AH447" s="151" t="n"/>
    </row>
    <row r="448">
      <c r="A448" s="151" t="inlineStr">
        <is>
          <t>FV0472A - Indian Butter Chicken [BNL]</t>
        </is>
      </c>
      <c r="B448" s="151" t="inlineStr">
        <is>
          <t>REC-013852-4-003</t>
        </is>
      </c>
      <c r="C448" s="151" t="inlineStr">
        <is>
          <t>Diced chicken - Butter Chicken Batch - BA</t>
        </is>
      </c>
      <c r="D448" s="151" t="inlineStr">
        <is>
          <t>SUB-013850-4-001</t>
        </is>
      </c>
      <c r="E448" s="150" t="n">
        <v>115</v>
      </c>
      <c r="F448" s="151" t="inlineStr">
        <is>
          <t>grams</t>
        </is>
      </c>
      <c r="G448" s="151" t="inlineStr">
        <is>
          <t>BLAST CHILLER, MARINADE, OVEN</t>
        </is>
      </c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inlineStr">
        <is>
          <t>FA-DE Ginger, IQF, Diced 4 mm /Ingwer, IQF, gewürfelt 4 mm</t>
        </is>
      </c>
      <c r="X448" s="151" t="inlineStr">
        <is>
          <t>PHF-00-139238-1</t>
        </is>
      </c>
      <c r="Y448" s="151" t="inlineStr">
        <is>
          <t>2,29</t>
        </is>
      </c>
      <c r="Z448" s="149" t="inlineStr">
        <is>
          <t>2,29</t>
        </is>
      </c>
      <c r="AA448" s="151" t="inlineStr">
        <is>
          <t>grams</t>
        </is>
      </c>
      <c r="AB448" s="151" t="inlineStr">
        <is>
          <t>SCHWEFELDIOXIDE UND SULFITE</t>
        </is>
      </c>
      <c r="AC448" s="151" t="n"/>
      <c r="AD448" s="150" t="n">
        <v>0.81911</v>
      </c>
      <c r="AE448" s="149" t="n">
        <v>2.29</v>
      </c>
      <c r="AF448" s="151" t="inlineStr">
        <is>
          <t>grams</t>
        </is>
      </c>
      <c r="AG448" s="151" t="n"/>
      <c r="AH448" s="151" t="n"/>
    </row>
    <row r="449">
      <c r="A449" s="151" t="inlineStr">
        <is>
          <t>FV0472A - Indian Butter Chicken [BNL]</t>
        </is>
      </c>
      <c r="B449" s="151" t="inlineStr">
        <is>
          <t>REC-013852-4-003</t>
        </is>
      </c>
      <c r="C449" s="151" t="inlineStr">
        <is>
          <t>Sauce - Butter Chicken sauce</t>
        </is>
      </c>
      <c r="D449" s="151" t="inlineStr">
        <is>
          <t>SUB-013851-4-001</t>
        </is>
      </c>
      <c r="E449" s="150" t="n">
        <v>115</v>
      </c>
      <c r="F449" s="151" t="inlineStr">
        <is>
          <t>grams</t>
        </is>
      </c>
      <c r="G449" s="151" t="inlineStr">
        <is>
          <t>BLAST CHILLER, BRAISER, IMMERSION BLENDER, SPICE PORTIONING</t>
        </is>
      </c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inlineStr">
        <is>
          <t>FA-DE Spice, Fenugreek Powder /Gewürz, Bockshornkleepulver</t>
        </is>
      </c>
      <c r="X449" s="151" t="inlineStr">
        <is>
          <t>SPI-00-154750-5</t>
        </is>
      </c>
      <c r="Y449" s="151" t="inlineStr">
        <is>
          <t>0,1</t>
        </is>
      </c>
      <c r="Z449" s="149" t="inlineStr">
        <is>
          <t>0,1</t>
        </is>
      </c>
      <c r="AA449" s="151" t="inlineStr">
        <is>
          <t>grams</t>
        </is>
      </c>
      <c r="AB449" s="151" t="n"/>
      <c r="AC449" s="151" t="n"/>
      <c r="AD449" s="150" t="n">
        <v>0.91418</v>
      </c>
      <c r="AE449" s="149" t="n">
        <v>0.1</v>
      </c>
      <c r="AF449" s="151" t="inlineStr">
        <is>
          <t>grams</t>
        </is>
      </c>
      <c r="AG449" s="151" t="n"/>
      <c r="AH449" s="151" t="n"/>
    </row>
    <row r="450">
      <c r="A450" s="151" t="inlineStr">
        <is>
          <t>FV0472A - Indian Butter Chicken [BNL]</t>
        </is>
      </c>
      <c r="B450" s="151" t="inlineStr">
        <is>
          <t>REC-013852-4-003</t>
        </is>
      </c>
      <c r="C450" s="151" t="inlineStr">
        <is>
          <t>Sauce - Butter Chicken sauce</t>
        </is>
      </c>
      <c r="D450" s="151" t="inlineStr">
        <is>
          <t>SUB-013851-4-001</t>
        </is>
      </c>
      <c r="E450" s="150" t="n">
        <v>115</v>
      </c>
      <c r="F450" s="151" t="inlineStr">
        <is>
          <t>grams</t>
        </is>
      </c>
      <c r="G450" s="151" t="inlineStr">
        <is>
          <t>BLAST CHILLER, BRAISER, IMMERSION BLENDER, SPICE PORTIONING</t>
        </is>
      </c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inlineStr">
        <is>
          <t>FA-DE Garlic, IQF, Diced 4 mm /Knoblauch, IQF, gewürfelt 4 mm</t>
        </is>
      </c>
      <c r="X450" s="151" t="inlineStr">
        <is>
          <t>PHF-00-139237-1</t>
        </is>
      </c>
      <c r="Y450" s="154" t="inlineStr">
        <is>
          <t>3,09</t>
        </is>
      </c>
      <c r="Z450" s="149" t="inlineStr">
        <is>
          <t>3,09</t>
        </is>
      </c>
      <c r="AA450" s="151" t="inlineStr">
        <is>
          <t>grams</t>
        </is>
      </c>
      <c r="AB450" s="151" t="inlineStr">
        <is>
          <t>SCHWEFELDIOXIDE UND SULFITE</t>
        </is>
      </c>
      <c r="AC450" s="151" t="n"/>
      <c r="AD450" s="150" t="n">
        <v>0.91418</v>
      </c>
      <c r="AE450" s="149" t="n">
        <v>3.09</v>
      </c>
      <c r="AF450" s="151" t="inlineStr">
        <is>
          <t>grams</t>
        </is>
      </c>
      <c r="AG450" s="151" t="n"/>
      <c r="AH450" s="151" t="n"/>
    </row>
    <row r="451">
      <c r="A451" s="151" t="inlineStr">
        <is>
          <t>FV0472A - Indian Butter Chicken [BNL]</t>
        </is>
      </c>
      <c r="B451" s="151" t="inlineStr">
        <is>
          <t>REC-013852-4-003</t>
        </is>
      </c>
      <c r="C451" s="151" t="inlineStr">
        <is>
          <t>Sauce - Butter Chicken sauce</t>
        </is>
      </c>
      <c r="D451" s="151" t="inlineStr">
        <is>
          <t>SUB-013851-4-001</t>
        </is>
      </c>
      <c r="E451" s="150" t="n">
        <v>115</v>
      </c>
      <c r="F451" s="151" t="inlineStr">
        <is>
          <t>grams</t>
        </is>
      </c>
      <c r="G451" s="151" t="inlineStr">
        <is>
          <t>BLAST CHILLER, BRAISER, IMMERSION BLENDER, SPICE PORTIONING</t>
        </is>
      </c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inlineStr">
        <is>
          <t>FA-DE Spice, Cumin Ground /Gewürz, gemahlener Kreuzkümmel</t>
        </is>
      </c>
      <c r="X451" s="151" t="inlineStr">
        <is>
          <t>SPI-00-139345-5</t>
        </is>
      </c>
      <c r="Y451" s="151" t="inlineStr">
        <is>
          <t>0,46</t>
        </is>
      </c>
      <c r="Z451" s="149" t="inlineStr">
        <is>
          <t>0,46</t>
        </is>
      </c>
      <c r="AA451" s="151" t="inlineStr">
        <is>
          <t>grams</t>
        </is>
      </c>
      <c r="AB451" s="151" t="n"/>
      <c r="AC451" s="151" t="n"/>
      <c r="AD451" s="150" t="n">
        <v>0.91418</v>
      </c>
      <c r="AE451" s="149" t="n">
        <v>0.46</v>
      </c>
      <c r="AF451" s="151" t="inlineStr">
        <is>
          <t>grams</t>
        </is>
      </c>
      <c r="AG451" s="151" t="n"/>
      <c r="AH451" s="151" t="n"/>
    </row>
    <row r="452">
      <c r="A452" s="151" t="inlineStr">
        <is>
          <t>FV0472A - Indian Butter Chicken [BNL]</t>
        </is>
      </c>
      <c r="B452" s="151" t="inlineStr">
        <is>
          <t>REC-013852-4-003</t>
        </is>
      </c>
      <c r="C452" s="151" t="inlineStr">
        <is>
          <t>Sauce - Butter Chicken sauce</t>
        </is>
      </c>
      <c r="D452" s="151" t="inlineStr">
        <is>
          <t>SUB-013851-4-001</t>
        </is>
      </c>
      <c r="E452" s="150" t="n">
        <v>115</v>
      </c>
      <c r="F452" s="151" t="inlineStr">
        <is>
          <t>grams</t>
        </is>
      </c>
      <c r="G452" s="151" t="inlineStr">
        <is>
          <t>BLAST CHILLER, BRAISER, IMMERSION BLENDER, SPICE PORTIONING</t>
        </is>
      </c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inlineStr">
        <is>
          <t>FA-DE Butter, Unsalted /Butter, ungesalzen</t>
        </is>
      </c>
      <c r="X452" s="151" t="inlineStr">
        <is>
          <t>DAI-00-139146-3</t>
        </is>
      </c>
      <c r="Y452" s="151" t="inlineStr">
        <is>
          <t>18,52</t>
        </is>
      </c>
      <c r="Z452" s="149" t="inlineStr">
        <is>
          <t>18,52</t>
        </is>
      </c>
      <c r="AA452" s="151" t="inlineStr">
        <is>
          <t>grams</t>
        </is>
      </c>
      <c r="AB452" s="151" t="inlineStr">
        <is>
          <t>MILCH (EINSCHLIESSLICH LAKTOSE)</t>
        </is>
      </c>
      <c r="AC452" s="151" t="n"/>
      <c r="AD452" s="150" t="n">
        <v>0.91418</v>
      </c>
      <c r="AE452" s="149" t="n">
        <v>18.52</v>
      </c>
      <c r="AF452" s="151" t="inlineStr">
        <is>
          <t>grams</t>
        </is>
      </c>
      <c r="AG452" s="151" t="n"/>
      <c r="AH452" s="151" t="n"/>
    </row>
    <row r="453">
      <c r="A453" s="151" t="inlineStr">
        <is>
          <t>FV0472A - Indian Butter Chicken [BNL]</t>
        </is>
      </c>
      <c r="B453" s="151" t="inlineStr">
        <is>
          <t>REC-013852-4-003</t>
        </is>
      </c>
      <c r="C453" s="151" t="inlineStr">
        <is>
          <t>Sauce - Butter Chicken sauce</t>
        </is>
      </c>
      <c r="D453" s="151" t="inlineStr">
        <is>
          <t>SUB-013851-4-001</t>
        </is>
      </c>
      <c r="E453" s="150" t="n">
        <v>115</v>
      </c>
      <c r="F453" s="151" t="inlineStr">
        <is>
          <t>grams</t>
        </is>
      </c>
      <c r="G453" s="151" t="inlineStr">
        <is>
          <t>BLAST CHILLER, BRAISER, IMMERSION BLENDER, SPICE PORTIONING</t>
        </is>
      </c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inlineStr">
        <is>
          <t>FA-DE Spice, Sea Salt /Gewürze, Meersalz</t>
        </is>
      </c>
      <c r="X453" s="151" t="inlineStr">
        <is>
          <t>SPI-00-139378-5</t>
        </is>
      </c>
      <c r="Y453" s="151" t="inlineStr">
        <is>
          <t>0,73</t>
        </is>
      </c>
      <c r="Z453" s="149" t="inlineStr">
        <is>
          <t>0,73</t>
        </is>
      </c>
      <c r="AA453" s="151" t="inlineStr">
        <is>
          <t>grams</t>
        </is>
      </c>
      <c r="AB453" s="151" t="n"/>
      <c r="AC453" s="151" t="n"/>
      <c r="AD453" s="150" t="n">
        <v>0.91418</v>
      </c>
      <c r="AE453" s="149" t="n">
        <v>0.73</v>
      </c>
      <c r="AF453" s="151" t="inlineStr">
        <is>
          <t>grams</t>
        </is>
      </c>
      <c r="AG453" s="151" t="n"/>
      <c r="AH453" s="151" t="n"/>
    </row>
    <row r="454">
      <c r="A454" s="151" t="inlineStr">
        <is>
          <t>FV0472A - Indian Butter Chicken [BNL]</t>
        </is>
      </c>
      <c r="B454" s="151" t="inlineStr">
        <is>
          <t>REC-013852-4-003</t>
        </is>
      </c>
      <c r="C454" s="151" t="inlineStr">
        <is>
          <t>Sauce - Butter Chicken sauce</t>
        </is>
      </c>
      <c r="D454" s="151" t="inlineStr">
        <is>
          <t>SUB-013851-4-001</t>
        </is>
      </c>
      <c r="E454" s="150" t="n">
        <v>115</v>
      </c>
      <c r="F454" s="151" t="inlineStr">
        <is>
          <t>grams</t>
        </is>
      </c>
      <c r="G454" s="151" t="inlineStr">
        <is>
          <t>BLAST CHILLER, BRAISER, IMMERSION BLENDER, SPICE PORTIONING</t>
        </is>
      </c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inlineStr">
        <is>
          <t>FA-DE Spice, Chili Powder /Gewürz, Chilipulver</t>
        </is>
      </c>
      <c r="X454" s="151" t="inlineStr">
        <is>
          <t>SPI-00-139340-5</t>
        </is>
      </c>
      <c r="Y454" s="151" t="inlineStr">
        <is>
          <t>0,14</t>
        </is>
      </c>
      <c r="Z454" s="149" t="inlineStr">
        <is>
          <t>0,14</t>
        </is>
      </c>
      <c r="AA454" s="151" t="inlineStr">
        <is>
          <t>grams</t>
        </is>
      </c>
      <c r="AB454" s="151" t="n"/>
      <c r="AC454" s="151" t="n"/>
      <c r="AD454" s="150" t="n">
        <v>0.91418</v>
      </c>
      <c r="AE454" s="149" t="n">
        <v>0.14</v>
      </c>
      <c r="AF454" s="151" t="inlineStr">
        <is>
          <t>grams</t>
        </is>
      </c>
      <c r="AG454" s="151" t="n"/>
      <c r="AH454" s="151" t="n"/>
    </row>
    <row r="455">
      <c r="A455" s="151" t="inlineStr">
        <is>
          <t>FV0472A - Indian Butter Chicken [BNL]</t>
        </is>
      </c>
      <c r="B455" s="151" t="inlineStr">
        <is>
          <t>REC-013852-4-003</t>
        </is>
      </c>
      <c r="C455" s="151" t="inlineStr">
        <is>
          <t>Sauce - Butter Chicken sauce</t>
        </is>
      </c>
      <c r="D455" s="151" t="inlineStr">
        <is>
          <t>SUB-013851-4-001</t>
        </is>
      </c>
      <c r="E455" s="150" t="n">
        <v>115</v>
      </c>
      <c r="F455" s="151" t="inlineStr">
        <is>
          <t>grams</t>
        </is>
      </c>
      <c r="G455" s="151" t="inlineStr">
        <is>
          <t>BLAST CHILLER, BRAISER, IMMERSION BLENDER, SPICE PORTIONING</t>
        </is>
      </c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inlineStr">
        <is>
          <t>FA-DE Onion, Spanish, Diced 5mm /Zwiebel, Spanisch, gewürfelt 5 mm</t>
        </is>
      </c>
      <c r="X455" s="151" t="inlineStr">
        <is>
          <t>PHF-00-139212-3</t>
        </is>
      </c>
      <c r="Y455" s="151" t="inlineStr">
        <is>
          <t>15,44</t>
        </is>
      </c>
      <c r="Z455" s="149" t="inlineStr">
        <is>
          <t>15,44</t>
        </is>
      </c>
      <c r="AA455" s="151" t="inlineStr">
        <is>
          <t>grams</t>
        </is>
      </c>
      <c r="AB455" s="151" t="n"/>
      <c r="AC455" s="151" t="n"/>
      <c r="AD455" s="150" t="n">
        <v>0.91418</v>
      </c>
      <c r="AE455" s="149" t="n">
        <v>15.44</v>
      </c>
      <c r="AF455" s="151" t="inlineStr">
        <is>
          <t>grams</t>
        </is>
      </c>
      <c r="AG455" s="151" t="n"/>
      <c r="AH455" s="151" t="n"/>
    </row>
    <row r="456">
      <c r="A456" s="151" t="inlineStr">
        <is>
          <t>FV0472A - Indian Butter Chicken [BNL]</t>
        </is>
      </c>
      <c r="B456" s="151" t="inlineStr">
        <is>
          <t>REC-013852-4-003</t>
        </is>
      </c>
      <c r="C456" s="151" t="inlineStr">
        <is>
          <t>Sauce - Butter Chicken sauce</t>
        </is>
      </c>
      <c r="D456" s="151" t="inlineStr">
        <is>
          <t>SUB-013851-4-001</t>
        </is>
      </c>
      <c r="E456" s="150" t="n">
        <v>115</v>
      </c>
      <c r="F456" s="151" t="inlineStr">
        <is>
          <t>grams</t>
        </is>
      </c>
      <c r="G456" s="151" t="inlineStr">
        <is>
          <t>BLAST CHILLER, BRAISER, IMMERSION BLENDER, SPICE PORTIONING</t>
        </is>
      </c>
      <c r="H456" s="151" t="inlineStr">
        <is>
          <t>Factor Garam Masala Spice Blend</t>
        </is>
      </c>
      <c r="I456" s="151" t="inlineStr">
        <is>
          <t>SUB-013507-4-001</t>
        </is>
      </c>
      <c r="J456" s="150" t="n">
        <v>0.46</v>
      </c>
      <c r="K456" s="151" t="inlineStr">
        <is>
          <t>grams</t>
        </is>
      </c>
      <c r="L456" s="151" t="inlineStr">
        <is>
          <t>HAND MIX, SPICE PORTIONING</t>
        </is>
      </c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inlineStr">
        <is>
          <t>FA-DE Spice, Fennel Ground /Gewürz, Fenchel gemahlen</t>
        </is>
      </c>
      <c r="X456" s="151" t="inlineStr">
        <is>
          <t>SPI-00-139351-5</t>
        </is>
      </c>
      <c r="Y456" s="151" t="inlineStr">
        <is>
          <t>0,01</t>
        </is>
      </c>
      <c r="Z456" s="149" t="inlineStr">
        <is>
          <t>0,01</t>
        </is>
      </c>
      <c r="AA456" s="151" t="inlineStr">
        <is>
          <t>grams</t>
        </is>
      </c>
      <c r="AB456" s="151" t="n"/>
      <c r="AC456" s="151" t="n"/>
      <c r="AD456" s="150" t="n">
        <v>0.98</v>
      </c>
      <c r="AE456" s="149" t="n">
        <v>0.01</v>
      </c>
      <c r="AF456" s="151" t="inlineStr">
        <is>
          <t>grams</t>
        </is>
      </c>
      <c r="AG456" s="151" t="n"/>
      <c r="AH456" s="151" t="n"/>
    </row>
    <row r="457">
      <c r="A457" s="151" t="inlineStr">
        <is>
          <t>FV0472A - Indian Butter Chicken [BNL]</t>
        </is>
      </c>
      <c r="B457" s="151" t="inlineStr">
        <is>
          <t>REC-013852-4-003</t>
        </is>
      </c>
      <c r="C457" s="151" t="inlineStr">
        <is>
          <t>Sauce - Butter Chicken sauce</t>
        </is>
      </c>
      <c r="D457" s="151" t="inlineStr">
        <is>
          <t>SUB-013851-4-001</t>
        </is>
      </c>
      <c r="E457" s="150" t="n">
        <v>115</v>
      </c>
      <c r="F457" s="151" t="inlineStr">
        <is>
          <t>grams</t>
        </is>
      </c>
      <c r="G457" s="151" t="inlineStr">
        <is>
          <t>BLAST CHILLER, BRAISER, IMMERSION BLENDER, SPICE PORTIONING</t>
        </is>
      </c>
      <c r="H457" s="151" t="inlineStr">
        <is>
          <t>Factor Garam Masala Spice Blend</t>
        </is>
      </c>
      <c r="I457" s="151" t="inlineStr">
        <is>
          <t>SUB-013507-4-001</t>
        </is>
      </c>
      <c r="J457" s="150" t="n">
        <v>0.46</v>
      </c>
      <c r="K457" s="151" t="inlineStr">
        <is>
          <t>grams</t>
        </is>
      </c>
      <c r="L457" s="151" t="inlineStr">
        <is>
          <t>HAND MIX, SPICE PORTIONING</t>
        </is>
      </c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inlineStr">
        <is>
          <t>FA-DE Spice, Nutmeg Ground /Gewürz, gemahlene Muskatnuss</t>
        </is>
      </c>
      <c r="X457" s="151" t="inlineStr">
        <is>
          <t>SPI-00-139368-5</t>
        </is>
      </c>
      <c r="Y457" s="151" t="inlineStr">
        <is>
          <t>0,03</t>
        </is>
      </c>
      <c r="Z457" s="149" t="inlineStr">
        <is>
          <t>0,03</t>
        </is>
      </c>
      <c r="AA457" s="151" t="inlineStr">
        <is>
          <t>grams</t>
        </is>
      </c>
      <c r="AB457" s="151" t="n"/>
      <c r="AC457" s="151" t="n"/>
      <c r="AD457" s="150" t="n">
        <v>0.98</v>
      </c>
      <c r="AE457" s="149" t="n">
        <v>0.03</v>
      </c>
      <c r="AF457" s="151" t="inlineStr">
        <is>
          <t>grams</t>
        </is>
      </c>
      <c r="AG457" s="151" t="n"/>
      <c r="AH457" s="151" t="n"/>
    </row>
    <row r="458">
      <c r="A458" s="151" t="inlineStr">
        <is>
          <t>FV0472A - Indian Butter Chicken [BNL]</t>
        </is>
      </c>
      <c r="B458" s="151" t="inlineStr">
        <is>
          <t>REC-013852-4-003</t>
        </is>
      </c>
      <c r="C458" s="151" t="inlineStr">
        <is>
          <t>Sauce - Butter Chicken sauce</t>
        </is>
      </c>
      <c r="D458" s="151" t="inlineStr">
        <is>
          <t>SUB-013851-4-001</t>
        </is>
      </c>
      <c r="E458" s="150" t="n">
        <v>115</v>
      </c>
      <c r="F458" s="151" t="inlineStr">
        <is>
          <t>grams</t>
        </is>
      </c>
      <c r="G458" s="151" t="inlineStr">
        <is>
          <t>BLAST CHILLER, BRAISER, IMMERSION BLENDER, SPICE PORTIONING</t>
        </is>
      </c>
      <c r="H458" s="151" t="inlineStr">
        <is>
          <t>Factor Garam Masala Spice Blend</t>
        </is>
      </c>
      <c r="I458" s="151" t="inlineStr">
        <is>
          <t>SUB-013507-4-001</t>
        </is>
      </c>
      <c r="J458" s="150" t="n">
        <v>0.46</v>
      </c>
      <c r="K458" s="151" t="inlineStr">
        <is>
          <t>grams</t>
        </is>
      </c>
      <c r="L458" s="151" t="inlineStr">
        <is>
          <t>HAND MIX, SPICE PORTIONING</t>
        </is>
      </c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inlineStr">
        <is>
          <t>FA-DE Spice, Coriander Ground /Gewürz, gemahlener Koriander</t>
        </is>
      </c>
      <c r="X458" s="151" t="inlineStr">
        <is>
          <t>SPI-00-139386-5</t>
        </is>
      </c>
      <c r="Y458" s="151" t="inlineStr">
        <is>
          <t>0,09</t>
        </is>
      </c>
      <c r="Z458" s="149" t="inlineStr">
        <is>
          <t>0,09</t>
        </is>
      </c>
      <c r="AA458" s="151" t="inlineStr">
        <is>
          <t>grams</t>
        </is>
      </c>
      <c r="AB458" s="151" t="n"/>
      <c r="AC458" s="151" t="n"/>
      <c r="AD458" s="150" t="n">
        <v>0.98</v>
      </c>
      <c r="AE458" s="149" t="n">
        <v>0.09</v>
      </c>
      <c r="AF458" s="151" t="inlineStr">
        <is>
          <t>grams</t>
        </is>
      </c>
      <c r="AG458" s="151" t="n"/>
      <c r="AH458" s="151" t="n"/>
    </row>
    <row r="459">
      <c r="A459" s="151" t="inlineStr">
        <is>
          <t>FV0472A - Indian Butter Chicken [BNL]</t>
        </is>
      </c>
      <c r="B459" s="151" t="inlineStr">
        <is>
          <t>REC-013852-4-003</t>
        </is>
      </c>
      <c r="C459" s="151" t="inlineStr">
        <is>
          <t>Sauce - Butter Chicken sauce</t>
        </is>
      </c>
      <c r="D459" s="151" t="inlineStr">
        <is>
          <t>SUB-013851-4-001</t>
        </is>
      </c>
      <c r="E459" s="150" t="n">
        <v>115</v>
      </c>
      <c r="F459" s="151" t="inlineStr">
        <is>
          <t>grams</t>
        </is>
      </c>
      <c r="G459" s="151" t="inlineStr">
        <is>
          <t>BLAST CHILLER, BRAISER, IMMERSION BLENDER, SPICE PORTIONING</t>
        </is>
      </c>
      <c r="H459" s="151" t="inlineStr">
        <is>
          <t>Factor Garam Masala Spice Blend</t>
        </is>
      </c>
      <c r="I459" s="151" t="inlineStr">
        <is>
          <t>SUB-013507-4-001</t>
        </is>
      </c>
      <c r="J459" s="150" t="n">
        <v>0.46</v>
      </c>
      <c r="K459" s="151" t="inlineStr">
        <is>
          <t>grams</t>
        </is>
      </c>
      <c r="L459" s="151" t="inlineStr">
        <is>
          <t>HAND MIX, SPICE PORTIONING</t>
        </is>
      </c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inlineStr">
        <is>
          <t>FA-DE Spice, Cinnamon Ground /Gewürz, gemahlener Zimt</t>
        </is>
      </c>
      <c r="X459" s="151" t="inlineStr">
        <is>
          <t>SPI-00-139341-5</t>
        </is>
      </c>
      <c r="Y459" s="151" t="inlineStr">
        <is>
          <t>0,06</t>
        </is>
      </c>
      <c r="Z459" s="149" t="inlineStr">
        <is>
          <t>0,06</t>
        </is>
      </c>
      <c r="AA459" s="151" t="inlineStr">
        <is>
          <t>grams</t>
        </is>
      </c>
      <c r="AB459" s="151" t="n"/>
      <c r="AC459" s="151" t="n"/>
      <c r="AD459" s="150" t="n">
        <v>0.98</v>
      </c>
      <c r="AE459" s="149" t="n">
        <v>0.06</v>
      </c>
      <c r="AF459" s="151" t="inlineStr">
        <is>
          <t>grams</t>
        </is>
      </c>
      <c r="AG459" s="151" t="n"/>
      <c r="AH459" s="151" t="n"/>
    </row>
    <row r="460">
      <c r="A460" s="151" t="inlineStr">
        <is>
          <t>FV0472A - Indian Butter Chicken [BNL]</t>
        </is>
      </c>
      <c r="B460" s="151" t="inlineStr">
        <is>
          <t>REC-013852-4-003</t>
        </is>
      </c>
      <c r="C460" s="151" t="inlineStr">
        <is>
          <t>Sauce - Butter Chicken sauce</t>
        </is>
      </c>
      <c r="D460" s="151" t="inlineStr">
        <is>
          <t>SUB-013851-4-001</t>
        </is>
      </c>
      <c r="E460" s="150" t="n">
        <v>115</v>
      </c>
      <c r="F460" s="151" t="inlineStr">
        <is>
          <t>grams</t>
        </is>
      </c>
      <c r="G460" s="151" t="inlineStr">
        <is>
          <t>BLAST CHILLER, BRAISER, IMMERSION BLENDER, SPICE PORTIONING</t>
        </is>
      </c>
      <c r="H460" s="151" t="inlineStr">
        <is>
          <t>Factor Garam Masala Spice Blend</t>
        </is>
      </c>
      <c r="I460" s="151" t="inlineStr">
        <is>
          <t>SUB-013507-4-001</t>
        </is>
      </c>
      <c r="J460" s="150" t="n">
        <v>0.46</v>
      </c>
      <c r="K460" s="151" t="inlineStr">
        <is>
          <t>grams</t>
        </is>
      </c>
      <c r="L460" s="151" t="inlineStr">
        <is>
          <t>HAND MIX, SPICE PORTIONING</t>
        </is>
      </c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inlineStr">
        <is>
          <t>FA-DE Spice, Cumin Ground /Gewürz, gemahlener Kreuzkümmel</t>
        </is>
      </c>
      <c r="X460" s="151" t="inlineStr">
        <is>
          <t>SPI-00-139345-5</t>
        </is>
      </c>
      <c r="Y460" s="151" t="inlineStr">
        <is>
          <t>0,18</t>
        </is>
      </c>
      <c r="Z460" s="149" t="inlineStr">
        <is>
          <t>0,18</t>
        </is>
      </c>
      <c r="AA460" s="151" t="inlineStr">
        <is>
          <t>grams</t>
        </is>
      </c>
      <c r="AB460" s="151" t="n"/>
      <c r="AC460" s="151" t="n"/>
      <c r="AD460" s="150" t="n">
        <v>0.98</v>
      </c>
      <c r="AE460" s="149" t="n">
        <v>0.18</v>
      </c>
      <c r="AF460" s="151" t="inlineStr">
        <is>
          <t>grams</t>
        </is>
      </c>
      <c r="AG460" s="151" t="n"/>
      <c r="AH460" s="151" t="n"/>
    </row>
    <row r="461">
      <c r="A461" s="151" t="inlineStr">
        <is>
          <t>FV0472A - Indian Butter Chicken [BNL]</t>
        </is>
      </c>
      <c r="B461" s="151" t="inlineStr">
        <is>
          <t>REC-013852-4-003</t>
        </is>
      </c>
      <c r="C461" s="151" t="inlineStr">
        <is>
          <t>Sauce - Butter Chicken sauce</t>
        </is>
      </c>
      <c r="D461" s="151" t="inlineStr">
        <is>
          <t>SUB-013851-4-001</t>
        </is>
      </c>
      <c r="E461" s="150" t="n">
        <v>115</v>
      </c>
      <c r="F461" s="151" t="inlineStr">
        <is>
          <t>grams</t>
        </is>
      </c>
      <c r="G461" s="151" t="inlineStr">
        <is>
          <t>BLAST CHILLER, BRAISER, IMMERSION BLENDER, SPICE PORTIONING</t>
        </is>
      </c>
      <c r="H461" s="151" t="inlineStr">
        <is>
          <t>Factor Garam Masala Spice Blend</t>
        </is>
      </c>
      <c r="I461" s="151" t="inlineStr">
        <is>
          <t>SUB-013507-4-001</t>
        </is>
      </c>
      <c r="J461" s="150" t="n">
        <v>0.46</v>
      </c>
      <c r="K461" s="151" t="inlineStr">
        <is>
          <t>grams</t>
        </is>
      </c>
      <c r="L461" s="151" t="inlineStr">
        <is>
          <t>HAND MIX, SPICE PORTIONING</t>
        </is>
      </c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inlineStr">
        <is>
          <t>FA-DE Spice, Cloves Ground /Gewürze, gemahlene Nelken</t>
        </is>
      </c>
      <c r="X461" s="151" t="inlineStr">
        <is>
          <t>SPI-00-139342-5</t>
        </is>
      </c>
      <c r="Y461" s="151" t="inlineStr">
        <is>
          <t>0,03</t>
        </is>
      </c>
      <c r="Z461" s="149" t="inlineStr">
        <is>
          <t>0,03</t>
        </is>
      </c>
      <c r="AA461" s="151" t="inlineStr">
        <is>
          <t>grams</t>
        </is>
      </c>
      <c r="AB461" s="151" t="n"/>
      <c r="AC461" s="151" t="n"/>
      <c r="AD461" s="150" t="n">
        <v>0.98</v>
      </c>
      <c r="AE461" s="149" t="n">
        <v>0.03</v>
      </c>
      <c r="AF461" s="151" t="inlineStr">
        <is>
          <t>grams</t>
        </is>
      </c>
      <c r="AG461" s="151" t="n"/>
      <c r="AH461" s="151" t="n"/>
    </row>
    <row r="462">
      <c r="A462" s="151" t="inlineStr">
        <is>
          <t>FV0472A - Indian Butter Chicken [BNL]</t>
        </is>
      </c>
      <c r="B462" s="151" t="inlineStr">
        <is>
          <t>REC-013852-4-003</t>
        </is>
      </c>
      <c r="C462" s="151" t="inlineStr">
        <is>
          <t>Sauce - Butter Chicken sauce</t>
        </is>
      </c>
      <c r="D462" s="151" t="inlineStr">
        <is>
          <t>SUB-013851-4-001</t>
        </is>
      </c>
      <c r="E462" s="150" t="n">
        <v>115</v>
      </c>
      <c r="F462" s="151" t="inlineStr">
        <is>
          <t>grams</t>
        </is>
      </c>
      <c r="G462" s="151" t="inlineStr">
        <is>
          <t>BLAST CHILLER, BRAISER, IMMERSION BLENDER, SPICE PORTIONING</t>
        </is>
      </c>
      <c r="H462" s="151" t="inlineStr">
        <is>
          <t>Factor Garam Masala Spice Blend</t>
        </is>
      </c>
      <c r="I462" s="151" t="inlineStr">
        <is>
          <t>SUB-013507-4-001</t>
        </is>
      </c>
      <c r="J462" s="150" t="n">
        <v>0.46</v>
      </c>
      <c r="K462" s="151" t="inlineStr">
        <is>
          <t>grams</t>
        </is>
      </c>
      <c r="L462" s="151" t="inlineStr">
        <is>
          <t>HAND MIX, SPICE PORTIONING</t>
        </is>
      </c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inlineStr">
        <is>
          <t>FA-DE Spice, Black Pepper, Ground /Gewürz, schwarzer Pfeffer, gemahlen</t>
        </is>
      </c>
      <c r="X462" s="151" t="inlineStr">
        <is>
          <t>SPI-00-139334-5</t>
        </is>
      </c>
      <c r="Y462" s="151" t="inlineStr">
        <is>
          <t>0,05</t>
        </is>
      </c>
      <c r="Z462" s="149" t="inlineStr">
        <is>
          <t>0,05</t>
        </is>
      </c>
      <c r="AA462" s="151" t="inlineStr">
        <is>
          <t>grams</t>
        </is>
      </c>
      <c r="AB462" s="151" t="n"/>
      <c r="AC462" s="151" t="n"/>
      <c r="AD462" s="150" t="n">
        <v>0.98</v>
      </c>
      <c r="AE462" s="149" t="n">
        <v>0.05</v>
      </c>
      <c r="AF462" s="151" t="inlineStr">
        <is>
          <t>grams</t>
        </is>
      </c>
      <c r="AG462" s="151" t="n"/>
      <c r="AH462" s="151" t="n"/>
    </row>
    <row r="463">
      <c r="A463" s="151" t="inlineStr">
        <is>
          <t>FV0472A - Indian Butter Chicken [BNL]</t>
        </is>
      </c>
      <c r="B463" s="151" t="inlineStr">
        <is>
          <t>REC-013852-4-003</t>
        </is>
      </c>
      <c r="C463" s="151" t="inlineStr">
        <is>
          <t>Sauce - Butter Chicken sauce</t>
        </is>
      </c>
      <c r="D463" s="151" t="inlineStr">
        <is>
          <t>SUB-013851-4-001</t>
        </is>
      </c>
      <c r="E463" s="150" t="n">
        <v>115</v>
      </c>
      <c r="F463" s="151" t="inlineStr">
        <is>
          <t>grams</t>
        </is>
      </c>
      <c r="G463" s="151" t="inlineStr">
        <is>
          <t>BLAST CHILLER, BRAISER, IMMERSION BLENDER, SPICE PORTIONING</t>
        </is>
      </c>
      <c r="H463" s="151" t="inlineStr">
        <is>
          <t>Factor Garam Masala Spice Blend</t>
        </is>
      </c>
      <c r="I463" s="151" t="inlineStr">
        <is>
          <t>SUB-013507-4-001</t>
        </is>
      </c>
      <c r="J463" s="150" t="n">
        <v>0.46</v>
      </c>
      <c r="K463" s="151" t="inlineStr">
        <is>
          <t>grams</t>
        </is>
      </c>
      <c r="L463" s="151" t="inlineStr">
        <is>
          <t>HAND MIX, SPICE PORTIONING</t>
        </is>
      </c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inlineStr">
        <is>
          <t>FA-DE Spice, Turmeric /Gewürz, Kurkuma</t>
        </is>
      </c>
      <c r="X463" s="151" t="inlineStr">
        <is>
          <t>SPI-00-139384-5</t>
        </is>
      </c>
      <c r="Y463" s="151" t="inlineStr">
        <is>
          <t>0,01</t>
        </is>
      </c>
      <c r="Z463" s="149" t="inlineStr">
        <is>
          <t>0,01</t>
        </is>
      </c>
      <c r="AA463" s="151" t="inlineStr">
        <is>
          <t>grams</t>
        </is>
      </c>
      <c r="AB463" s="151" t="n"/>
      <c r="AC463" s="151" t="n"/>
      <c r="AD463" s="150" t="n">
        <v>0.98</v>
      </c>
      <c r="AE463" s="149" t="n">
        <v>0.01</v>
      </c>
      <c r="AF463" s="151" t="inlineStr">
        <is>
          <t>grams</t>
        </is>
      </c>
      <c r="AG463" s="151" t="n"/>
      <c r="AH463" s="151" t="n"/>
    </row>
    <row r="464">
      <c r="A464" s="151" t="inlineStr">
        <is>
          <t>FV0472A - Indian Butter Chicken [BNL]</t>
        </is>
      </c>
      <c r="B464" s="151" t="inlineStr">
        <is>
          <t>REC-013852-4-003</t>
        </is>
      </c>
      <c r="C464" s="151" t="inlineStr">
        <is>
          <t>Sauce - Butter Chicken sauce</t>
        </is>
      </c>
      <c r="D464" s="151" t="inlineStr">
        <is>
          <t>SUB-013851-4-001</t>
        </is>
      </c>
      <c r="E464" s="150" t="n">
        <v>115</v>
      </c>
      <c r="F464" s="151" t="inlineStr">
        <is>
          <t>grams</t>
        </is>
      </c>
      <c r="G464" s="151" t="inlineStr">
        <is>
          <t>BLAST CHILLER, BRAISER, IMMERSION BLENDER, SPICE PORTIONING</t>
        </is>
      </c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inlineStr">
        <is>
          <t>FA-DE Oil, Olive /Öl, Olivenöl</t>
        </is>
      </c>
      <c r="X464" s="151" t="inlineStr">
        <is>
          <t>PRO-00-139277-5</t>
        </is>
      </c>
      <c r="Y464" s="151" t="inlineStr">
        <is>
          <t>9,65</t>
        </is>
      </c>
      <c r="Z464" s="149" t="inlineStr">
        <is>
          <t>9,65</t>
        </is>
      </c>
      <c r="AA464" s="151" t="inlineStr">
        <is>
          <t>grams</t>
        </is>
      </c>
      <c r="AB464" s="151" t="n"/>
      <c r="AC464" s="151" t="n"/>
      <c r="AD464" s="150" t="n">
        <v>0.91418</v>
      </c>
      <c r="AE464" s="149" t="n">
        <v>9.65</v>
      </c>
      <c r="AF464" s="151" t="inlineStr">
        <is>
          <t>grams</t>
        </is>
      </c>
      <c r="AG464" s="151" t="n"/>
      <c r="AH464" s="151" t="n"/>
    </row>
    <row r="465">
      <c r="A465" s="151" t="inlineStr">
        <is>
          <t>FV0472A - Indian Butter Chicken [BNL]</t>
        </is>
      </c>
      <c r="B465" s="151" t="inlineStr">
        <is>
          <t>REC-013852-4-003</t>
        </is>
      </c>
      <c r="C465" s="151" t="inlineStr">
        <is>
          <t>Sauce - Butter Chicken sauce</t>
        </is>
      </c>
      <c r="D465" s="151" t="inlineStr">
        <is>
          <t>SUB-013851-4-001</t>
        </is>
      </c>
      <c r="E465" s="150" t="n">
        <v>115</v>
      </c>
      <c r="F465" s="151" t="inlineStr">
        <is>
          <t>grams</t>
        </is>
      </c>
      <c r="G465" s="151" t="inlineStr">
        <is>
          <t>BLAST CHILLER, BRAISER, IMMERSION BLENDER, SPICE PORTIONING</t>
        </is>
      </c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inlineStr">
        <is>
          <t>FA-DE Ginger, IQF, Diced 4 mm /Ingwer, IQF, gewürfelt 4 mm</t>
        </is>
      </c>
      <c r="X465" s="151" t="inlineStr">
        <is>
          <t>PHF-00-139238-1</t>
        </is>
      </c>
      <c r="Y465" s="151" t="inlineStr">
        <is>
          <t>2,32</t>
        </is>
      </c>
      <c r="Z465" s="149" t="inlineStr">
        <is>
          <t>2,32</t>
        </is>
      </c>
      <c r="AA465" s="151" t="inlineStr">
        <is>
          <t>grams</t>
        </is>
      </c>
      <c r="AB465" s="151" t="inlineStr">
        <is>
          <t>SCHWEFELDIOXIDE UND SULFITE</t>
        </is>
      </c>
      <c r="AC465" s="151" t="n"/>
      <c r="AD465" s="150" t="n">
        <v>0.91418</v>
      </c>
      <c r="AE465" s="149" t="n">
        <v>2.32</v>
      </c>
      <c r="AF465" s="151" t="inlineStr">
        <is>
          <t>grams</t>
        </is>
      </c>
      <c r="AG465" s="151" t="n"/>
      <c r="AH465" s="151" t="n"/>
    </row>
    <row r="466">
      <c r="A466" s="151" t="inlineStr">
        <is>
          <t>FV0472A - Indian Butter Chicken [BNL]</t>
        </is>
      </c>
      <c r="B466" s="151" t="inlineStr">
        <is>
          <t>REC-013852-4-003</t>
        </is>
      </c>
      <c r="C466" s="151" t="inlineStr">
        <is>
          <t>Sauce - Butter Chicken sauce</t>
        </is>
      </c>
      <c r="D466" s="151" t="inlineStr">
        <is>
          <t>SUB-013851-4-001</t>
        </is>
      </c>
      <c r="E466" s="150" t="n">
        <v>115</v>
      </c>
      <c r="F466" s="151" t="inlineStr">
        <is>
          <t>grams</t>
        </is>
      </c>
      <c r="G466" s="151" t="inlineStr">
        <is>
          <t>BLAST CHILLER, BRAISER, IMMERSION BLENDER, SPICE PORTIONING</t>
        </is>
      </c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inlineStr">
        <is>
          <t>FA-DE Tomatoes, Crushed /Tomaten, zerkleinert</t>
        </is>
      </c>
      <c r="X466" s="151" t="inlineStr">
        <is>
          <t>PRO-00-139294-5</t>
        </is>
      </c>
      <c r="Y466" s="151" t="inlineStr">
        <is>
          <t>41,79</t>
        </is>
      </c>
      <c r="Z466" s="149" t="inlineStr">
        <is>
          <t>41,79</t>
        </is>
      </c>
      <c r="AA466" s="151" t="inlineStr">
        <is>
          <t>grams</t>
        </is>
      </c>
      <c r="AB466" s="151" t="n"/>
      <c r="AC466" s="151" t="n"/>
      <c r="AD466" s="150" t="n">
        <v>0.91418</v>
      </c>
      <c r="AE466" s="149" t="n">
        <v>41.79</v>
      </c>
      <c r="AF466" s="151" t="inlineStr">
        <is>
          <t>grams</t>
        </is>
      </c>
      <c r="AG466" s="151" t="n"/>
      <c r="AH466" s="151" t="n"/>
    </row>
    <row r="467">
      <c r="A467" s="151" t="inlineStr">
        <is>
          <t>FV0472A - Indian Butter Chicken [BNL]</t>
        </is>
      </c>
      <c r="B467" s="151" t="inlineStr">
        <is>
          <t>REC-013852-4-003</t>
        </is>
      </c>
      <c r="C467" s="151" t="inlineStr">
        <is>
          <t>Sauce - Butter Chicken sauce</t>
        </is>
      </c>
      <c r="D467" s="151" t="inlineStr">
        <is>
          <t>SUB-013851-4-001</t>
        </is>
      </c>
      <c r="E467" s="150" t="n">
        <v>115</v>
      </c>
      <c r="F467" s="151" t="inlineStr">
        <is>
          <t>grams</t>
        </is>
      </c>
      <c r="G467" s="151" t="inlineStr">
        <is>
          <t>BLAST CHILLER, BRAISER, IMMERSION BLENDER, SPICE PORTIONING</t>
        </is>
      </c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inlineStr">
        <is>
          <t>FA-DE Spice, Coriander Ground /Gewürz, gemahlener Koriander</t>
        </is>
      </c>
      <c r="X467" s="151" t="inlineStr">
        <is>
          <t>SPI-00-139386-5</t>
        </is>
      </c>
      <c r="Y467" s="151" t="inlineStr">
        <is>
          <t>0,29</t>
        </is>
      </c>
      <c r="Z467" s="149" t="inlineStr">
        <is>
          <t>0,29</t>
        </is>
      </c>
      <c r="AA467" s="151" t="inlineStr">
        <is>
          <t>grams</t>
        </is>
      </c>
      <c r="AB467" s="151" t="n"/>
      <c r="AC467" s="151" t="n"/>
      <c r="AD467" s="150" t="n">
        <v>0.91418</v>
      </c>
      <c r="AE467" s="149" t="n">
        <v>0.29</v>
      </c>
      <c r="AF467" s="151" t="inlineStr">
        <is>
          <t>grams</t>
        </is>
      </c>
      <c r="AG467" s="151" t="n"/>
      <c r="AH467" s="151" t="n"/>
    </row>
    <row r="468">
      <c r="A468" s="151" t="inlineStr">
        <is>
          <t>FV0472A - Indian Butter Chicken [BNL]</t>
        </is>
      </c>
      <c r="B468" s="151" t="inlineStr">
        <is>
          <t>REC-013852-4-003</t>
        </is>
      </c>
      <c r="C468" s="151" t="inlineStr">
        <is>
          <t>Sauce - Butter Chicken sauce</t>
        </is>
      </c>
      <c r="D468" s="151" t="inlineStr">
        <is>
          <t>SUB-013851-4-001</t>
        </is>
      </c>
      <c r="E468" s="150" t="n">
        <v>115</v>
      </c>
      <c r="F468" s="151" t="inlineStr">
        <is>
          <t>grams</t>
        </is>
      </c>
      <c r="G468" s="151" t="inlineStr">
        <is>
          <t>BLAST CHILLER, BRAISER, IMMERSION BLENDER, SPICE PORTIONING</t>
        </is>
      </c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inlineStr">
        <is>
          <t>FA-DE Heavy Cream 20% /Sahne 20%</t>
        </is>
      </c>
      <c r="X468" s="151" t="inlineStr">
        <is>
          <t>DAI-00-139137-3</t>
        </is>
      </c>
      <c r="Y468" s="151" t="inlineStr">
        <is>
          <t>32,8</t>
        </is>
      </c>
      <c r="Z468" s="149" t="inlineStr">
        <is>
          <t>32,8</t>
        </is>
      </c>
      <c r="AA468" s="151" t="inlineStr">
        <is>
          <t>grams</t>
        </is>
      </c>
      <c r="AB468" s="151" t="inlineStr">
        <is>
          <t>MILCH (EINSCHLIESSLICH LAKTOSE)</t>
        </is>
      </c>
      <c r="AC468" s="151" t="n"/>
      <c r="AD468" s="150" t="n">
        <v>0.91418</v>
      </c>
      <c r="AE468" s="149" t="n">
        <v>32.8</v>
      </c>
      <c r="AF468" s="151" t="inlineStr">
        <is>
          <t>grams</t>
        </is>
      </c>
      <c r="AG468" s="151" t="n"/>
      <c r="AH468" s="151" t="n"/>
    </row>
    <row r="469">
      <c r="A469" s="151" t="inlineStr">
        <is>
          <t>FV0472A - Indian Butter Chicken [BNL]</t>
        </is>
      </c>
      <c r="B469" s="151" t="inlineStr">
        <is>
          <t>REC-013852-4-003</t>
        </is>
      </c>
      <c r="C469" s="151" t="inlineStr">
        <is>
          <t>Roasted Green Onions</t>
        </is>
      </c>
      <c r="D469" s="151" t="inlineStr">
        <is>
          <t>SUB-023370-4-001</t>
        </is>
      </c>
      <c r="E469" s="150" t="n">
        <v>6</v>
      </c>
      <c r="F469" s="151" t="inlineStr">
        <is>
          <t>grams</t>
        </is>
      </c>
      <c r="G469" s="151" t="inlineStr">
        <is>
          <t>BLAST CHILLER, OVEN</t>
        </is>
      </c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inlineStr">
        <is>
          <t>FA-DE Onion, Green, Sliced 5mm /Zwiebel, grün, in Scheiben geschnitten, 5 mm</t>
        </is>
      </c>
      <c r="X469" s="151" t="inlineStr">
        <is>
          <t>PHF-00-149803-3</t>
        </is>
      </c>
      <c r="Y469" s="154" t="inlineStr">
        <is>
          <t>7,06</t>
        </is>
      </c>
      <c r="Z469" s="149" t="inlineStr">
        <is>
          <t>7,06</t>
        </is>
      </c>
      <c r="AA469" s="151" t="inlineStr">
        <is>
          <t>grams</t>
        </is>
      </c>
      <c r="AB469" s="151" t="n"/>
      <c r="AC469" s="151" t="n"/>
      <c r="AD469" s="150" t="n">
        <v>0.85</v>
      </c>
      <c r="AE469" s="149" t="n">
        <v>7.06</v>
      </c>
      <c r="AF469" s="151" t="inlineStr">
        <is>
          <t>grams</t>
        </is>
      </c>
      <c r="AG469" s="151" t="n"/>
      <c r="AH469" s="151" t="n"/>
    </row>
    <row r="470">
      <c r="A470" s="151" t="inlineStr">
        <is>
          <t>FV0472A - Indian Butter Chicken [BNL]</t>
        </is>
      </c>
      <c r="B470" s="151" t="inlineStr">
        <is>
          <t>REC-013852-4-003</t>
        </is>
      </c>
      <c r="C470" s="151" t="inlineStr">
        <is>
          <t>Cauliflower rice - Cilantro and Lime Cauliflower Rice - BA</t>
        </is>
      </c>
      <c r="D470" s="151" t="inlineStr">
        <is>
          <t>SUB-013733-4-001</t>
        </is>
      </c>
      <c r="E470" s="150" t="n">
        <v>120</v>
      </c>
      <c r="F470" s="151" t="inlineStr">
        <is>
          <t>grams</t>
        </is>
      </c>
      <c r="G470" s="151" t="inlineStr">
        <is>
          <t>BLAST CHILLER, OVEN</t>
        </is>
      </c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inlineStr">
        <is>
          <t>FA-DE Spice, Black Pepper, Ground /Gewürz, schwarzer Pfeffer, gemahlen</t>
        </is>
      </c>
      <c r="X470" s="151" t="inlineStr">
        <is>
          <t>SPI-00-139334-5</t>
        </is>
      </c>
      <c r="Y470" s="151" t="inlineStr">
        <is>
          <t>0,06</t>
        </is>
      </c>
      <c r="Z470" s="149" t="inlineStr">
        <is>
          <t>0,06</t>
        </is>
      </c>
      <c r="AA470" s="151" t="inlineStr">
        <is>
          <t>grams</t>
        </is>
      </c>
      <c r="AB470" s="151" t="n"/>
      <c r="AC470" s="151" t="n"/>
      <c r="AD470" s="150" t="n">
        <v>0.9301199999999999</v>
      </c>
      <c r="AE470" s="149" t="n">
        <v>0.06</v>
      </c>
      <c r="AF470" s="151" t="inlineStr">
        <is>
          <t>grams</t>
        </is>
      </c>
      <c r="AG470" s="151" t="n"/>
      <c r="AH470" s="151" t="n"/>
    </row>
    <row r="471">
      <c r="A471" s="151" t="inlineStr">
        <is>
          <t>FV0472A - Indian Butter Chicken [BNL]</t>
        </is>
      </c>
      <c r="B471" s="151" t="inlineStr">
        <is>
          <t>REC-013852-4-003</t>
        </is>
      </c>
      <c r="C471" s="151" t="inlineStr">
        <is>
          <t>Cauliflower rice - Cilantro and Lime Cauliflower Rice - BA</t>
        </is>
      </c>
      <c r="D471" s="151" t="inlineStr">
        <is>
          <t>SUB-013733-4-001</t>
        </is>
      </c>
      <c r="E471" s="150" t="n">
        <v>120</v>
      </c>
      <c r="F471" s="151" t="inlineStr">
        <is>
          <t>grams</t>
        </is>
      </c>
      <c r="G471" s="151" t="inlineStr">
        <is>
          <t>BLAST CHILLER, OVEN</t>
        </is>
      </c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inlineStr">
        <is>
          <t>FA-DE Juice, Lime /Saft, Limette</t>
        </is>
      </c>
      <c r="X471" s="151" t="inlineStr">
        <is>
          <t>PRO-00-139268-5</t>
        </is>
      </c>
      <c r="Y471" s="151" t="inlineStr">
        <is>
          <t>0,91</t>
        </is>
      </c>
      <c r="Z471" s="149" t="inlineStr">
        <is>
          <t>0,91</t>
        </is>
      </c>
      <c r="AA471" s="151" t="inlineStr">
        <is>
          <t>grams</t>
        </is>
      </c>
      <c r="AB471" s="151" t="n"/>
      <c r="AC471" s="151" t="n"/>
      <c r="AD471" s="150" t="n">
        <v>0.9301199999999999</v>
      </c>
      <c r="AE471" s="149" t="n">
        <v>0.91</v>
      </c>
      <c r="AF471" s="151" t="inlineStr">
        <is>
          <t>grams</t>
        </is>
      </c>
      <c r="AG471" s="151" t="n"/>
      <c r="AH471" s="151" t="n"/>
    </row>
    <row r="472">
      <c r="A472" s="151" t="inlineStr">
        <is>
          <t>FV0472A - Indian Butter Chicken [BNL]</t>
        </is>
      </c>
      <c r="B472" s="151" t="inlineStr">
        <is>
          <t>REC-013852-4-003</t>
        </is>
      </c>
      <c r="C472" s="151" t="inlineStr">
        <is>
          <t>Cauliflower rice - Cilantro and Lime Cauliflower Rice - BA</t>
        </is>
      </c>
      <c r="D472" s="151" t="inlineStr">
        <is>
          <t>SUB-013733-4-001</t>
        </is>
      </c>
      <c r="E472" s="150" t="n">
        <v>120</v>
      </c>
      <c r="F472" s="151" t="inlineStr">
        <is>
          <t>grams</t>
        </is>
      </c>
      <c r="G472" s="151" t="inlineStr">
        <is>
          <t>BLAST CHILLER, OVEN</t>
        </is>
      </c>
      <c r="H472" s="151" t="inlineStr">
        <is>
          <t>Roasted Garlic oil</t>
        </is>
      </c>
      <c r="I472" s="151" t="inlineStr">
        <is>
          <t>SUB-013367-4-002</t>
        </is>
      </c>
      <c r="J472" s="158" t="n">
        <v>9.07</v>
      </c>
      <c r="K472" s="151" t="inlineStr">
        <is>
          <t>grams</t>
        </is>
      </c>
      <c r="L472" s="151" t="inlineStr">
        <is>
          <t>BLAST CHILLER, OVEN</t>
        </is>
      </c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inlineStr">
        <is>
          <t>FA-DE Garlic, Peeled, Whole Cloves [10kg] /Knoblauch, geschält, ganze Nelken [10kg]</t>
        </is>
      </c>
      <c r="X472" s="151" t="inlineStr">
        <is>
          <t>PHF-00-139197-3</t>
        </is>
      </c>
      <c r="Y472" s="151" t="inlineStr">
        <is>
          <t>12,49</t>
        </is>
      </c>
      <c r="Z472" s="149" t="inlineStr">
        <is>
          <t>12,49</t>
        </is>
      </c>
      <c r="AA472" s="151" t="inlineStr">
        <is>
          <t>grams</t>
        </is>
      </c>
      <c r="AB472" s="151" t="n"/>
      <c r="AC472" s="151" t="n"/>
      <c r="AD472" s="150" t="n">
        <v>0.415</v>
      </c>
      <c r="AE472" s="149" t="n">
        <v>12.49</v>
      </c>
      <c r="AF472" s="151" t="inlineStr">
        <is>
          <t>grams</t>
        </is>
      </c>
      <c r="AG472" s="151" t="n"/>
      <c r="AH472" s="151" t="n"/>
    </row>
    <row r="473">
      <c r="A473" s="151" t="inlineStr">
        <is>
          <t>FV0472A - Indian Butter Chicken [BNL]</t>
        </is>
      </c>
      <c r="B473" s="151" t="inlineStr">
        <is>
          <t>REC-013852-4-003</t>
        </is>
      </c>
      <c r="C473" s="151" t="inlineStr">
        <is>
          <t>Cauliflower rice - Cilantro and Lime Cauliflower Rice - BA</t>
        </is>
      </c>
      <c r="D473" s="151" t="inlineStr">
        <is>
          <t>SUB-013733-4-001</t>
        </is>
      </c>
      <c r="E473" s="150" t="n">
        <v>120</v>
      </c>
      <c r="F473" s="151" t="inlineStr">
        <is>
          <t>grams</t>
        </is>
      </c>
      <c r="G473" s="151" t="inlineStr">
        <is>
          <t>BLAST CHILLER, OVEN</t>
        </is>
      </c>
      <c r="H473" s="151" t="inlineStr">
        <is>
          <t>Roasted Garlic oil</t>
        </is>
      </c>
      <c r="I473" s="151" t="inlineStr">
        <is>
          <t>SUB-013367-4-002</t>
        </is>
      </c>
      <c r="J473" s="158" t="n">
        <v>9.07</v>
      </c>
      <c r="K473" s="151" t="inlineStr">
        <is>
          <t>grams</t>
        </is>
      </c>
      <c r="L473" s="151" t="inlineStr">
        <is>
          <t>BLAST CHILLER, OVEN</t>
        </is>
      </c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inlineStr">
        <is>
          <t>FA-DE Oil, Olive /Öl, Olivenöl</t>
        </is>
      </c>
      <c r="X473" s="151" t="inlineStr">
        <is>
          <t>PRO-00-139277-5</t>
        </is>
      </c>
      <c r="Y473" s="151" t="inlineStr">
        <is>
          <t>9,37</t>
        </is>
      </c>
      <c r="Z473" s="149" t="inlineStr">
        <is>
          <t>9,37</t>
        </is>
      </c>
      <c r="AA473" s="151" t="inlineStr">
        <is>
          <t>grams</t>
        </is>
      </c>
      <c r="AB473" s="151" t="n"/>
      <c r="AC473" s="151" t="n"/>
      <c r="AD473" s="150" t="n">
        <v>0.415</v>
      </c>
      <c r="AE473" s="149" t="n">
        <v>9.369999999999999</v>
      </c>
      <c r="AF473" s="151" t="inlineStr">
        <is>
          <t>grams</t>
        </is>
      </c>
      <c r="AG473" s="151" t="n"/>
      <c r="AH473" s="151" t="n"/>
    </row>
    <row r="474">
      <c r="A474" s="151" t="inlineStr">
        <is>
          <t>FV0472A - Indian Butter Chicken [BNL]</t>
        </is>
      </c>
      <c r="B474" s="151" t="inlineStr">
        <is>
          <t>REC-013852-4-003</t>
        </is>
      </c>
      <c r="C474" s="151" t="inlineStr">
        <is>
          <t>Cauliflower rice - Cilantro and Lime Cauliflower Rice - BA</t>
        </is>
      </c>
      <c r="D474" s="151" t="inlineStr">
        <is>
          <t>SUB-013733-4-001</t>
        </is>
      </c>
      <c r="E474" s="150" t="n">
        <v>120</v>
      </c>
      <c r="F474" s="151" t="inlineStr">
        <is>
          <t>grams</t>
        </is>
      </c>
      <c r="G474" s="151" t="inlineStr">
        <is>
          <t>BLAST CHILLER, OVEN</t>
        </is>
      </c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inlineStr">
        <is>
          <t>FA-DE Spice, Sea Salt /Gewürze, Meersalz</t>
        </is>
      </c>
      <c r="X474" s="151" t="inlineStr">
        <is>
          <t>SPI-00-139378-5</t>
        </is>
      </c>
      <c r="Y474" s="151" t="inlineStr">
        <is>
          <t>0,43</t>
        </is>
      </c>
      <c r="Z474" s="149" t="inlineStr">
        <is>
          <t>0,43</t>
        </is>
      </c>
      <c r="AA474" s="151" t="inlineStr">
        <is>
          <t>grams</t>
        </is>
      </c>
      <c r="AB474" s="151" t="n"/>
      <c r="AC474" s="151" t="n"/>
      <c r="AD474" s="150" t="n">
        <v>0.9301199999999999</v>
      </c>
      <c r="AE474" s="149" t="n">
        <v>0.43</v>
      </c>
      <c r="AF474" s="151" t="inlineStr">
        <is>
          <t>grams</t>
        </is>
      </c>
      <c r="AG474" s="151" t="n"/>
      <c r="AH474" s="151" t="n"/>
    </row>
    <row r="475">
      <c r="A475" s="151" t="inlineStr">
        <is>
          <t>FV0472A - Indian Butter Chicken [BNL]</t>
        </is>
      </c>
      <c r="B475" s="151" t="inlineStr">
        <is>
          <t>REC-013852-4-003</t>
        </is>
      </c>
      <c r="C475" s="151" t="inlineStr">
        <is>
          <t>Cauliflower rice - Cilantro and Lime Cauliflower Rice - BA</t>
        </is>
      </c>
      <c r="D475" s="151" t="inlineStr">
        <is>
          <t>SUB-013733-4-001</t>
        </is>
      </c>
      <c r="E475" s="150" t="n">
        <v>120</v>
      </c>
      <c r="F475" s="151" t="inlineStr">
        <is>
          <t>grams</t>
        </is>
      </c>
      <c r="G475" s="151" t="inlineStr">
        <is>
          <t>BLAST CHILLER, OVEN</t>
        </is>
      </c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inlineStr">
        <is>
          <t>FA-DE Cauliflower, Riced, IQF /Blumenkohl, Reis, IQF</t>
        </is>
      </c>
      <c r="X475" s="151" t="inlineStr">
        <is>
          <t>PHF-00-139233-1</t>
        </is>
      </c>
      <c r="Y475" s="151" t="inlineStr">
        <is>
          <t>112,5</t>
        </is>
      </c>
      <c r="Z475" s="149" t="inlineStr">
        <is>
          <t>112,5</t>
        </is>
      </c>
      <c r="AA475" s="151" t="inlineStr">
        <is>
          <t>grams</t>
        </is>
      </c>
      <c r="AB475" s="151" t="n"/>
      <c r="AC475" s="151" t="n"/>
      <c r="AD475" s="150" t="n">
        <v>0.9301199999999999</v>
      </c>
      <c r="AE475" s="149" t="n">
        <v>112.5</v>
      </c>
      <c r="AF475" s="151" t="inlineStr">
        <is>
          <t>grams</t>
        </is>
      </c>
      <c r="AG475" s="151" t="n"/>
      <c r="AH475" s="151" t="n"/>
    </row>
    <row r="476">
      <c r="A476" s="151" t="inlineStr">
        <is>
          <t>FV0472A - Indian Butter Chicken [BNL]</t>
        </is>
      </c>
      <c r="B476" s="151" t="inlineStr">
        <is>
          <t>REC-013852-4-003</t>
        </is>
      </c>
      <c r="C476" s="151" t="inlineStr">
        <is>
          <t>Cauliflower rice - Cilantro and Lime Cauliflower Rice - BA</t>
        </is>
      </c>
      <c r="D476" s="151" t="inlineStr">
        <is>
          <t>SUB-013733-4-001</t>
        </is>
      </c>
      <c r="E476" s="150" t="n">
        <v>120</v>
      </c>
      <c r="F476" s="151" t="inlineStr">
        <is>
          <t>grams</t>
        </is>
      </c>
      <c r="G476" s="151" t="inlineStr">
        <is>
          <t>BLAST CHILLER, OVEN</t>
        </is>
      </c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inlineStr">
        <is>
          <t>FA-DE Coriander, Chopped /Koriander, gehackt</t>
        </is>
      </c>
      <c r="X476" s="151" t="inlineStr">
        <is>
          <t>PHF-00-139192-3</t>
        </is>
      </c>
      <c r="Y476" s="151" t="inlineStr">
        <is>
          <t>6,05</t>
        </is>
      </c>
      <c r="Z476" s="149" t="inlineStr">
        <is>
          <t>6,05</t>
        </is>
      </c>
      <c r="AA476" s="151" t="inlineStr">
        <is>
          <t>grams</t>
        </is>
      </c>
      <c r="AB476" s="151" t="n"/>
      <c r="AC476" s="151" t="n"/>
      <c r="AD476" s="150" t="n">
        <v>0.9301199999999999</v>
      </c>
      <c r="AE476" s="149" t="n">
        <v>6.05</v>
      </c>
      <c r="AF476" s="151" t="inlineStr">
        <is>
          <t>grams</t>
        </is>
      </c>
      <c r="AG476" s="151" t="n"/>
      <c r="AH476" s="151" t="n"/>
    </row>
    <row r="477">
      <c r="A477" s="151" t="inlineStr">
        <is>
          <t>FV0472A - Indian Butter Chicken [DE]</t>
        </is>
      </c>
      <c r="B477" s="151" t="inlineStr">
        <is>
          <t>REC-013852-4-002</t>
        </is>
      </c>
      <c r="C477" s="151" t="inlineStr">
        <is>
          <t>Diced chicken - Butter Chicken Batch - BA</t>
        </is>
      </c>
      <c r="D477" s="151" t="inlineStr">
        <is>
          <t>SUB-013850-4-001</t>
        </is>
      </c>
      <c r="E477" s="150" t="n">
        <v>115</v>
      </c>
      <c r="F477" s="151" t="inlineStr">
        <is>
          <t>grams</t>
        </is>
      </c>
      <c r="G477" s="151" t="inlineStr">
        <is>
          <t>BLAST CHILLER, MARINADE, OVEN</t>
        </is>
      </c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inlineStr">
        <is>
          <t>FA-DE Spice, Chili Powder /Gewürz, Chilipulver</t>
        </is>
      </c>
      <c r="X477" s="151" t="inlineStr">
        <is>
          <t>SPI-00-139340-5</t>
        </is>
      </c>
      <c r="Y477" s="151" t="inlineStr">
        <is>
          <t>0,17</t>
        </is>
      </c>
      <c r="Z477" s="149" t="inlineStr">
        <is>
          <t>0,17</t>
        </is>
      </c>
      <c r="AA477" s="151" t="inlineStr">
        <is>
          <t>grams</t>
        </is>
      </c>
      <c r="AB477" s="151" t="n"/>
      <c r="AC477" s="151" t="n"/>
      <c r="AD477" s="150" t="n">
        <v>0.81911</v>
      </c>
      <c r="AE477" s="149" t="n">
        <v>0.17</v>
      </c>
      <c r="AF477" s="151" t="inlineStr">
        <is>
          <t>grams</t>
        </is>
      </c>
      <c r="AG477" s="151" t="n"/>
      <c r="AH477" s="151" t="n"/>
    </row>
    <row r="478">
      <c r="A478" s="151" t="inlineStr">
        <is>
          <t>FV0472A - Indian Butter Chicken [DE]</t>
        </is>
      </c>
      <c r="B478" s="151" t="inlineStr">
        <is>
          <t>REC-013852-4-002</t>
        </is>
      </c>
      <c r="C478" s="151" t="inlineStr">
        <is>
          <t>Diced chicken - Butter Chicken Batch - BA</t>
        </is>
      </c>
      <c r="D478" s="151" t="inlineStr">
        <is>
          <t>SUB-013850-4-001</t>
        </is>
      </c>
      <c r="E478" s="150" t="n">
        <v>115</v>
      </c>
      <c r="F478" s="151" t="inlineStr">
        <is>
          <t>grams</t>
        </is>
      </c>
      <c r="G478" s="151" t="inlineStr">
        <is>
          <t>BLAST CHILLER, MARINADE, OVEN</t>
        </is>
      </c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inlineStr">
        <is>
          <t>FA-DE Spice, Turmeric /Gewürz, Kurkuma</t>
        </is>
      </c>
      <c r="X478" s="151" t="inlineStr">
        <is>
          <t>SPI-00-139384-5</t>
        </is>
      </c>
      <c r="Y478" s="151" t="inlineStr">
        <is>
          <t>0,37</t>
        </is>
      </c>
      <c r="Z478" s="149" t="inlineStr">
        <is>
          <t>0,37</t>
        </is>
      </c>
      <c r="AA478" s="151" t="inlineStr">
        <is>
          <t>grams</t>
        </is>
      </c>
      <c r="AB478" s="151" t="n"/>
      <c r="AC478" s="151" t="n"/>
      <c r="AD478" s="150" t="n">
        <v>0.81911</v>
      </c>
      <c r="AE478" s="149" t="n">
        <v>0.37</v>
      </c>
      <c r="AF478" s="151" t="inlineStr">
        <is>
          <t>grams</t>
        </is>
      </c>
      <c r="AG478" s="151" t="n"/>
      <c r="AH478" s="151" t="n"/>
    </row>
    <row r="479">
      <c r="A479" s="151" t="inlineStr">
        <is>
          <t>FV0472A - Indian Butter Chicken [DE]</t>
        </is>
      </c>
      <c r="B479" s="151" t="inlineStr">
        <is>
          <t>REC-013852-4-002</t>
        </is>
      </c>
      <c r="C479" s="151" t="inlineStr">
        <is>
          <t>Diced chicken - Butter Chicken Batch - BA</t>
        </is>
      </c>
      <c r="D479" s="151" t="inlineStr">
        <is>
          <t>SUB-013850-4-001</t>
        </is>
      </c>
      <c r="E479" s="150" t="n">
        <v>115</v>
      </c>
      <c r="F479" s="151" t="inlineStr">
        <is>
          <t>grams</t>
        </is>
      </c>
      <c r="G479" s="151" t="inlineStr">
        <is>
          <t>BLAST CHILLER, MARINADE, OVEN</t>
        </is>
      </c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inlineStr">
        <is>
          <t>FA-DE Spice, Sea Salt /Gewürze, Meersalz</t>
        </is>
      </c>
      <c r="X479" s="151" t="inlineStr">
        <is>
          <t>SPI-00-139378-5</t>
        </is>
      </c>
      <c r="Y479" s="151" t="inlineStr">
        <is>
          <t>0,23</t>
        </is>
      </c>
      <c r="Z479" s="149" t="inlineStr">
        <is>
          <t>0,23</t>
        </is>
      </c>
      <c r="AA479" s="151" t="inlineStr">
        <is>
          <t>grams</t>
        </is>
      </c>
      <c r="AB479" s="151" t="n"/>
      <c r="AC479" s="151" t="n"/>
      <c r="AD479" s="150" t="n">
        <v>0.81911</v>
      </c>
      <c r="AE479" s="149" t="n">
        <v>0.23</v>
      </c>
      <c r="AF479" s="151" t="inlineStr">
        <is>
          <t>grams</t>
        </is>
      </c>
      <c r="AG479" s="151" t="n"/>
      <c r="AH479" s="151" t="n"/>
    </row>
    <row r="480">
      <c r="A480" s="151" t="inlineStr">
        <is>
          <t>FV0472A - Indian Butter Chicken [DE]</t>
        </is>
      </c>
      <c r="B480" s="151" t="inlineStr">
        <is>
          <t>REC-013852-4-002</t>
        </is>
      </c>
      <c r="C480" s="151" t="inlineStr">
        <is>
          <t>Diced chicken - Butter Chicken Batch - BA</t>
        </is>
      </c>
      <c r="D480" s="151" t="inlineStr">
        <is>
          <t>SUB-013850-4-001</t>
        </is>
      </c>
      <c r="E480" s="150" t="n">
        <v>115</v>
      </c>
      <c r="F480" s="151" t="inlineStr">
        <is>
          <t>grams</t>
        </is>
      </c>
      <c r="G480" s="151" t="inlineStr">
        <is>
          <t>BLAST CHILLER, MARINADE, OVEN</t>
        </is>
      </c>
      <c r="H480" s="151" t="inlineStr">
        <is>
          <t>Factor Garam Masala Spice Blend</t>
        </is>
      </c>
      <c r="I480" s="151" t="inlineStr">
        <is>
          <t>SUB-013507-4-001</t>
        </is>
      </c>
      <c r="J480" s="150" t="n">
        <v>0.92</v>
      </c>
      <c r="K480" s="151" t="inlineStr">
        <is>
          <t>grams</t>
        </is>
      </c>
      <c r="L480" s="151" t="inlineStr">
        <is>
          <t>HAND MIX, SPICE PORTIONING</t>
        </is>
      </c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inlineStr">
        <is>
          <t>FA-DE Spice, Fennel Ground /Gewürz, Fenchel gemahlen</t>
        </is>
      </c>
      <c r="X480" s="151" t="inlineStr">
        <is>
          <t>SPI-00-139351-5</t>
        </is>
      </c>
      <c r="Y480" s="151" t="inlineStr">
        <is>
          <t>0,03</t>
        </is>
      </c>
      <c r="Z480" s="149" t="inlineStr">
        <is>
          <t>0,03</t>
        </is>
      </c>
      <c r="AA480" s="151" t="inlineStr">
        <is>
          <t>grams</t>
        </is>
      </c>
      <c r="AB480" s="151" t="n"/>
      <c r="AC480" s="151" t="n"/>
      <c r="AD480" s="150" t="n">
        <v>0.98</v>
      </c>
      <c r="AE480" s="149" t="n">
        <v>0.03</v>
      </c>
      <c r="AF480" s="151" t="inlineStr">
        <is>
          <t>grams</t>
        </is>
      </c>
      <c r="AG480" s="151" t="n"/>
      <c r="AH480" s="151" t="n"/>
    </row>
    <row r="481">
      <c r="A481" s="151" t="inlineStr">
        <is>
          <t>FV0472A - Indian Butter Chicken [DE]</t>
        </is>
      </c>
      <c r="B481" s="151" t="inlineStr">
        <is>
          <t>REC-013852-4-002</t>
        </is>
      </c>
      <c r="C481" s="151" t="inlineStr">
        <is>
          <t>Diced chicken - Butter Chicken Batch - BA</t>
        </is>
      </c>
      <c r="D481" s="151" t="inlineStr">
        <is>
          <t>SUB-013850-4-001</t>
        </is>
      </c>
      <c r="E481" s="150" t="n">
        <v>115</v>
      </c>
      <c r="F481" s="151" t="inlineStr">
        <is>
          <t>grams</t>
        </is>
      </c>
      <c r="G481" s="151" t="inlineStr">
        <is>
          <t>BLAST CHILLER, MARINADE, OVEN</t>
        </is>
      </c>
      <c r="H481" s="151" t="inlineStr">
        <is>
          <t>Factor Garam Masala Spice Blend</t>
        </is>
      </c>
      <c r="I481" s="151" t="inlineStr">
        <is>
          <t>SUB-013507-4-001</t>
        </is>
      </c>
      <c r="J481" s="150" t="n">
        <v>0.92</v>
      </c>
      <c r="K481" s="151" t="inlineStr">
        <is>
          <t>grams</t>
        </is>
      </c>
      <c r="L481" s="151" t="inlineStr">
        <is>
          <t>HAND MIX, SPICE PORTIONING</t>
        </is>
      </c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inlineStr">
        <is>
          <t>FA-DE Spice, Nutmeg Ground /Gewürz, gemahlene Muskatnuss</t>
        </is>
      </c>
      <c r="X481" s="151" t="inlineStr">
        <is>
          <t>SPI-00-139368-5</t>
        </is>
      </c>
      <c r="Y481" s="151" t="inlineStr">
        <is>
          <t>0,06</t>
        </is>
      </c>
      <c r="Z481" s="149" t="inlineStr">
        <is>
          <t>0,06</t>
        </is>
      </c>
      <c r="AA481" s="151" t="inlineStr">
        <is>
          <t>grams</t>
        </is>
      </c>
      <c r="AB481" s="151" t="n"/>
      <c r="AC481" s="151" t="n"/>
      <c r="AD481" s="150" t="n">
        <v>0.98</v>
      </c>
      <c r="AE481" s="149" t="n">
        <v>0.06</v>
      </c>
      <c r="AF481" s="151" t="inlineStr">
        <is>
          <t>grams</t>
        </is>
      </c>
      <c r="AG481" s="151" t="n"/>
      <c r="AH481" s="151" t="n"/>
    </row>
    <row r="482">
      <c r="A482" s="151" t="inlineStr">
        <is>
          <t>FV0472A - Indian Butter Chicken [DE]</t>
        </is>
      </c>
      <c r="B482" s="151" t="inlineStr">
        <is>
          <t>REC-013852-4-002</t>
        </is>
      </c>
      <c r="C482" s="151" t="inlineStr">
        <is>
          <t>Diced chicken - Butter Chicken Batch - BA</t>
        </is>
      </c>
      <c r="D482" s="151" t="inlineStr">
        <is>
          <t>SUB-013850-4-001</t>
        </is>
      </c>
      <c r="E482" s="150" t="n">
        <v>115</v>
      </c>
      <c r="F482" s="151" t="inlineStr">
        <is>
          <t>grams</t>
        </is>
      </c>
      <c r="G482" s="151" t="inlineStr">
        <is>
          <t>BLAST CHILLER, MARINADE, OVEN</t>
        </is>
      </c>
      <c r="H482" s="151" t="inlineStr">
        <is>
          <t>Factor Garam Masala Spice Blend</t>
        </is>
      </c>
      <c r="I482" s="151" t="inlineStr">
        <is>
          <t>SUB-013507-4-001</t>
        </is>
      </c>
      <c r="J482" s="150" t="n">
        <v>0.92</v>
      </c>
      <c r="K482" s="151" t="inlineStr">
        <is>
          <t>grams</t>
        </is>
      </c>
      <c r="L482" s="151" t="inlineStr">
        <is>
          <t>HAND MIX, SPICE PORTIONING</t>
        </is>
      </c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inlineStr">
        <is>
          <t>FA-DE Spice, Coriander Ground /Gewürz, gemahlener Koriander</t>
        </is>
      </c>
      <c r="X482" s="151" t="inlineStr">
        <is>
          <t>SPI-00-139386-5</t>
        </is>
      </c>
      <c r="Y482" s="151" t="inlineStr">
        <is>
          <t>0,18</t>
        </is>
      </c>
      <c r="Z482" s="149" t="inlineStr">
        <is>
          <t>0,18</t>
        </is>
      </c>
      <c r="AA482" s="151" t="inlineStr">
        <is>
          <t>grams</t>
        </is>
      </c>
      <c r="AB482" s="151" t="n"/>
      <c r="AC482" s="151" t="n"/>
      <c r="AD482" s="150" t="n">
        <v>0.98</v>
      </c>
      <c r="AE482" s="149" t="n">
        <v>0.18</v>
      </c>
      <c r="AF482" s="151" t="inlineStr">
        <is>
          <t>grams</t>
        </is>
      </c>
      <c r="AG482" s="151" t="n"/>
      <c r="AH482" s="151" t="n"/>
    </row>
    <row r="483">
      <c r="A483" s="151" t="inlineStr">
        <is>
          <t>FV0472A - Indian Butter Chicken [DE]</t>
        </is>
      </c>
      <c r="B483" s="151" t="inlineStr">
        <is>
          <t>REC-013852-4-002</t>
        </is>
      </c>
      <c r="C483" s="151" t="inlineStr">
        <is>
          <t>Diced chicken - Butter Chicken Batch - BA</t>
        </is>
      </c>
      <c r="D483" s="151" t="inlineStr">
        <is>
          <t>SUB-013850-4-001</t>
        </is>
      </c>
      <c r="E483" s="150" t="n">
        <v>115</v>
      </c>
      <c r="F483" s="151" t="inlineStr">
        <is>
          <t>grams</t>
        </is>
      </c>
      <c r="G483" s="151" t="inlineStr">
        <is>
          <t>BLAST CHILLER, MARINADE, OVEN</t>
        </is>
      </c>
      <c r="H483" s="151" t="inlineStr">
        <is>
          <t>Factor Garam Masala Spice Blend</t>
        </is>
      </c>
      <c r="I483" s="151" t="inlineStr">
        <is>
          <t>SUB-013507-4-001</t>
        </is>
      </c>
      <c r="J483" s="150" t="n">
        <v>0.92</v>
      </c>
      <c r="K483" s="151" t="inlineStr">
        <is>
          <t>grams</t>
        </is>
      </c>
      <c r="L483" s="151" t="inlineStr">
        <is>
          <t>HAND MIX, SPICE PORTIONING</t>
        </is>
      </c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inlineStr">
        <is>
          <t>FA-DE Spice, Cinnamon Ground /Gewürz, gemahlener Zimt</t>
        </is>
      </c>
      <c r="X483" s="151" t="inlineStr">
        <is>
          <t>SPI-00-139341-5</t>
        </is>
      </c>
      <c r="Y483" s="151" t="inlineStr">
        <is>
          <t>0,12</t>
        </is>
      </c>
      <c r="Z483" s="149" t="inlineStr">
        <is>
          <t>0,12</t>
        </is>
      </c>
      <c r="AA483" s="151" t="inlineStr">
        <is>
          <t>grams</t>
        </is>
      </c>
      <c r="AB483" s="151" t="n"/>
      <c r="AC483" s="151" t="n"/>
      <c r="AD483" s="150" t="n">
        <v>0.98</v>
      </c>
      <c r="AE483" s="149" t="n">
        <v>0.12</v>
      </c>
      <c r="AF483" s="151" t="inlineStr">
        <is>
          <t>grams</t>
        </is>
      </c>
      <c r="AG483" s="151" t="n"/>
      <c r="AH483" s="151" t="n"/>
    </row>
    <row r="484">
      <c r="A484" s="151" t="inlineStr">
        <is>
          <t>FV0472A - Indian Butter Chicken [DE]</t>
        </is>
      </c>
      <c r="B484" s="151" t="inlineStr">
        <is>
          <t>REC-013852-4-002</t>
        </is>
      </c>
      <c r="C484" s="151" t="inlineStr">
        <is>
          <t>Diced chicken - Butter Chicken Batch - BA</t>
        </is>
      </c>
      <c r="D484" s="151" t="inlineStr">
        <is>
          <t>SUB-013850-4-001</t>
        </is>
      </c>
      <c r="E484" s="150" t="n">
        <v>115</v>
      </c>
      <c r="F484" s="151" t="inlineStr">
        <is>
          <t>grams</t>
        </is>
      </c>
      <c r="G484" s="151" t="inlineStr">
        <is>
          <t>BLAST CHILLER, MARINADE, OVEN</t>
        </is>
      </c>
      <c r="H484" s="151" t="inlineStr">
        <is>
          <t>Factor Garam Masala Spice Blend</t>
        </is>
      </c>
      <c r="I484" s="151" t="inlineStr">
        <is>
          <t>SUB-013507-4-001</t>
        </is>
      </c>
      <c r="J484" s="150" t="n">
        <v>0.92</v>
      </c>
      <c r="K484" s="151" t="inlineStr">
        <is>
          <t>grams</t>
        </is>
      </c>
      <c r="L484" s="151" t="inlineStr">
        <is>
          <t>HAND MIX, SPICE PORTIONING</t>
        </is>
      </c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inlineStr">
        <is>
          <t>FA-DE Spice, Cumin Ground /Gewürz, gemahlener Kreuzkümmel</t>
        </is>
      </c>
      <c r="X484" s="151" t="inlineStr">
        <is>
          <t>SPI-00-139345-5</t>
        </is>
      </c>
      <c r="Y484" s="151" t="inlineStr">
        <is>
          <t>0,37</t>
        </is>
      </c>
      <c r="Z484" s="149" t="inlineStr">
        <is>
          <t>0,37</t>
        </is>
      </c>
      <c r="AA484" s="151" t="inlineStr">
        <is>
          <t>grams</t>
        </is>
      </c>
      <c r="AB484" s="151" t="n"/>
      <c r="AC484" s="151" t="n"/>
      <c r="AD484" s="150" t="n">
        <v>0.98</v>
      </c>
      <c r="AE484" s="149" t="n">
        <v>0.37</v>
      </c>
      <c r="AF484" s="151" t="inlineStr">
        <is>
          <t>grams</t>
        </is>
      </c>
      <c r="AG484" s="151" t="n"/>
      <c r="AH484" s="151" t="n"/>
    </row>
    <row r="485">
      <c r="A485" s="151" t="inlineStr">
        <is>
          <t>FV0472A - Indian Butter Chicken [DE]</t>
        </is>
      </c>
      <c r="B485" s="151" t="inlineStr">
        <is>
          <t>REC-013852-4-002</t>
        </is>
      </c>
      <c r="C485" s="151" t="inlineStr">
        <is>
          <t>Diced chicken - Butter Chicken Batch - BA</t>
        </is>
      </c>
      <c r="D485" s="151" t="inlineStr">
        <is>
          <t>SUB-013850-4-001</t>
        </is>
      </c>
      <c r="E485" s="150" t="n">
        <v>115</v>
      </c>
      <c r="F485" s="151" t="inlineStr">
        <is>
          <t>grams</t>
        </is>
      </c>
      <c r="G485" s="151" t="inlineStr">
        <is>
          <t>BLAST CHILLER, MARINADE, OVEN</t>
        </is>
      </c>
      <c r="H485" s="151" t="inlineStr">
        <is>
          <t>Factor Garam Masala Spice Blend</t>
        </is>
      </c>
      <c r="I485" s="151" t="inlineStr">
        <is>
          <t>SUB-013507-4-001</t>
        </is>
      </c>
      <c r="J485" s="150" t="n">
        <v>0.92</v>
      </c>
      <c r="K485" s="151" t="inlineStr">
        <is>
          <t>grams</t>
        </is>
      </c>
      <c r="L485" s="151" t="inlineStr">
        <is>
          <t>HAND MIX, SPICE PORTIONING</t>
        </is>
      </c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inlineStr">
        <is>
          <t>FA-DE Spice, Cloves Ground /Gewürze, gemahlene Nelken</t>
        </is>
      </c>
      <c r="X485" s="151" t="inlineStr">
        <is>
          <t>SPI-00-139342-5</t>
        </is>
      </c>
      <c r="Y485" s="151" t="inlineStr">
        <is>
          <t>0,06</t>
        </is>
      </c>
      <c r="Z485" s="149" t="inlineStr">
        <is>
          <t>0,06</t>
        </is>
      </c>
      <c r="AA485" s="151" t="inlineStr">
        <is>
          <t>grams</t>
        </is>
      </c>
      <c r="AB485" s="151" t="n"/>
      <c r="AC485" s="151" t="n"/>
      <c r="AD485" s="150" t="n">
        <v>0.98</v>
      </c>
      <c r="AE485" s="149" t="n">
        <v>0.06</v>
      </c>
      <c r="AF485" s="151" t="inlineStr">
        <is>
          <t>grams</t>
        </is>
      </c>
      <c r="AG485" s="151" t="n"/>
      <c r="AH485" s="151" t="n"/>
    </row>
    <row r="486">
      <c r="A486" s="151" t="inlineStr">
        <is>
          <t>FV0472A - Indian Butter Chicken [DE]</t>
        </is>
      </c>
      <c r="B486" s="151" t="inlineStr">
        <is>
          <t>REC-013852-4-002</t>
        </is>
      </c>
      <c r="C486" s="151" t="inlineStr">
        <is>
          <t>Diced chicken - Butter Chicken Batch - BA</t>
        </is>
      </c>
      <c r="D486" s="151" t="inlineStr">
        <is>
          <t>SUB-013850-4-001</t>
        </is>
      </c>
      <c r="E486" s="150" t="n">
        <v>115</v>
      </c>
      <c r="F486" s="151" t="inlineStr">
        <is>
          <t>grams</t>
        </is>
      </c>
      <c r="G486" s="151" t="inlineStr">
        <is>
          <t>BLAST CHILLER, MARINADE, OVEN</t>
        </is>
      </c>
      <c r="H486" s="151" t="inlineStr">
        <is>
          <t>Factor Garam Masala Spice Blend</t>
        </is>
      </c>
      <c r="I486" s="151" t="inlineStr">
        <is>
          <t>SUB-013507-4-001</t>
        </is>
      </c>
      <c r="J486" s="150" t="n">
        <v>0.92</v>
      </c>
      <c r="K486" s="151" t="inlineStr">
        <is>
          <t>grams</t>
        </is>
      </c>
      <c r="L486" s="151" t="inlineStr">
        <is>
          <t>HAND MIX, SPICE PORTIONING</t>
        </is>
      </c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inlineStr">
        <is>
          <t>FA-DE Spice, Black Pepper, Ground /Gewürz, schwarzer Pfeffer, gemahlen</t>
        </is>
      </c>
      <c r="X486" s="151" t="inlineStr">
        <is>
          <t>SPI-00-139334-5</t>
        </is>
      </c>
      <c r="Y486" s="151" t="inlineStr">
        <is>
          <t>0,09</t>
        </is>
      </c>
      <c r="Z486" s="149" t="inlineStr">
        <is>
          <t>0,09</t>
        </is>
      </c>
      <c r="AA486" s="151" t="inlineStr">
        <is>
          <t>grams</t>
        </is>
      </c>
      <c r="AB486" s="151" t="n"/>
      <c r="AC486" s="151" t="n"/>
      <c r="AD486" s="150" t="n">
        <v>0.98</v>
      </c>
      <c r="AE486" s="149" t="n">
        <v>0.09</v>
      </c>
      <c r="AF486" s="151" t="inlineStr">
        <is>
          <t>grams</t>
        </is>
      </c>
      <c r="AG486" s="151" t="n"/>
      <c r="AH486" s="151" t="n"/>
    </row>
    <row r="487">
      <c r="A487" s="151" t="inlineStr">
        <is>
          <t>FV0472A - Indian Butter Chicken [DE]</t>
        </is>
      </c>
      <c r="B487" s="151" t="inlineStr">
        <is>
          <t>REC-013852-4-002</t>
        </is>
      </c>
      <c r="C487" s="151" t="inlineStr">
        <is>
          <t>Diced chicken - Butter Chicken Batch - BA</t>
        </is>
      </c>
      <c r="D487" s="151" t="inlineStr">
        <is>
          <t>SUB-013850-4-001</t>
        </is>
      </c>
      <c r="E487" s="150" t="n">
        <v>115</v>
      </c>
      <c r="F487" s="151" t="inlineStr">
        <is>
          <t>grams</t>
        </is>
      </c>
      <c r="G487" s="151" t="inlineStr">
        <is>
          <t>BLAST CHILLER, MARINADE, OVEN</t>
        </is>
      </c>
      <c r="H487" s="151" t="inlineStr">
        <is>
          <t>Factor Garam Masala Spice Blend</t>
        </is>
      </c>
      <c r="I487" s="151" t="inlineStr">
        <is>
          <t>SUB-013507-4-001</t>
        </is>
      </c>
      <c r="J487" s="150" t="n">
        <v>0.92</v>
      </c>
      <c r="K487" s="151" t="inlineStr">
        <is>
          <t>grams</t>
        </is>
      </c>
      <c r="L487" s="151" t="inlineStr">
        <is>
          <t>HAND MIX, SPICE PORTIONING</t>
        </is>
      </c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inlineStr">
        <is>
          <t>FA-DE Spice, Turmeric /Gewürz, Kurkuma</t>
        </is>
      </c>
      <c r="X487" s="151" t="inlineStr">
        <is>
          <t>SPI-00-139384-5</t>
        </is>
      </c>
      <c r="Y487" s="151" t="inlineStr">
        <is>
          <t>0,03</t>
        </is>
      </c>
      <c r="Z487" s="149" t="inlineStr">
        <is>
          <t>0,03</t>
        </is>
      </c>
      <c r="AA487" s="151" t="inlineStr">
        <is>
          <t>grams</t>
        </is>
      </c>
      <c r="AB487" s="151" t="n"/>
      <c r="AC487" s="151" t="n"/>
      <c r="AD487" s="150" t="n">
        <v>0.98</v>
      </c>
      <c r="AE487" s="149" t="n">
        <v>0.03</v>
      </c>
      <c r="AF487" s="151" t="inlineStr">
        <is>
          <t>grams</t>
        </is>
      </c>
      <c r="AG487" s="151" t="n"/>
      <c r="AH487" s="151" t="n"/>
    </row>
    <row r="488">
      <c r="A488" s="151" t="inlineStr">
        <is>
          <t>FV0472A - Indian Butter Chicken [DE]</t>
        </is>
      </c>
      <c r="B488" s="151" t="inlineStr">
        <is>
          <t>REC-013852-4-002</t>
        </is>
      </c>
      <c r="C488" s="151" t="inlineStr">
        <is>
          <t>Diced chicken - Butter Chicken Batch - BA</t>
        </is>
      </c>
      <c r="D488" s="151" t="inlineStr">
        <is>
          <t>SUB-013850-4-001</t>
        </is>
      </c>
      <c r="E488" s="150" t="n">
        <v>115</v>
      </c>
      <c r="F488" s="151" t="inlineStr">
        <is>
          <t>grams</t>
        </is>
      </c>
      <c r="G488" s="151" t="inlineStr">
        <is>
          <t>BLAST CHILLER, MARINADE, OVEN</t>
        </is>
      </c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inlineStr">
        <is>
          <t>FA-DE Garlic, IQF, Diced 4 mm /Knoblauch, IQF, gewürfelt 4 mm</t>
        </is>
      </c>
      <c r="X488" s="151" t="inlineStr">
        <is>
          <t>PHF-00-139237-1</t>
        </is>
      </c>
      <c r="Y488" s="151" t="inlineStr">
        <is>
          <t>0,92</t>
        </is>
      </c>
      <c r="Z488" s="149" t="inlineStr">
        <is>
          <t>0,92</t>
        </is>
      </c>
      <c r="AA488" s="151" t="inlineStr">
        <is>
          <t>grams</t>
        </is>
      </c>
      <c r="AB488" s="151" t="inlineStr">
        <is>
          <t>SCHWEFELDIOXIDE UND SULFITE</t>
        </is>
      </c>
      <c r="AC488" s="151" t="n"/>
      <c r="AD488" s="150" t="n">
        <v>0.81911</v>
      </c>
      <c r="AE488" s="149" t="n">
        <v>0.92</v>
      </c>
      <c r="AF488" s="151" t="inlineStr">
        <is>
          <t>grams</t>
        </is>
      </c>
      <c r="AG488" s="151" t="n"/>
      <c r="AH488" s="151" t="n"/>
    </row>
    <row r="489">
      <c r="A489" s="151" t="inlineStr">
        <is>
          <t>FV0472A - Indian Butter Chicken [DE]</t>
        </is>
      </c>
      <c r="B489" s="151" t="inlineStr">
        <is>
          <t>REC-013852-4-002</t>
        </is>
      </c>
      <c r="C489" s="151" t="inlineStr">
        <is>
          <t>Diced chicken - Butter Chicken Batch - BA</t>
        </is>
      </c>
      <c r="D489" s="151" t="inlineStr">
        <is>
          <t>SUB-013850-4-001</t>
        </is>
      </c>
      <c r="E489" s="150" t="n">
        <v>115</v>
      </c>
      <c r="F489" s="151" t="inlineStr">
        <is>
          <t>grams</t>
        </is>
      </c>
      <c r="G489" s="151" t="inlineStr">
        <is>
          <t>BLAST CHILLER, MARINADE, OVEN</t>
        </is>
      </c>
      <c r="H489" s="151" t="inlineStr">
        <is>
          <t>Chicken CHUNKS - BRINED</t>
        </is>
      </c>
      <c r="I489" s="151" t="inlineStr">
        <is>
          <t>SUB-013451-4-001</t>
        </is>
      </c>
      <c r="J489" s="150" t="n">
        <v>128.29</v>
      </c>
      <c r="K489" s="151" t="inlineStr">
        <is>
          <t>grams</t>
        </is>
      </c>
      <c r="L489" s="151" t="inlineStr">
        <is>
          <t>BRINE</t>
        </is>
      </c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inlineStr">
        <is>
          <t>FA-DE Water / Wasser</t>
        </is>
      </c>
      <c r="X489" s="151" t="inlineStr">
        <is>
          <t>OTH-00-144038-5</t>
        </is>
      </c>
      <c r="Y489" s="151" t="inlineStr">
        <is>
          <t>128,29</t>
        </is>
      </c>
      <c r="Z489" s="149" t="inlineStr">
        <is>
          <t>128,29</t>
        </is>
      </c>
      <c r="AA489" s="151" t="inlineStr">
        <is>
          <t>grams</t>
        </is>
      </c>
      <c r="AB489" s="151" t="n"/>
      <c r="AC489" s="151" t="n"/>
      <c r="AD489" s="150" t="n">
        <v>0.4978</v>
      </c>
      <c r="AE489" s="149" t="n">
        <v>128.29</v>
      </c>
      <c r="AF489" s="151" t="inlineStr">
        <is>
          <t>grams</t>
        </is>
      </c>
      <c r="AG489" s="151" t="n"/>
      <c r="AH489" s="151" t="n"/>
    </row>
    <row r="490">
      <c r="A490" s="151" t="inlineStr">
        <is>
          <t>FV0472A - Indian Butter Chicken [DE]</t>
        </is>
      </c>
      <c r="B490" s="151" t="inlineStr">
        <is>
          <t>REC-013852-4-002</t>
        </is>
      </c>
      <c r="C490" s="151" t="inlineStr">
        <is>
          <t>Diced chicken - Butter Chicken Batch - BA</t>
        </is>
      </c>
      <c r="D490" s="151" t="inlineStr">
        <is>
          <t>SUB-013850-4-001</t>
        </is>
      </c>
      <c r="E490" s="150" t="n">
        <v>115</v>
      </c>
      <c r="F490" s="151" t="inlineStr">
        <is>
          <t>grams</t>
        </is>
      </c>
      <c r="G490" s="151" t="inlineStr">
        <is>
          <t>BLAST CHILLER, MARINADE, OVEN</t>
        </is>
      </c>
      <c r="H490" s="151" t="inlineStr">
        <is>
          <t>Chicken CHUNKS - BRINED</t>
        </is>
      </c>
      <c r="I490" s="151" t="inlineStr">
        <is>
          <t>SUB-013451-4-001</t>
        </is>
      </c>
      <c r="J490" s="150" t="n">
        <v>128.29</v>
      </c>
      <c r="K490" s="151" t="inlineStr">
        <is>
          <t>grams</t>
        </is>
      </c>
      <c r="L490" s="151" t="inlineStr">
        <is>
          <t>BRINE</t>
        </is>
      </c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inlineStr">
        <is>
          <t>FA-DE Spice, Sea Salt /Gewürze, Meersalz</t>
        </is>
      </c>
      <c r="X490" s="151" t="inlineStr">
        <is>
          <t>SPI-00-139378-5</t>
        </is>
      </c>
      <c r="Y490" s="153" t="inlineStr">
        <is>
          <t>1,13</t>
        </is>
      </c>
      <c r="Z490" s="149" t="inlineStr">
        <is>
          <t>1,13</t>
        </is>
      </c>
      <c r="AA490" s="151" t="inlineStr">
        <is>
          <t>grams</t>
        </is>
      </c>
      <c r="AB490" s="151" t="n"/>
      <c r="AC490" s="151" t="n"/>
      <c r="AD490" s="150" t="n">
        <v>0.4978</v>
      </c>
      <c r="AE490" s="149" t="n">
        <v>1.13</v>
      </c>
      <c r="AF490" s="151" t="inlineStr">
        <is>
          <t>grams</t>
        </is>
      </c>
      <c r="AG490" s="151" t="n"/>
      <c r="AH490" s="151" t="n"/>
    </row>
    <row r="491">
      <c r="A491" s="151" t="inlineStr">
        <is>
          <t>FV0472A - Indian Butter Chicken [DE]</t>
        </is>
      </c>
      <c r="B491" s="151" t="inlineStr">
        <is>
          <t>REC-013852-4-002</t>
        </is>
      </c>
      <c r="C491" s="151" t="inlineStr">
        <is>
          <t>Diced chicken - Butter Chicken Batch - BA</t>
        </is>
      </c>
      <c r="D491" s="151" t="inlineStr">
        <is>
          <t>SUB-013850-4-001</t>
        </is>
      </c>
      <c r="E491" s="150" t="n">
        <v>115</v>
      </c>
      <c r="F491" s="151" t="inlineStr">
        <is>
          <t>grams</t>
        </is>
      </c>
      <c r="G491" s="151" t="inlineStr">
        <is>
          <t>BLAST CHILLER, MARINADE, OVEN</t>
        </is>
      </c>
      <c r="H491" s="151" t="inlineStr">
        <is>
          <t>Chicken CHUNKS - BRINED</t>
        </is>
      </c>
      <c r="I491" s="151" t="inlineStr">
        <is>
          <t>SUB-013451-4-001</t>
        </is>
      </c>
      <c r="J491" s="150" t="n">
        <v>128.29</v>
      </c>
      <c r="K491" s="151" t="inlineStr">
        <is>
          <t>grams</t>
        </is>
      </c>
      <c r="L491" s="151" t="inlineStr">
        <is>
          <t>BRINE</t>
        </is>
      </c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inlineStr">
        <is>
          <t>FA-DE Chicken Breast, Chunked, Boneless Skinless /Hähnchenbrust, in Stücken, ohne Knochen und ohne Haut</t>
        </is>
      </c>
      <c r="X491" s="151" t="inlineStr">
        <is>
          <t>PTN-00-139314-3</t>
        </is>
      </c>
      <c r="Y491" s="151" t="inlineStr">
        <is>
          <t>128,29</t>
        </is>
      </c>
      <c r="Z491" s="149" t="inlineStr">
        <is>
          <t>128,29</t>
        </is>
      </c>
      <c r="AA491" s="151" t="inlineStr">
        <is>
          <t>grams</t>
        </is>
      </c>
      <c r="AB491" s="151" t="n"/>
      <c r="AC491" s="151" t="n"/>
      <c r="AD491" s="150" t="n">
        <v>0.4978</v>
      </c>
      <c r="AE491" s="149" t="n">
        <v>128.29</v>
      </c>
      <c r="AF491" s="151" t="inlineStr">
        <is>
          <t>grams</t>
        </is>
      </c>
      <c r="AG491" s="151" t="n"/>
      <c r="AH491" s="151" t="n"/>
    </row>
    <row r="492">
      <c r="A492" s="151" t="inlineStr">
        <is>
          <t>FV0472A - Indian Butter Chicken [DE]</t>
        </is>
      </c>
      <c r="B492" s="151" t="inlineStr">
        <is>
          <t>REC-013852-4-002</t>
        </is>
      </c>
      <c r="C492" s="151" t="inlineStr">
        <is>
          <t>Diced chicken - Butter Chicken Batch - BA</t>
        </is>
      </c>
      <c r="D492" s="151" t="inlineStr">
        <is>
          <t>SUB-013850-4-001</t>
        </is>
      </c>
      <c r="E492" s="150" t="n">
        <v>115</v>
      </c>
      <c r="F492" s="151" t="inlineStr">
        <is>
          <t>grams</t>
        </is>
      </c>
      <c r="G492" s="151" t="inlineStr">
        <is>
          <t>BLAST CHILLER, MARINADE, OVEN</t>
        </is>
      </c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inlineStr">
        <is>
          <t>FA-DE Yogurt, Greek, Plain /Joghurt, Griechisch, Natur</t>
        </is>
      </c>
      <c r="X492" s="151" t="inlineStr">
        <is>
          <t>DAI-00-139161-3</t>
        </is>
      </c>
      <c r="Y492" s="151" t="inlineStr">
        <is>
          <t>6,87</t>
        </is>
      </c>
      <c r="Z492" s="149" t="inlineStr">
        <is>
          <t>6,87</t>
        </is>
      </c>
      <c r="AA492" s="151" t="inlineStr">
        <is>
          <t>grams</t>
        </is>
      </c>
      <c r="AB492" s="151" t="inlineStr">
        <is>
          <t>MILCH (EINSCHLIESSLICH LAKTOSE)</t>
        </is>
      </c>
      <c r="AC492" s="151" t="n"/>
      <c r="AD492" s="150" t="n">
        <v>0.81911</v>
      </c>
      <c r="AE492" s="149" t="n">
        <v>6.87</v>
      </c>
      <c r="AF492" s="151" t="inlineStr">
        <is>
          <t>grams</t>
        </is>
      </c>
      <c r="AG492" s="151" t="n"/>
      <c r="AH492" s="151" t="n"/>
    </row>
    <row r="493">
      <c r="A493" s="151" t="inlineStr">
        <is>
          <t>FV0472A - Indian Butter Chicken [DE]</t>
        </is>
      </c>
      <c r="B493" s="151" t="inlineStr">
        <is>
          <t>REC-013852-4-002</t>
        </is>
      </c>
      <c r="C493" s="151" t="inlineStr">
        <is>
          <t>Diced chicken - Butter Chicken Batch - BA</t>
        </is>
      </c>
      <c r="D493" s="151" t="inlineStr">
        <is>
          <t>SUB-013850-4-001</t>
        </is>
      </c>
      <c r="E493" s="150" t="n">
        <v>115</v>
      </c>
      <c r="F493" s="151" t="inlineStr">
        <is>
          <t>grams</t>
        </is>
      </c>
      <c r="G493" s="151" t="inlineStr">
        <is>
          <t>BLAST CHILLER, MARINADE, OVEN</t>
        </is>
      </c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inlineStr">
        <is>
          <t>FA-DE Spice, Cumin Ground /Gewürz, gemahlener Kreuzkümmel</t>
        </is>
      </c>
      <c r="X493" s="151" t="inlineStr">
        <is>
          <t>SPI-00-139345-5</t>
        </is>
      </c>
      <c r="Y493" s="151" t="inlineStr">
        <is>
          <t>0,34</t>
        </is>
      </c>
      <c r="Z493" s="149" t="inlineStr">
        <is>
          <t>0,34</t>
        </is>
      </c>
      <c r="AA493" s="151" t="inlineStr">
        <is>
          <t>grams</t>
        </is>
      </c>
      <c r="AB493" s="151" t="n"/>
      <c r="AC493" s="151" t="n"/>
      <c r="AD493" s="150" t="n">
        <v>0.81911</v>
      </c>
      <c r="AE493" s="149" t="n">
        <v>0.34</v>
      </c>
      <c r="AF493" s="151" t="inlineStr">
        <is>
          <t>grams</t>
        </is>
      </c>
      <c r="AG493" s="151" t="n"/>
      <c r="AH493" s="151" t="n"/>
    </row>
    <row r="494">
      <c r="A494" s="151" t="inlineStr">
        <is>
          <t>FV0472A - Indian Butter Chicken [DE]</t>
        </is>
      </c>
      <c r="B494" s="151" t="inlineStr">
        <is>
          <t>REC-013852-4-002</t>
        </is>
      </c>
      <c r="C494" s="151" t="inlineStr">
        <is>
          <t>Diced chicken - Butter Chicken Batch - BA</t>
        </is>
      </c>
      <c r="D494" s="151" t="inlineStr">
        <is>
          <t>SUB-013850-4-001</t>
        </is>
      </c>
      <c r="E494" s="150" t="n">
        <v>115</v>
      </c>
      <c r="F494" s="151" t="inlineStr">
        <is>
          <t>grams</t>
        </is>
      </c>
      <c r="G494" s="151" t="inlineStr">
        <is>
          <t>BLAST CHILLER, MARINADE, OVEN</t>
        </is>
      </c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inlineStr">
        <is>
          <t>FA-DE Ginger, IQF, Diced 4 mm /Ingwer, IQF, gewürfelt 4 mm</t>
        </is>
      </c>
      <c r="X494" s="151" t="inlineStr">
        <is>
          <t>PHF-00-139238-1</t>
        </is>
      </c>
      <c r="Y494" s="151" t="inlineStr">
        <is>
          <t>2,29</t>
        </is>
      </c>
      <c r="Z494" s="149" t="inlineStr">
        <is>
          <t>2,29</t>
        </is>
      </c>
      <c r="AA494" s="151" t="inlineStr">
        <is>
          <t>grams</t>
        </is>
      </c>
      <c r="AB494" s="151" t="inlineStr">
        <is>
          <t>SCHWEFELDIOXIDE UND SULFITE</t>
        </is>
      </c>
      <c r="AC494" s="151" t="n"/>
      <c r="AD494" s="150" t="n">
        <v>0.81911</v>
      </c>
      <c r="AE494" s="149" t="n">
        <v>2.29</v>
      </c>
      <c r="AF494" s="151" t="inlineStr">
        <is>
          <t>grams</t>
        </is>
      </c>
      <c r="AG494" s="151" t="n"/>
      <c r="AH494" s="151" t="n"/>
    </row>
    <row r="495">
      <c r="A495" s="151" t="inlineStr">
        <is>
          <t>FV0472A - Indian Butter Chicken [DE]</t>
        </is>
      </c>
      <c r="B495" s="151" t="inlineStr">
        <is>
          <t>REC-013852-4-002</t>
        </is>
      </c>
      <c r="C495" s="151" t="inlineStr">
        <is>
          <t>Sauce - Butter Chicken sauce</t>
        </is>
      </c>
      <c r="D495" s="151" t="inlineStr">
        <is>
          <t>SUB-013851-4-001</t>
        </is>
      </c>
      <c r="E495" s="150" t="n">
        <v>115</v>
      </c>
      <c r="F495" s="151" t="inlineStr">
        <is>
          <t>grams</t>
        </is>
      </c>
      <c r="G495" s="151" t="inlineStr">
        <is>
          <t>BLAST CHILLER, BRAISER, IMMERSION BLENDER, SPICE PORTIONING</t>
        </is>
      </c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inlineStr">
        <is>
          <t>FA-DE Spice, Fenugreek Powder /Gewürz, Bockshornkleepulver</t>
        </is>
      </c>
      <c r="X495" s="151" t="inlineStr">
        <is>
          <t>SPI-00-154750-5</t>
        </is>
      </c>
      <c r="Y495" s="151" t="inlineStr">
        <is>
          <t>0,1</t>
        </is>
      </c>
      <c r="Z495" s="149" t="inlineStr">
        <is>
          <t>0,1</t>
        </is>
      </c>
      <c r="AA495" s="151" t="inlineStr">
        <is>
          <t>grams</t>
        </is>
      </c>
      <c r="AB495" s="151" t="n"/>
      <c r="AC495" s="151" t="n"/>
      <c r="AD495" s="150" t="n">
        <v>0.91418</v>
      </c>
      <c r="AE495" s="149" t="n">
        <v>0.1</v>
      </c>
      <c r="AF495" s="151" t="inlineStr">
        <is>
          <t>grams</t>
        </is>
      </c>
      <c r="AG495" s="151" t="n"/>
      <c r="AH495" s="151" t="n"/>
    </row>
    <row r="496">
      <c r="A496" s="151" t="inlineStr">
        <is>
          <t>FV0472A - Indian Butter Chicken [DE]</t>
        </is>
      </c>
      <c r="B496" s="151" t="inlineStr">
        <is>
          <t>REC-013852-4-002</t>
        </is>
      </c>
      <c r="C496" s="151" t="inlineStr">
        <is>
          <t>Sauce - Butter Chicken sauce</t>
        </is>
      </c>
      <c r="D496" s="151" t="inlineStr">
        <is>
          <t>SUB-013851-4-001</t>
        </is>
      </c>
      <c r="E496" s="150" t="n">
        <v>115</v>
      </c>
      <c r="F496" s="151" t="inlineStr">
        <is>
          <t>grams</t>
        </is>
      </c>
      <c r="G496" s="151" t="inlineStr">
        <is>
          <t>BLAST CHILLER, BRAISER, IMMERSION BLENDER, SPICE PORTIONING</t>
        </is>
      </c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inlineStr">
        <is>
          <t>FA-DE Garlic, IQF, Diced 4 mm /Knoblauch, IQF, gewürfelt 4 mm</t>
        </is>
      </c>
      <c r="X496" s="151" t="inlineStr">
        <is>
          <t>PHF-00-139237-1</t>
        </is>
      </c>
      <c r="Y496" s="154" t="inlineStr">
        <is>
          <t>3,09</t>
        </is>
      </c>
      <c r="Z496" s="149" t="inlineStr">
        <is>
          <t>3,09</t>
        </is>
      </c>
      <c r="AA496" s="151" t="inlineStr">
        <is>
          <t>grams</t>
        </is>
      </c>
      <c r="AB496" s="151" t="inlineStr">
        <is>
          <t>SCHWEFELDIOXIDE UND SULFITE</t>
        </is>
      </c>
      <c r="AC496" s="151" t="n"/>
      <c r="AD496" s="150" t="n">
        <v>0.91418</v>
      </c>
      <c r="AE496" s="149" t="n">
        <v>3.09</v>
      </c>
      <c r="AF496" s="151" t="inlineStr">
        <is>
          <t>grams</t>
        </is>
      </c>
      <c r="AG496" s="151" t="n"/>
      <c r="AH496" s="151" t="n"/>
    </row>
    <row r="497">
      <c r="A497" s="151" t="inlineStr">
        <is>
          <t>FV0472A - Indian Butter Chicken [DE]</t>
        </is>
      </c>
      <c r="B497" s="151" t="inlineStr">
        <is>
          <t>REC-013852-4-002</t>
        </is>
      </c>
      <c r="C497" s="151" t="inlineStr">
        <is>
          <t>Sauce - Butter Chicken sauce</t>
        </is>
      </c>
      <c r="D497" s="151" t="inlineStr">
        <is>
          <t>SUB-013851-4-001</t>
        </is>
      </c>
      <c r="E497" s="150" t="n">
        <v>115</v>
      </c>
      <c r="F497" s="151" t="inlineStr">
        <is>
          <t>grams</t>
        </is>
      </c>
      <c r="G497" s="151" t="inlineStr">
        <is>
          <t>BLAST CHILLER, BRAISER, IMMERSION BLENDER, SPICE PORTIONING</t>
        </is>
      </c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inlineStr">
        <is>
          <t>FA-DE Spice, Cumin Ground /Gewürz, gemahlener Kreuzkümmel</t>
        </is>
      </c>
      <c r="X497" s="151" t="inlineStr">
        <is>
          <t>SPI-00-139345-5</t>
        </is>
      </c>
      <c r="Y497" s="151" t="inlineStr">
        <is>
          <t>0,46</t>
        </is>
      </c>
      <c r="Z497" s="149" t="inlineStr">
        <is>
          <t>0,46</t>
        </is>
      </c>
      <c r="AA497" s="151" t="inlineStr">
        <is>
          <t>grams</t>
        </is>
      </c>
      <c r="AB497" s="151" t="n"/>
      <c r="AC497" s="151" t="n"/>
      <c r="AD497" s="150" t="n">
        <v>0.91418</v>
      </c>
      <c r="AE497" s="149" t="n">
        <v>0.46</v>
      </c>
      <c r="AF497" s="151" t="inlineStr">
        <is>
          <t>grams</t>
        </is>
      </c>
      <c r="AG497" s="151" t="n"/>
      <c r="AH497" s="151" t="n"/>
    </row>
    <row r="498">
      <c r="A498" s="151" t="inlineStr">
        <is>
          <t>FV0472A - Indian Butter Chicken [DE]</t>
        </is>
      </c>
      <c r="B498" s="151" t="inlineStr">
        <is>
          <t>REC-013852-4-002</t>
        </is>
      </c>
      <c r="C498" s="151" t="inlineStr">
        <is>
          <t>Sauce - Butter Chicken sauce</t>
        </is>
      </c>
      <c r="D498" s="151" t="inlineStr">
        <is>
          <t>SUB-013851-4-001</t>
        </is>
      </c>
      <c r="E498" s="150" t="n">
        <v>115</v>
      </c>
      <c r="F498" s="151" t="inlineStr">
        <is>
          <t>grams</t>
        </is>
      </c>
      <c r="G498" s="151" t="inlineStr">
        <is>
          <t>BLAST CHILLER, BRAISER, IMMERSION BLENDER, SPICE PORTIONING</t>
        </is>
      </c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inlineStr">
        <is>
          <t>FA-DE Butter, Unsalted /Butter, ungesalzen</t>
        </is>
      </c>
      <c r="X498" s="151" t="inlineStr">
        <is>
          <t>DAI-00-139146-3</t>
        </is>
      </c>
      <c r="Y498" s="151" t="inlineStr">
        <is>
          <t>18,52</t>
        </is>
      </c>
      <c r="Z498" s="149" t="inlineStr">
        <is>
          <t>18,52</t>
        </is>
      </c>
      <c r="AA498" s="151" t="inlineStr">
        <is>
          <t>grams</t>
        </is>
      </c>
      <c r="AB498" s="151" t="inlineStr">
        <is>
          <t>MILCH (EINSCHLIESSLICH LAKTOSE)</t>
        </is>
      </c>
      <c r="AC498" s="151" t="n"/>
      <c r="AD498" s="150" t="n">
        <v>0.91418</v>
      </c>
      <c r="AE498" s="149" t="n">
        <v>18.52</v>
      </c>
      <c r="AF498" s="151" t="inlineStr">
        <is>
          <t>grams</t>
        </is>
      </c>
      <c r="AG498" s="151" t="n"/>
      <c r="AH498" s="151" t="n"/>
    </row>
    <row r="499">
      <c r="A499" s="151" t="inlineStr">
        <is>
          <t>FV0472A - Indian Butter Chicken [DE]</t>
        </is>
      </c>
      <c r="B499" s="151" t="inlineStr">
        <is>
          <t>REC-013852-4-002</t>
        </is>
      </c>
      <c r="C499" s="151" t="inlineStr">
        <is>
          <t>Sauce - Butter Chicken sauce</t>
        </is>
      </c>
      <c r="D499" s="151" t="inlineStr">
        <is>
          <t>SUB-013851-4-001</t>
        </is>
      </c>
      <c r="E499" s="150" t="n">
        <v>115</v>
      </c>
      <c r="F499" s="151" t="inlineStr">
        <is>
          <t>grams</t>
        </is>
      </c>
      <c r="G499" s="151" t="inlineStr">
        <is>
          <t>BLAST CHILLER, BRAISER, IMMERSION BLENDER, SPICE PORTIONING</t>
        </is>
      </c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inlineStr">
        <is>
          <t>FA-DE Spice, Sea Salt /Gewürze, Meersalz</t>
        </is>
      </c>
      <c r="X499" s="151" t="inlineStr">
        <is>
          <t>SPI-00-139378-5</t>
        </is>
      </c>
      <c r="Y499" s="151" t="inlineStr">
        <is>
          <t>0,73</t>
        </is>
      </c>
      <c r="Z499" s="149" t="inlineStr">
        <is>
          <t>0,73</t>
        </is>
      </c>
      <c r="AA499" s="151" t="inlineStr">
        <is>
          <t>grams</t>
        </is>
      </c>
      <c r="AB499" s="151" t="n"/>
      <c r="AC499" s="151" t="n"/>
      <c r="AD499" s="150" t="n">
        <v>0.91418</v>
      </c>
      <c r="AE499" s="149" t="n">
        <v>0.73</v>
      </c>
      <c r="AF499" s="151" t="inlineStr">
        <is>
          <t>grams</t>
        </is>
      </c>
      <c r="AG499" s="151" t="n"/>
      <c r="AH499" s="151" t="n"/>
    </row>
    <row r="500">
      <c r="A500" s="151" t="inlineStr">
        <is>
          <t>FV0472A - Indian Butter Chicken [DE]</t>
        </is>
      </c>
      <c r="B500" s="151" t="inlineStr">
        <is>
          <t>REC-013852-4-002</t>
        </is>
      </c>
      <c r="C500" s="151" t="inlineStr">
        <is>
          <t>Sauce - Butter Chicken sauce</t>
        </is>
      </c>
      <c r="D500" s="151" t="inlineStr">
        <is>
          <t>SUB-013851-4-001</t>
        </is>
      </c>
      <c r="E500" s="150" t="n">
        <v>115</v>
      </c>
      <c r="F500" s="151" t="inlineStr">
        <is>
          <t>grams</t>
        </is>
      </c>
      <c r="G500" s="151" t="inlineStr">
        <is>
          <t>BLAST CHILLER, BRAISER, IMMERSION BLENDER, SPICE PORTIONING</t>
        </is>
      </c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inlineStr">
        <is>
          <t>FA-DE Spice, Chili Powder /Gewürz, Chilipulver</t>
        </is>
      </c>
      <c r="X500" s="151" t="inlineStr">
        <is>
          <t>SPI-00-139340-5</t>
        </is>
      </c>
      <c r="Y500" s="151" t="inlineStr">
        <is>
          <t>0,14</t>
        </is>
      </c>
      <c r="Z500" s="149" t="inlineStr">
        <is>
          <t>0,14</t>
        </is>
      </c>
      <c r="AA500" s="151" t="inlineStr">
        <is>
          <t>grams</t>
        </is>
      </c>
      <c r="AB500" s="151" t="n"/>
      <c r="AC500" s="151" t="n"/>
      <c r="AD500" s="150" t="n">
        <v>0.91418</v>
      </c>
      <c r="AE500" s="149" t="n">
        <v>0.14</v>
      </c>
      <c r="AF500" s="151" t="inlineStr">
        <is>
          <t>grams</t>
        </is>
      </c>
      <c r="AG500" s="151" t="n"/>
      <c r="AH500" s="151" t="n"/>
    </row>
    <row r="501">
      <c r="A501" s="151" t="inlineStr">
        <is>
          <t>FV0472A - Indian Butter Chicken [DE]</t>
        </is>
      </c>
      <c r="B501" s="151" t="inlineStr">
        <is>
          <t>REC-013852-4-002</t>
        </is>
      </c>
      <c r="C501" s="151" t="inlineStr">
        <is>
          <t>Sauce - Butter Chicken sauce</t>
        </is>
      </c>
      <c r="D501" s="151" t="inlineStr">
        <is>
          <t>SUB-013851-4-001</t>
        </is>
      </c>
      <c r="E501" s="150" t="n">
        <v>115</v>
      </c>
      <c r="F501" s="151" t="inlineStr">
        <is>
          <t>grams</t>
        </is>
      </c>
      <c r="G501" s="151" t="inlineStr">
        <is>
          <t>BLAST CHILLER, BRAISER, IMMERSION BLENDER, SPICE PORTIONING</t>
        </is>
      </c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inlineStr">
        <is>
          <t>FA-DE Onion, Spanish, Diced 5mm /Zwiebel, Spanisch, gewürfelt 5 mm</t>
        </is>
      </c>
      <c r="X501" s="151" t="inlineStr">
        <is>
          <t>PHF-00-139212-3</t>
        </is>
      </c>
      <c r="Y501" s="151" t="inlineStr">
        <is>
          <t>15,44</t>
        </is>
      </c>
      <c r="Z501" s="149" t="inlineStr">
        <is>
          <t>15,44</t>
        </is>
      </c>
      <c r="AA501" s="151" t="inlineStr">
        <is>
          <t>grams</t>
        </is>
      </c>
      <c r="AB501" s="151" t="n"/>
      <c r="AC501" s="151" t="n"/>
      <c r="AD501" s="150" t="n">
        <v>0.91418</v>
      </c>
      <c r="AE501" s="149" t="n">
        <v>15.44</v>
      </c>
      <c r="AF501" s="151" t="inlineStr">
        <is>
          <t>grams</t>
        </is>
      </c>
      <c r="AG501" s="151" t="n"/>
      <c r="AH501" s="151" t="n"/>
    </row>
    <row r="502">
      <c r="A502" s="151" t="inlineStr">
        <is>
          <t>FV0472A - Indian Butter Chicken [DE]</t>
        </is>
      </c>
      <c r="B502" s="151" t="inlineStr">
        <is>
          <t>REC-013852-4-002</t>
        </is>
      </c>
      <c r="C502" s="151" t="inlineStr">
        <is>
          <t>Sauce - Butter Chicken sauce</t>
        </is>
      </c>
      <c r="D502" s="151" t="inlineStr">
        <is>
          <t>SUB-013851-4-001</t>
        </is>
      </c>
      <c r="E502" s="150" t="n">
        <v>115</v>
      </c>
      <c r="F502" s="151" t="inlineStr">
        <is>
          <t>grams</t>
        </is>
      </c>
      <c r="G502" s="151" t="inlineStr">
        <is>
          <t>BLAST CHILLER, BRAISER, IMMERSION BLENDER, SPICE PORTIONING</t>
        </is>
      </c>
      <c r="H502" s="151" t="inlineStr">
        <is>
          <t>Factor Garam Masala Spice Blend</t>
        </is>
      </c>
      <c r="I502" s="151" t="inlineStr">
        <is>
          <t>SUB-013507-4-001</t>
        </is>
      </c>
      <c r="J502" s="150" t="n">
        <v>0.46</v>
      </c>
      <c r="K502" s="151" t="inlineStr">
        <is>
          <t>grams</t>
        </is>
      </c>
      <c r="L502" s="151" t="inlineStr">
        <is>
          <t>HAND MIX, SPICE PORTIONING</t>
        </is>
      </c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inlineStr">
        <is>
          <t>FA-DE Spice, Fennel Ground /Gewürz, Fenchel gemahlen</t>
        </is>
      </c>
      <c r="X502" s="151" t="inlineStr">
        <is>
          <t>SPI-00-139351-5</t>
        </is>
      </c>
      <c r="Y502" s="151" t="inlineStr">
        <is>
          <t>0,01</t>
        </is>
      </c>
      <c r="Z502" s="149" t="inlineStr">
        <is>
          <t>0,01</t>
        </is>
      </c>
      <c r="AA502" s="151" t="inlineStr">
        <is>
          <t>grams</t>
        </is>
      </c>
      <c r="AB502" s="151" t="n"/>
      <c r="AC502" s="151" t="n"/>
      <c r="AD502" s="150" t="n">
        <v>0.98</v>
      </c>
      <c r="AE502" s="149" t="n">
        <v>0.01</v>
      </c>
      <c r="AF502" s="151" t="inlineStr">
        <is>
          <t>grams</t>
        </is>
      </c>
      <c r="AG502" s="151" t="n"/>
      <c r="AH502" s="151" t="n"/>
    </row>
    <row r="503">
      <c r="A503" s="151" t="inlineStr">
        <is>
          <t>FV0472A - Indian Butter Chicken [DE]</t>
        </is>
      </c>
      <c r="B503" s="151" t="inlineStr">
        <is>
          <t>REC-013852-4-002</t>
        </is>
      </c>
      <c r="C503" s="151" t="inlineStr">
        <is>
          <t>Sauce - Butter Chicken sauce</t>
        </is>
      </c>
      <c r="D503" s="151" t="inlineStr">
        <is>
          <t>SUB-013851-4-001</t>
        </is>
      </c>
      <c r="E503" s="150" t="n">
        <v>115</v>
      </c>
      <c r="F503" s="151" t="inlineStr">
        <is>
          <t>grams</t>
        </is>
      </c>
      <c r="G503" s="151" t="inlineStr">
        <is>
          <t>BLAST CHILLER, BRAISER, IMMERSION BLENDER, SPICE PORTIONING</t>
        </is>
      </c>
      <c r="H503" s="151" t="inlineStr">
        <is>
          <t>Factor Garam Masala Spice Blend</t>
        </is>
      </c>
      <c r="I503" s="151" t="inlineStr">
        <is>
          <t>SUB-013507-4-001</t>
        </is>
      </c>
      <c r="J503" s="150" t="n">
        <v>0.46</v>
      </c>
      <c r="K503" s="151" t="inlineStr">
        <is>
          <t>grams</t>
        </is>
      </c>
      <c r="L503" s="151" t="inlineStr">
        <is>
          <t>HAND MIX, SPICE PORTIONING</t>
        </is>
      </c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inlineStr">
        <is>
          <t>FA-DE Spice, Nutmeg Ground /Gewürz, gemahlene Muskatnuss</t>
        </is>
      </c>
      <c r="X503" s="151" t="inlineStr">
        <is>
          <t>SPI-00-139368-5</t>
        </is>
      </c>
      <c r="Y503" s="151" t="inlineStr">
        <is>
          <t>0,03</t>
        </is>
      </c>
      <c r="Z503" s="149" t="inlineStr">
        <is>
          <t>0,03</t>
        </is>
      </c>
      <c r="AA503" s="151" t="inlineStr">
        <is>
          <t>grams</t>
        </is>
      </c>
      <c r="AB503" s="151" t="n"/>
      <c r="AC503" s="151" t="n"/>
      <c r="AD503" s="150" t="n">
        <v>0.98</v>
      </c>
      <c r="AE503" s="149" t="n">
        <v>0.03</v>
      </c>
      <c r="AF503" s="151" t="inlineStr">
        <is>
          <t>grams</t>
        </is>
      </c>
      <c r="AG503" s="151" t="n"/>
      <c r="AH503" s="151" t="n"/>
    </row>
    <row r="504">
      <c r="A504" s="151" t="inlineStr">
        <is>
          <t>FV0472A - Indian Butter Chicken [DE]</t>
        </is>
      </c>
      <c r="B504" s="151" t="inlineStr">
        <is>
          <t>REC-013852-4-002</t>
        </is>
      </c>
      <c r="C504" s="151" t="inlineStr">
        <is>
          <t>Sauce - Butter Chicken sauce</t>
        </is>
      </c>
      <c r="D504" s="151" t="inlineStr">
        <is>
          <t>SUB-013851-4-001</t>
        </is>
      </c>
      <c r="E504" s="150" t="n">
        <v>115</v>
      </c>
      <c r="F504" s="151" t="inlineStr">
        <is>
          <t>grams</t>
        </is>
      </c>
      <c r="G504" s="151" t="inlineStr">
        <is>
          <t>BLAST CHILLER, BRAISER, IMMERSION BLENDER, SPICE PORTIONING</t>
        </is>
      </c>
      <c r="H504" s="151" t="inlineStr">
        <is>
          <t>Factor Garam Masala Spice Blend</t>
        </is>
      </c>
      <c r="I504" s="151" t="inlineStr">
        <is>
          <t>SUB-013507-4-001</t>
        </is>
      </c>
      <c r="J504" s="150" t="n">
        <v>0.46</v>
      </c>
      <c r="K504" s="151" t="inlineStr">
        <is>
          <t>grams</t>
        </is>
      </c>
      <c r="L504" s="151" t="inlineStr">
        <is>
          <t>HAND MIX, SPICE PORTIONING</t>
        </is>
      </c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inlineStr">
        <is>
          <t>FA-DE Spice, Coriander Ground /Gewürz, gemahlener Koriander</t>
        </is>
      </c>
      <c r="X504" s="151" t="inlineStr">
        <is>
          <t>SPI-00-139386-5</t>
        </is>
      </c>
      <c r="Y504" s="151" t="inlineStr">
        <is>
          <t>0,09</t>
        </is>
      </c>
      <c r="Z504" s="149" t="inlineStr">
        <is>
          <t>0,09</t>
        </is>
      </c>
      <c r="AA504" s="151" t="inlineStr">
        <is>
          <t>grams</t>
        </is>
      </c>
      <c r="AB504" s="151" t="n"/>
      <c r="AC504" s="151" t="n"/>
      <c r="AD504" s="150" t="n">
        <v>0.98</v>
      </c>
      <c r="AE504" s="149" t="n">
        <v>0.09</v>
      </c>
      <c r="AF504" s="151" t="inlineStr">
        <is>
          <t>grams</t>
        </is>
      </c>
      <c r="AG504" s="151" t="n"/>
      <c r="AH504" s="151" t="n"/>
    </row>
    <row r="505">
      <c r="A505" s="151" t="inlineStr">
        <is>
          <t>FV0472A - Indian Butter Chicken [DE]</t>
        </is>
      </c>
      <c r="B505" s="151" t="inlineStr">
        <is>
          <t>REC-013852-4-002</t>
        </is>
      </c>
      <c r="C505" s="151" t="inlineStr">
        <is>
          <t>Sauce - Butter Chicken sauce</t>
        </is>
      </c>
      <c r="D505" s="151" t="inlineStr">
        <is>
          <t>SUB-013851-4-001</t>
        </is>
      </c>
      <c r="E505" s="150" t="n">
        <v>115</v>
      </c>
      <c r="F505" s="151" t="inlineStr">
        <is>
          <t>grams</t>
        </is>
      </c>
      <c r="G505" s="151" t="inlineStr">
        <is>
          <t>BLAST CHILLER, BRAISER, IMMERSION BLENDER, SPICE PORTIONING</t>
        </is>
      </c>
      <c r="H505" s="151" t="inlineStr">
        <is>
          <t>Factor Garam Masala Spice Blend</t>
        </is>
      </c>
      <c r="I505" s="151" t="inlineStr">
        <is>
          <t>SUB-013507-4-001</t>
        </is>
      </c>
      <c r="J505" s="150" t="n">
        <v>0.46</v>
      </c>
      <c r="K505" s="151" t="inlineStr">
        <is>
          <t>grams</t>
        </is>
      </c>
      <c r="L505" s="151" t="inlineStr">
        <is>
          <t>HAND MIX, SPICE PORTIONING</t>
        </is>
      </c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inlineStr">
        <is>
          <t>FA-DE Spice, Cinnamon Ground /Gewürz, gemahlener Zimt</t>
        </is>
      </c>
      <c r="X505" s="151" t="inlineStr">
        <is>
          <t>SPI-00-139341-5</t>
        </is>
      </c>
      <c r="Y505" s="151" t="inlineStr">
        <is>
          <t>0,06</t>
        </is>
      </c>
      <c r="Z505" s="149" t="inlineStr">
        <is>
          <t>0,06</t>
        </is>
      </c>
      <c r="AA505" s="151" t="inlineStr">
        <is>
          <t>grams</t>
        </is>
      </c>
      <c r="AB505" s="151" t="n"/>
      <c r="AC505" s="151" t="n"/>
      <c r="AD505" s="150" t="n">
        <v>0.98</v>
      </c>
      <c r="AE505" s="149" t="n">
        <v>0.06</v>
      </c>
      <c r="AF505" s="151" t="inlineStr">
        <is>
          <t>grams</t>
        </is>
      </c>
      <c r="AG505" s="151" t="n"/>
      <c r="AH505" s="151" t="n"/>
    </row>
    <row r="506">
      <c r="A506" s="151" t="inlineStr">
        <is>
          <t>FV0472A - Indian Butter Chicken [DE]</t>
        </is>
      </c>
      <c r="B506" s="151" t="inlineStr">
        <is>
          <t>REC-013852-4-002</t>
        </is>
      </c>
      <c r="C506" s="151" t="inlineStr">
        <is>
          <t>Sauce - Butter Chicken sauce</t>
        </is>
      </c>
      <c r="D506" s="151" t="inlineStr">
        <is>
          <t>SUB-013851-4-001</t>
        </is>
      </c>
      <c r="E506" s="150" t="n">
        <v>115</v>
      </c>
      <c r="F506" s="151" t="inlineStr">
        <is>
          <t>grams</t>
        </is>
      </c>
      <c r="G506" s="151" t="inlineStr">
        <is>
          <t>BLAST CHILLER, BRAISER, IMMERSION BLENDER, SPICE PORTIONING</t>
        </is>
      </c>
      <c r="H506" s="151" t="inlineStr">
        <is>
          <t>Factor Garam Masala Spice Blend</t>
        </is>
      </c>
      <c r="I506" s="151" t="inlineStr">
        <is>
          <t>SUB-013507-4-001</t>
        </is>
      </c>
      <c r="J506" s="150" t="n">
        <v>0.46</v>
      </c>
      <c r="K506" s="151" t="inlineStr">
        <is>
          <t>grams</t>
        </is>
      </c>
      <c r="L506" s="151" t="inlineStr">
        <is>
          <t>HAND MIX, SPICE PORTIONING</t>
        </is>
      </c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inlineStr">
        <is>
          <t>FA-DE Spice, Cumin Ground /Gewürz, gemahlener Kreuzkümmel</t>
        </is>
      </c>
      <c r="X506" s="151" t="inlineStr">
        <is>
          <t>SPI-00-139345-5</t>
        </is>
      </c>
      <c r="Y506" s="151" t="inlineStr">
        <is>
          <t>0,18</t>
        </is>
      </c>
      <c r="Z506" s="149" t="inlineStr">
        <is>
          <t>0,18</t>
        </is>
      </c>
      <c r="AA506" s="151" t="inlineStr">
        <is>
          <t>grams</t>
        </is>
      </c>
      <c r="AB506" s="151" t="n"/>
      <c r="AC506" s="151" t="n"/>
      <c r="AD506" s="150" t="n">
        <v>0.98</v>
      </c>
      <c r="AE506" s="149" t="n">
        <v>0.18</v>
      </c>
      <c r="AF506" s="151" t="inlineStr">
        <is>
          <t>grams</t>
        </is>
      </c>
      <c r="AG506" s="151" t="n"/>
      <c r="AH506" s="151" t="n"/>
    </row>
    <row r="507">
      <c r="A507" s="151" t="inlineStr">
        <is>
          <t>FV0472A - Indian Butter Chicken [DE]</t>
        </is>
      </c>
      <c r="B507" s="151" t="inlineStr">
        <is>
          <t>REC-013852-4-002</t>
        </is>
      </c>
      <c r="C507" s="151" t="inlineStr">
        <is>
          <t>Sauce - Butter Chicken sauce</t>
        </is>
      </c>
      <c r="D507" s="151" t="inlineStr">
        <is>
          <t>SUB-013851-4-001</t>
        </is>
      </c>
      <c r="E507" s="150" t="n">
        <v>115</v>
      </c>
      <c r="F507" s="151" t="inlineStr">
        <is>
          <t>grams</t>
        </is>
      </c>
      <c r="G507" s="151" t="inlineStr">
        <is>
          <t>BLAST CHILLER, BRAISER, IMMERSION BLENDER, SPICE PORTIONING</t>
        </is>
      </c>
      <c r="H507" s="151" t="inlineStr">
        <is>
          <t>Factor Garam Masala Spice Blend</t>
        </is>
      </c>
      <c r="I507" s="151" t="inlineStr">
        <is>
          <t>SUB-013507-4-001</t>
        </is>
      </c>
      <c r="J507" s="150" t="n">
        <v>0.46</v>
      </c>
      <c r="K507" s="151" t="inlineStr">
        <is>
          <t>grams</t>
        </is>
      </c>
      <c r="L507" s="151" t="inlineStr">
        <is>
          <t>HAND MIX, SPICE PORTIONING</t>
        </is>
      </c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inlineStr">
        <is>
          <t>FA-DE Spice, Cloves Ground /Gewürze, gemahlene Nelken</t>
        </is>
      </c>
      <c r="X507" s="151" t="inlineStr">
        <is>
          <t>SPI-00-139342-5</t>
        </is>
      </c>
      <c r="Y507" s="151" t="inlineStr">
        <is>
          <t>0,03</t>
        </is>
      </c>
      <c r="Z507" s="149" t="inlineStr">
        <is>
          <t>0,03</t>
        </is>
      </c>
      <c r="AA507" s="151" t="inlineStr">
        <is>
          <t>grams</t>
        </is>
      </c>
      <c r="AB507" s="151" t="n"/>
      <c r="AC507" s="151" t="n"/>
      <c r="AD507" s="150" t="n">
        <v>0.98</v>
      </c>
      <c r="AE507" s="149" t="n">
        <v>0.03</v>
      </c>
      <c r="AF507" s="151" t="inlineStr">
        <is>
          <t>grams</t>
        </is>
      </c>
      <c r="AG507" s="151" t="n"/>
      <c r="AH507" s="151" t="n"/>
    </row>
    <row r="508">
      <c r="A508" s="151" t="inlineStr">
        <is>
          <t>FV0472A - Indian Butter Chicken [DE]</t>
        </is>
      </c>
      <c r="B508" s="151" t="inlineStr">
        <is>
          <t>REC-013852-4-002</t>
        </is>
      </c>
      <c r="C508" s="151" t="inlineStr">
        <is>
          <t>Sauce - Butter Chicken sauce</t>
        </is>
      </c>
      <c r="D508" s="151" t="inlineStr">
        <is>
          <t>SUB-013851-4-001</t>
        </is>
      </c>
      <c r="E508" s="150" t="n">
        <v>115</v>
      </c>
      <c r="F508" s="151" t="inlineStr">
        <is>
          <t>grams</t>
        </is>
      </c>
      <c r="G508" s="151" t="inlineStr">
        <is>
          <t>BLAST CHILLER, BRAISER, IMMERSION BLENDER, SPICE PORTIONING</t>
        </is>
      </c>
      <c r="H508" s="151" t="inlineStr">
        <is>
          <t>Factor Garam Masala Spice Blend</t>
        </is>
      </c>
      <c r="I508" s="151" t="inlineStr">
        <is>
          <t>SUB-013507-4-001</t>
        </is>
      </c>
      <c r="J508" s="150" t="n">
        <v>0.46</v>
      </c>
      <c r="K508" s="151" t="inlineStr">
        <is>
          <t>grams</t>
        </is>
      </c>
      <c r="L508" s="151" t="inlineStr">
        <is>
          <t>HAND MIX, SPICE PORTIONING</t>
        </is>
      </c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inlineStr">
        <is>
          <t>FA-DE Spice, Black Pepper, Ground /Gewürz, schwarzer Pfeffer, gemahlen</t>
        </is>
      </c>
      <c r="X508" s="151" t="inlineStr">
        <is>
          <t>SPI-00-139334-5</t>
        </is>
      </c>
      <c r="Y508" s="151" t="inlineStr">
        <is>
          <t>0,05</t>
        </is>
      </c>
      <c r="Z508" s="149" t="inlineStr">
        <is>
          <t>0,05</t>
        </is>
      </c>
      <c r="AA508" s="151" t="inlineStr">
        <is>
          <t>grams</t>
        </is>
      </c>
      <c r="AB508" s="151" t="n"/>
      <c r="AC508" s="151" t="n"/>
      <c r="AD508" s="150" t="n">
        <v>0.98</v>
      </c>
      <c r="AE508" s="149" t="n">
        <v>0.05</v>
      </c>
      <c r="AF508" s="151" t="inlineStr">
        <is>
          <t>grams</t>
        </is>
      </c>
      <c r="AG508" s="151" t="n"/>
      <c r="AH508" s="151" t="n"/>
    </row>
    <row r="509">
      <c r="A509" s="151" t="inlineStr">
        <is>
          <t>FV0472A - Indian Butter Chicken [DE]</t>
        </is>
      </c>
      <c r="B509" s="151" t="inlineStr">
        <is>
          <t>REC-013852-4-002</t>
        </is>
      </c>
      <c r="C509" s="151" t="inlineStr">
        <is>
          <t>Sauce - Butter Chicken sauce</t>
        </is>
      </c>
      <c r="D509" s="151" t="inlineStr">
        <is>
          <t>SUB-013851-4-001</t>
        </is>
      </c>
      <c r="E509" s="150" t="n">
        <v>115</v>
      </c>
      <c r="F509" s="151" t="inlineStr">
        <is>
          <t>grams</t>
        </is>
      </c>
      <c r="G509" s="151" t="inlineStr">
        <is>
          <t>BLAST CHILLER, BRAISER, IMMERSION BLENDER, SPICE PORTIONING</t>
        </is>
      </c>
      <c r="H509" s="151" t="inlineStr">
        <is>
          <t>Factor Garam Masala Spice Blend</t>
        </is>
      </c>
      <c r="I509" s="151" t="inlineStr">
        <is>
          <t>SUB-013507-4-001</t>
        </is>
      </c>
      <c r="J509" s="150" t="n">
        <v>0.46</v>
      </c>
      <c r="K509" s="151" t="inlineStr">
        <is>
          <t>grams</t>
        </is>
      </c>
      <c r="L509" s="151" t="inlineStr">
        <is>
          <t>HAND MIX, SPICE PORTIONING</t>
        </is>
      </c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inlineStr">
        <is>
          <t>FA-DE Spice, Turmeric /Gewürz, Kurkuma</t>
        </is>
      </c>
      <c r="X509" s="151" t="inlineStr">
        <is>
          <t>SPI-00-139384-5</t>
        </is>
      </c>
      <c r="Y509" s="151" t="inlineStr">
        <is>
          <t>0,01</t>
        </is>
      </c>
      <c r="Z509" s="149" t="inlineStr">
        <is>
          <t>0,01</t>
        </is>
      </c>
      <c r="AA509" s="151" t="inlineStr">
        <is>
          <t>grams</t>
        </is>
      </c>
      <c r="AB509" s="151" t="n"/>
      <c r="AC509" s="151" t="n"/>
      <c r="AD509" s="150" t="n">
        <v>0.98</v>
      </c>
      <c r="AE509" s="149" t="n">
        <v>0.01</v>
      </c>
      <c r="AF509" s="151" t="inlineStr">
        <is>
          <t>grams</t>
        </is>
      </c>
      <c r="AG509" s="151" t="n"/>
      <c r="AH509" s="151" t="n"/>
    </row>
    <row r="510">
      <c r="A510" s="151" t="inlineStr">
        <is>
          <t>FV0472A - Indian Butter Chicken [DE]</t>
        </is>
      </c>
      <c r="B510" s="151" t="inlineStr">
        <is>
          <t>REC-013852-4-002</t>
        </is>
      </c>
      <c r="C510" s="151" t="inlineStr">
        <is>
          <t>Sauce - Butter Chicken sauce</t>
        </is>
      </c>
      <c r="D510" s="151" t="inlineStr">
        <is>
          <t>SUB-013851-4-001</t>
        </is>
      </c>
      <c r="E510" s="150" t="n">
        <v>115</v>
      </c>
      <c r="F510" s="151" t="inlineStr">
        <is>
          <t>grams</t>
        </is>
      </c>
      <c r="G510" s="151" t="inlineStr">
        <is>
          <t>BLAST CHILLER, BRAISER, IMMERSION BLENDER, SPICE PORTIONING</t>
        </is>
      </c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inlineStr">
        <is>
          <t>FA-DE Oil, Olive /Öl, Olivenöl</t>
        </is>
      </c>
      <c r="X510" s="151" t="inlineStr">
        <is>
          <t>PRO-00-139277-5</t>
        </is>
      </c>
      <c r="Y510" s="151" t="inlineStr">
        <is>
          <t>9,65</t>
        </is>
      </c>
      <c r="Z510" s="149" t="inlineStr">
        <is>
          <t>9,65</t>
        </is>
      </c>
      <c r="AA510" s="151" t="inlineStr">
        <is>
          <t>grams</t>
        </is>
      </c>
      <c r="AB510" s="151" t="n"/>
      <c r="AC510" s="151" t="n"/>
      <c r="AD510" s="150" t="n">
        <v>0.91418</v>
      </c>
      <c r="AE510" s="149" t="n">
        <v>9.65</v>
      </c>
      <c r="AF510" s="151" t="inlineStr">
        <is>
          <t>grams</t>
        </is>
      </c>
      <c r="AG510" s="151" t="n"/>
      <c r="AH510" s="151" t="n"/>
    </row>
    <row r="511">
      <c r="A511" s="151" t="inlineStr">
        <is>
          <t>FV0472A - Indian Butter Chicken [DE]</t>
        </is>
      </c>
      <c r="B511" s="151" t="inlineStr">
        <is>
          <t>REC-013852-4-002</t>
        </is>
      </c>
      <c r="C511" s="151" t="inlineStr">
        <is>
          <t>Sauce - Butter Chicken sauce</t>
        </is>
      </c>
      <c r="D511" s="151" t="inlineStr">
        <is>
          <t>SUB-013851-4-001</t>
        </is>
      </c>
      <c r="E511" s="150" t="n">
        <v>115</v>
      </c>
      <c r="F511" s="151" t="inlineStr">
        <is>
          <t>grams</t>
        </is>
      </c>
      <c r="G511" s="151" t="inlineStr">
        <is>
          <t>BLAST CHILLER, BRAISER, IMMERSION BLENDER, SPICE PORTIONING</t>
        </is>
      </c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inlineStr">
        <is>
          <t>FA-DE Ginger, IQF, Diced 4 mm /Ingwer, IQF, gewürfelt 4 mm</t>
        </is>
      </c>
      <c r="X511" s="151" t="inlineStr">
        <is>
          <t>PHF-00-139238-1</t>
        </is>
      </c>
      <c r="Y511" s="151" t="inlineStr">
        <is>
          <t>2,32</t>
        </is>
      </c>
      <c r="Z511" s="149" t="inlineStr">
        <is>
          <t>2,32</t>
        </is>
      </c>
      <c r="AA511" s="151" t="inlineStr">
        <is>
          <t>grams</t>
        </is>
      </c>
      <c r="AB511" s="151" t="inlineStr">
        <is>
          <t>SCHWEFELDIOXIDE UND SULFITE</t>
        </is>
      </c>
      <c r="AC511" s="151" t="n"/>
      <c r="AD511" s="150" t="n">
        <v>0.91418</v>
      </c>
      <c r="AE511" s="149" t="n">
        <v>2.32</v>
      </c>
      <c r="AF511" s="151" t="inlineStr">
        <is>
          <t>grams</t>
        </is>
      </c>
      <c r="AG511" s="151" t="n"/>
      <c r="AH511" s="151" t="n"/>
    </row>
    <row r="512">
      <c r="A512" s="151" t="inlineStr">
        <is>
          <t>FV0472A - Indian Butter Chicken [DE]</t>
        </is>
      </c>
      <c r="B512" s="151" t="inlineStr">
        <is>
          <t>REC-013852-4-002</t>
        </is>
      </c>
      <c r="C512" s="151" t="inlineStr">
        <is>
          <t>Sauce - Butter Chicken sauce</t>
        </is>
      </c>
      <c r="D512" s="151" t="inlineStr">
        <is>
          <t>SUB-013851-4-001</t>
        </is>
      </c>
      <c r="E512" s="150" t="n">
        <v>115</v>
      </c>
      <c r="F512" s="151" t="inlineStr">
        <is>
          <t>grams</t>
        </is>
      </c>
      <c r="G512" s="151" t="inlineStr">
        <is>
          <t>BLAST CHILLER, BRAISER, IMMERSION BLENDER, SPICE PORTIONING</t>
        </is>
      </c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inlineStr">
        <is>
          <t>FA-DE Tomatoes, Crushed /Tomaten, zerkleinert</t>
        </is>
      </c>
      <c r="X512" s="151" t="inlineStr">
        <is>
          <t>PRO-00-139294-5</t>
        </is>
      </c>
      <c r="Y512" s="151" t="inlineStr">
        <is>
          <t>41,79</t>
        </is>
      </c>
      <c r="Z512" s="149" t="inlineStr">
        <is>
          <t>41,79</t>
        </is>
      </c>
      <c r="AA512" s="151" t="inlineStr">
        <is>
          <t>grams</t>
        </is>
      </c>
      <c r="AB512" s="151" t="n"/>
      <c r="AC512" s="151" t="n"/>
      <c r="AD512" s="150" t="n">
        <v>0.91418</v>
      </c>
      <c r="AE512" s="149" t="n">
        <v>41.79</v>
      </c>
      <c r="AF512" s="151" t="inlineStr">
        <is>
          <t>grams</t>
        </is>
      </c>
      <c r="AG512" s="151" t="n"/>
      <c r="AH512" s="151" t="n"/>
    </row>
    <row r="513">
      <c r="A513" s="151" t="inlineStr">
        <is>
          <t>FV0472A - Indian Butter Chicken [DE]</t>
        </is>
      </c>
      <c r="B513" s="151" t="inlineStr">
        <is>
          <t>REC-013852-4-002</t>
        </is>
      </c>
      <c r="C513" s="151" t="inlineStr">
        <is>
          <t>Sauce - Butter Chicken sauce</t>
        </is>
      </c>
      <c r="D513" s="151" t="inlineStr">
        <is>
          <t>SUB-013851-4-001</t>
        </is>
      </c>
      <c r="E513" s="150" t="n">
        <v>115</v>
      </c>
      <c r="F513" s="151" t="inlineStr">
        <is>
          <t>grams</t>
        </is>
      </c>
      <c r="G513" s="151" t="inlineStr">
        <is>
          <t>BLAST CHILLER, BRAISER, IMMERSION BLENDER, SPICE PORTIONING</t>
        </is>
      </c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inlineStr">
        <is>
          <t>FA-DE Spice, Coriander Ground /Gewürz, gemahlener Koriander</t>
        </is>
      </c>
      <c r="X513" s="151" t="inlineStr">
        <is>
          <t>SPI-00-139386-5</t>
        </is>
      </c>
      <c r="Y513" s="151" t="inlineStr">
        <is>
          <t>0,29</t>
        </is>
      </c>
      <c r="Z513" s="149" t="inlineStr">
        <is>
          <t>0,29</t>
        </is>
      </c>
      <c r="AA513" s="151" t="inlineStr">
        <is>
          <t>grams</t>
        </is>
      </c>
      <c r="AB513" s="151" t="n"/>
      <c r="AC513" s="151" t="n"/>
      <c r="AD513" s="150" t="n">
        <v>0.91418</v>
      </c>
      <c r="AE513" s="149" t="n">
        <v>0.29</v>
      </c>
      <c r="AF513" s="151" t="inlineStr">
        <is>
          <t>grams</t>
        </is>
      </c>
      <c r="AG513" s="151" t="n"/>
      <c r="AH513" s="151" t="n"/>
    </row>
    <row r="514">
      <c r="A514" s="151" t="inlineStr">
        <is>
          <t>FV0472A - Indian Butter Chicken [DE]</t>
        </is>
      </c>
      <c r="B514" s="151" t="inlineStr">
        <is>
          <t>REC-013852-4-002</t>
        </is>
      </c>
      <c r="C514" s="151" t="inlineStr">
        <is>
          <t>Sauce - Butter Chicken sauce</t>
        </is>
      </c>
      <c r="D514" s="151" t="inlineStr">
        <is>
          <t>SUB-013851-4-001</t>
        </is>
      </c>
      <c r="E514" s="150" t="n">
        <v>115</v>
      </c>
      <c r="F514" s="151" t="inlineStr">
        <is>
          <t>grams</t>
        </is>
      </c>
      <c r="G514" s="151" t="inlineStr">
        <is>
          <t>BLAST CHILLER, BRAISER, IMMERSION BLENDER, SPICE PORTIONING</t>
        </is>
      </c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inlineStr">
        <is>
          <t>FA-DE Heavy Cream 20% /Sahne 20%</t>
        </is>
      </c>
      <c r="X514" s="151" t="inlineStr">
        <is>
          <t>DAI-00-139137-3</t>
        </is>
      </c>
      <c r="Y514" s="151" t="inlineStr">
        <is>
          <t>32,8</t>
        </is>
      </c>
      <c r="Z514" s="149" t="inlineStr">
        <is>
          <t>32,8</t>
        </is>
      </c>
      <c r="AA514" s="151" t="inlineStr">
        <is>
          <t>grams</t>
        </is>
      </c>
      <c r="AB514" s="151" t="inlineStr">
        <is>
          <t>MILCH (EINSCHLIESSLICH LAKTOSE)</t>
        </is>
      </c>
      <c r="AC514" s="151" t="n"/>
      <c r="AD514" s="150" t="n">
        <v>0.91418</v>
      </c>
      <c r="AE514" s="149" t="n">
        <v>32.8</v>
      </c>
      <c r="AF514" s="151" t="inlineStr">
        <is>
          <t>grams</t>
        </is>
      </c>
      <c r="AG514" s="151" t="n"/>
      <c r="AH514" s="151" t="n"/>
    </row>
    <row r="515">
      <c r="A515" s="151" t="inlineStr">
        <is>
          <t>FV0472A - Indian Butter Chicken [DE]</t>
        </is>
      </c>
      <c r="B515" s="151" t="inlineStr">
        <is>
          <t>REC-013852-4-002</t>
        </is>
      </c>
      <c r="C515" s="151" t="inlineStr">
        <is>
          <t>Roasted Green Onions</t>
        </is>
      </c>
      <c r="D515" s="151" t="inlineStr">
        <is>
          <t>SUB-023370-4-001</t>
        </is>
      </c>
      <c r="E515" s="150" t="n">
        <v>6</v>
      </c>
      <c r="F515" s="151" t="inlineStr">
        <is>
          <t>grams</t>
        </is>
      </c>
      <c r="G515" s="151" t="inlineStr">
        <is>
          <t>BLAST CHILLER, OVEN</t>
        </is>
      </c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inlineStr">
        <is>
          <t>FA-DE Onion, Green, Sliced 5mm /Zwiebel, grün, in Scheiben geschnitten, 5 mm</t>
        </is>
      </c>
      <c r="X515" s="151" t="inlineStr">
        <is>
          <t>PHF-00-149803-3</t>
        </is>
      </c>
      <c r="Y515" s="154" t="inlineStr">
        <is>
          <t>7,06</t>
        </is>
      </c>
      <c r="Z515" s="149" t="inlineStr">
        <is>
          <t>7,06</t>
        </is>
      </c>
      <c r="AA515" s="151" t="inlineStr">
        <is>
          <t>grams</t>
        </is>
      </c>
      <c r="AB515" s="151" t="n"/>
      <c r="AC515" s="151" t="n"/>
      <c r="AD515" s="150" t="n">
        <v>0.85</v>
      </c>
      <c r="AE515" s="149" t="n">
        <v>7.06</v>
      </c>
      <c r="AF515" s="151" t="inlineStr">
        <is>
          <t>grams</t>
        </is>
      </c>
      <c r="AG515" s="151" t="n"/>
      <c r="AH515" s="151" t="n"/>
    </row>
    <row r="516">
      <c r="A516" s="151" t="inlineStr">
        <is>
          <t>FV0472A - Indian Butter Chicken [DE]</t>
        </is>
      </c>
      <c r="B516" s="151" t="inlineStr">
        <is>
          <t>REC-013852-4-002</t>
        </is>
      </c>
      <c r="C516" s="151" t="inlineStr">
        <is>
          <t>Cauliflower rice - Cilantro and Lime Cauliflower Rice - BA</t>
        </is>
      </c>
      <c r="D516" s="151" t="inlineStr">
        <is>
          <t>SUB-013733-4-001</t>
        </is>
      </c>
      <c r="E516" s="150" t="n">
        <v>120</v>
      </c>
      <c r="F516" s="151" t="inlineStr">
        <is>
          <t>grams</t>
        </is>
      </c>
      <c r="G516" s="151" t="inlineStr">
        <is>
          <t>BLAST CHILLER, OVEN</t>
        </is>
      </c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inlineStr">
        <is>
          <t>FA-DE Spice, Black Pepper, Ground /Gewürz, schwarzer Pfeffer, gemahlen</t>
        </is>
      </c>
      <c r="X516" s="151" t="inlineStr">
        <is>
          <t>SPI-00-139334-5</t>
        </is>
      </c>
      <c r="Y516" s="151" t="inlineStr">
        <is>
          <t>0,06</t>
        </is>
      </c>
      <c r="Z516" s="149" t="inlineStr">
        <is>
          <t>0,06</t>
        </is>
      </c>
      <c r="AA516" s="151" t="inlineStr">
        <is>
          <t>grams</t>
        </is>
      </c>
      <c r="AB516" s="151" t="n"/>
      <c r="AC516" s="151" t="n"/>
      <c r="AD516" s="150" t="n">
        <v>0.9301199999999999</v>
      </c>
      <c r="AE516" s="149" t="n">
        <v>0.06</v>
      </c>
      <c r="AF516" s="151" t="inlineStr">
        <is>
          <t>grams</t>
        </is>
      </c>
      <c r="AG516" s="151" t="n"/>
      <c r="AH516" s="151" t="n"/>
    </row>
    <row r="517">
      <c r="A517" s="151" t="inlineStr">
        <is>
          <t>FV0472A - Indian Butter Chicken [DE]</t>
        </is>
      </c>
      <c r="B517" s="151" t="inlineStr">
        <is>
          <t>REC-013852-4-002</t>
        </is>
      </c>
      <c r="C517" s="151" t="inlineStr">
        <is>
          <t>Cauliflower rice - Cilantro and Lime Cauliflower Rice - BA</t>
        </is>
      </c>
      <c r="D517" s="151" t="inlineStr">
        <is>
          <t>SUB-013733-4-001</t>
        </is>
      </c>
      <c r="E517" s="150" t="n">
        <v>120</v>
      </c>
      <c r="F517" s="151" t="inlineStr">
        <is>
          <t>grams</t>
        </is>
      </c>
      <c r="G517" s="151" t="inlineStr">
        <is>
          <t>BLAST CHILLER, OVEN</t>
        </is>
      </c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inlineStr">
        <is>
          <t>FA-DE Juice, Lime /Saft, Limette</t>
        </is>
      </c>
      <c r="X517" s="151" t="inlineStr">
        <is>
          <t>PRO-00-139268-5</t>
        </is>
      </c>
      <c r="Y517" s="151" t="inlineStr">
        <is>
          <t>0,91</t>
        </is>
      </c>
      <c r="Z517" s="149" t="inlineStr">
        <is>
          <t>0,91</t>
        </is>
      </c>
      <c r="AA517" s="151" t="inlineStr">
        <is>
          <t>grams</t>
        </is>
      </c>
      <c r="AB517" s="151" t="n"/>
      <c r="AC517" s="151" t="n"/>
      <c r="AD517" s="150" t="n">
        <v>0.9301199999999999</v>
      </c>
      <c r="AE517" s="149" t="n">
        <v>0.91</v>
      </c>
      <c r="AF517" s="151" t="inlineStr">
        <is>
          <t>grams</t>
        </is>
      </c>
      <c r="AG517" s="151" t="n"/>
      <c r="AH517" s="151" t="n"/>
    </row>
    <row r="518">
      <c r="A518" s="151" t="inlineStr">
        <is>
          <t>FV0472A - Indian Butter Chicken [DE]</t>
        </is>
      </c>
      <c r="B518" s="151" t="inlineStr">
        <is>
          <t>REC-013852-4-002</t>
        </is>
      </c>
      <c r="C518" s="151" t="inlineStr">
        <is>
          <t>Cauliflower rice - Cilantro and Lime Cauliflower Rice - BA</t>
        </is>
      </c>
      <c r="D518" s="151" t="inlineStr">
        <is>
          <t>SUB-013733-4-001</t>
        </is>
      </c>
      <c r="E518" s="150" t="n">
        <v>120</v>
      </c>
      <c r="F518" s="151" t="inlineStr">
        <is>
          <t>grams</t>
        </is>
      </c>
      <c r="G518" s="151" t="inlineStr">
        <is>
          <t>BLAST CHILLER, OVEN</t>
        </is>
      </c>
      <c r="H518" s="151" t="inlineStr">
        <is>
          <t>Roasted Garlic oil</t>
        </is>
      </c>
      <c r="I518" s="151" t="inlineStr">
        <is>
          <t>SUB-013367-4-002</t>
        </is>
      </c>
      <c r="J518" s="158" t="n">
        <v>9.07</v>
      </c>
      <c r="K518" s="151" t="inlineStr">
        <is>
          <t>grams</t>
        </is>
      </c>
      <c r="L518" s="151" t="inlineStr">
        <is>
          <t>BLAST CHILLER, OVEN</t>
        </is>
      </c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inlineStr">
        <is>
          <t>FA-DE Garlic, Peeled, Whole Cloves [10kg] /Knoblauch, geschält, ganze Nelken [10kg]</t>
        </is>
      </c>
      <c r="X518" s="151" t="inlineStr">
        <is>
          <t>PHF-00-139197-3</t>
        </is>
      </c>
      <c r="Y518" s="151" t="inlineStr">
        <is>
          <t>12,49</t>
        </is>
      </c>
      <c r="Z518" s="149" t="inlineStr">
        <is>
          <t>12,49</t>
        </is>
      </c>
      <c r="AA518" s="151" t="inlineStr">
        <is>
          <t>grams</t>
        </is>
      </c>
      <c r="AB518" s="151" t="n"/>
      <c r="AC518" s="151" t="n"/>
      <c r="AD518" s="150" t="n">
        <v>0.415</v>
      </c>
      <c r="AE518" s="149" t="n">
        <v>12.49</v>
      </c>
      <c r="AF518" s="151" t="inlineStr">
        <is>
          <t>grams</t>
        </is>
      </c>
      <c r="AG518" s="151" t="n"/>
      <c r="AH518" s="151" t="n"/>
    </row>
    <row r="519">
      <c r="A519" s="151" t="inlineStr">
        <is>
          <t>FV0472A - Indian Butter Chicken [DE]</t>
        </is>
      </c>
      <c r="B519" s="151" t="inlineStr">
        <is>
          <t>REC-013852-4-002</t>
        </is>
      </c>
      <c r="C519" s="151" t="inlineStr">
        <is>
          <t>Cauliflower rice - Cilantro and Lime Cauliflower Rice - BA</t>
        </is>
      </c>
      <c r="D519" s="151" t="inlineStr">
        <is>
          <t>SUB-013733-4-001</t>
        </is>
      </c>
      <c r="E519" s="150" t="n">
        <v>120</v>
      </c>
      <c r="F519" s="151" t="inlineStr">
        <is>
          <t>grams</t>
        </is>
      </c>
      <c r="G519" s="151" t="inlineStr">
        <is>
          <t>BLAST CHILLER, OVEN</t>
        </is>
      </c>
      <c r="H519" s="151" t="inlineStr">
        <is>
          <t>Roasted Garlic oil</t>
        </is>
      </c>
      <c r="I519" s="151" t="inlineStr">
        <is>
          <t>SUB-013367-4-002</t>
        </is>
      </c>
      <c r="J519" s="158" t="n">
        <v>9.07</v>
      </c>
      <c r="K519" s="151" t="inlineStr">
        <is>
          <t>grams</t>
        </is>
      </c>
      <c r="L519" s="151" t="inlineStr">
        <is>
          <t>BLAST CHILLER, OVEN</t>
        </is>
      </c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inlineStr">
        <is>
          <t>FA-DE Oil, Olive /Öl, Olivenöl</t>
        </is>
      </c>
      <c r="X519" s="151" t="inlineStr">
        <is>
          <t>PRO-00-139277-5</t>
        </is>
      </c>
      <c r="Y519" s="151" t="inlineStr">
        <is>
          <t>9,37</t>
        </is>
      </c>
      <c r="Z519" s="149" t="inlineStr">
        <is>
          <t>9,37</t>
        </is>
      </c>
      <c r="AA519" s="151" t="inlineStr">
        <is>
          <t>grams</t>
        </is>
      </c>
      <c r="AB519" s="151" t="n"/>
      <c r="AC519" s="151" t="n"/>
      <c r="AD519" s="150" t="n">
        <v>0.415</v>
      </c>
      <c r="AE519" s="149" t="n">
        <v>9.369999999999999</v>
      </c>
      <c r="AF519" s="151" t="inlineStr">
        <is>
          <t>grams</t>
        </is>
      </c>
      <c r="AG519" s="151" t="n"/>
      <c r="AH519" s="151" t="n"/>
    </row>
    <row r="520">
      <c r="A520" s="151" t="inlineStr">
        <is>
          <t>FV0472A - Indian Butter Chicken [DE]</t>
        </is>
      </c>
      <c r="B520" s="151" t="inlineStr">
        <is>
          <t>REC-013852-4-002</t>
        </is>
      </c>
      <c r="C520" s="151" t="inlineStr">
        <is>
          <t>Cauliflower rice - Cilantro and Lime Cauliflower Rice - BA</t>
        </is>
      </c>
      <c r="D520" s="151" t="inlineStr">
        <is>
          <t>SUB-013733-4-001</t>
        </is>
      </c>
      <c r="E520" s="150" t="n">
        <v>120</v>
      </c>
      <c r="F520" s="151" t="inlineStr">
        <is>
          <t>grams</t>
        </is>
      </c>
      <c r="G520" s="151" t="inlineStr">
        <is>
          <t>BLAST CHILLER, OVEN</t>
        </is>
      </c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inlineStr">
        <is>
          <t>FA-DE Spice, Sea Salt /Gewürze, Meersalz</t>
        </is>
      </c>
      <c r="X520" s="151" t="inlineStr">
        <is>
          <t>SPI-00-139378-5</t>
        </is>
      </c>
      <c r="Y520" s="151" t="inlineStr">
        <is>
          <t>0,43</t>
        </is>
      </c>
      <c r="Z520" s="149" t="inlineStr">
        <is>
          <t>0,43</t>
        </is>
      </c>
      <c r="AA520" s="151" t="inlineStr">
        <is>
          <t>grams</t>
        </is>
      </c>
      <c r="AB520" s="151" t="n"/>
      <c r="AC520" s="151" t="n"/>
      <c r="AD520" s="150" t="n">
        <v>0.9301199999999999</v>
      </c>
      <c r="AE520" s="149" t="n">
        <v>0.43</v>
      </c>
      <c r="AF520" s="151" t="inlineStr">
        <is>
          <t>grams</t>
        </is>
      </c>
      <c r="AG520" s="151" t="n"/>
      <c r="AH520" s="151" t="n"/>
    </row>
    <row r="521">
      <c r="A521" s="151" t="inlineStr">
        <is>
          <t>FV0472A - Indian Butter Chicken [DE]</t>
        </is>
      </c>
      <c r="B521" s="151" t="inlineStr">
        <is>
          <t>REC-013852-4-002</t>
        </is>
      </c>
      <c r="C521" s="151" t="inlineStr">
        <is>
          <t>Cauliflower rice - Cilantro and Lime Cauliflower Rice - BA</t>
        </is>
      </c>
      <c r="D521" s="151" t="inlineStr">
        <is>
          <t>SUB-013733-4-001</t>
        </is>
      </c>
      <c r="E521" s="150" t="n">
        <v>120</v>
      </c>
      <c r="F521" s="151" t="inlineStr">
        <is>
          <t>grams</t>
        </is>
      </c>
      <c r="G521" s="151" t="inlineStr">
        <is>
          <t>BLAST CHILLER, OVEN</t>
        </is>
      </c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inlineStr">
        <is>
          <t>FA-DE Cauliflower, Riced, IQF /Blumenkohl, Reis, IQF</t>
        </is>
      </c>
      <c r="X521" s="151" t="inlineStr">
        <is>
          <t>PHF-00-139233-1</t>
        </is>
      </c>
      <c r="Y521" s="151" t="inlineStr">
        <is>
          <t>112,5</t>
        </is>
      </c>
      <c r="Z521" s="149" t="inlineStr">
        <is>
          <t>112,5</t>
        </is>
      </c>
      <c r="AA521" s="151" t="inlineStr">
        <is>
          <t>grams</t>
        </is>
      </c>
      <c r="AB521" s="151" t="n"/>
      <c r="AC521" s="151" t="n"/>
      <c r="AD521" s="150" t="n">
        <v>0.9301199999999999</v>
      </c>
      <c r="AE521" s="149" t="n">
        <v>112.5</v>
      </c>
      <c r="AF521" s="151" t="inlineStr">
        <is>
          <t>grams</t>
        </is>
      </c>
      <c r="AG521" s="151" t="n"/>
      <c r="AH521" s="151" t="n"/>
    </row>
    <row r="522">
      <c r="A522" s="151" t="inlineStr">
        <is>
          <t>FV0472A - Indian Butter Chicken [DE]</t>
        </is>
      </c>
      <c r="B522" s="151" t="inlineStr">
        <is>
          <t>REC-013852-4-002</t>
        </is>
      </c>
      <c r="C522" s="151" t="inlineStr">
        <is>
          <t>Cauliflower rice - Cilantro and Lime Cauliflower Rice - BA</t>
        </is>
      </c>
      <c r="D522" s="151" t="inlineStr">
        <is>
          <t>SUB-013733-4-001</t>
        </is>
      </c>
      <c r="E522" s="150" t="n">
        <v>120</v>
      </c>
      <c r="F522" s="151" t="inlineStr">
        <is>
          <t>grams</t>
        </is>
      </c>
      <c r="G522" s="151" t="inlineStr">
        <is>
          <t>BLAST CHILLER, OVEN</t>
        </is>
      </c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inlineStr">
        <is>
          <t>FA-DE Coriander, Chopped /Koriander, gehackt</t>
        </is>
      </c>
      <c r="X522" s="151" t="inlineStr">
        <is>
          <t>PHF-00-139192-3</t>
        </is>
      </c>
      <c r="Y522" s="151" t="inlineStr">
        <is>
          <t>6,05</t>
        </is>
      </c>
      <c r="Z522" s="149" t="inlineStr">
        <is>
          <t>6,05</t>
        </is>
      </c>
      <c r="AA522" s="151" t="inlineStr">
        <is>
          <t>grams</t>
        </is>
      </c>
      <c r="AB522" s="151" t="n"/>
      <c r="AC522" s="151" t="n"/>
      <c r="AD522" s="150" t="n">
        <v>0.9301199999999999</v>
      </c>
      <c r="AE522" s="149" t="n">
        <v>6.05</v>
      </c>
      <c r="AF522" s="151" t="inlineStr">
        <is>
          <t>grams</t>
        </is>
      </c>
      <c r="AG522" s="151" t="n"/>
      <c r="AH522" s="151" t="n"/>
    </row>
    <row r="523">
      <c r="A523" s="151" t="inlineStr">
        <is>
          <t>FV0472A - Indian Butter Chicken [DKSE]</t>
        </is>
      </c>
      <c r="B523" s="151" t="inlineStr">
        <is>
          <t>REC-013852-4-001</t>
        </is>
      </c>
      <c r="C523" s="151" t="inlineStr">
        <is>
          <t>Diced chicken - Butter Chicken Batch - BA</t>
        </is>
      </c>
      <c r="D523" s="151" t="inlineStr">
        <is>
          <t>SUB-013850-4-001</t>
        </is>
      </c>
      <c r="E523" s="150" t="n">
        <v>115</v>
      </c>
      <c r="F523" s="151" t="inlineStr">
        <is>
          <t>grams</t>
        </is>
      </c>
      <c r="G523" s="151" t="inlineStr">
        <is>
          <t>BLAST CHILLER, MARINADE, OVEN</t>
        </is>
      </c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inlineStr">
        <is>
          <t>FA-DE Spice, Chili Powder /Gewürz, Chilipulver</t>
        </is>
      </c>
      <c r="X523" s="151" t="inlineStr">
        <is>
          <t>SPI-00-139340-5</t>
        </is>
      </c>
      <c r="Y523" s="151" t="inlineStr">
        <is>
          <t>0,17</t>
        </is>
      </c>
      <c r="Z523" s="149" t="inlineStr">
        <is>
          <t>0,17</t>
        </is>
      </c>
      <c r="AA523" s="151" t="inlineStr">
        <is>
          <t>grams</t>
        </is>
      </c>
      <c r="AB523" s="151" t="n"/>
      <c r="AC523" s="151" t="n"/>
      <c r="AD523" s="150" t="n">
        <v>0.81911</v>
      </c>
      <c r="AE523" s="149" t="n">
        <v>0.17</v>
      </c>
      <c r="AF523" s="151" t="inlineStr">
        <is>
          <t>grams</t>
        </is>
      </c>
      <c r="AG523" s="151" t="n"/>
      <c r="AH523" s="151" t="n"/>
    </row>
    <row r="524">
      <c r="A524" s="151" t="inlineStr">
        <is>
          <t>FV0472A - Indian Butter Chicken [DKSE]</t>
        </is>
      </c>
      <c r="B524" s="151" t="inlineStr">
        <is>
          <t>REC-013852-4-001</t>
        </is>
      </c>
      <c r="C524" s="151" t="inlineStr">
        <is>
          <t>Diced chicken - Butter Chicken Batch - BA</t>
        </is>
      </c>
      <c r="D524" s="151" t="inlineStr">
        <is>
          <t>SUB-013850-4-001</t>
        </is>
      </c>
      <c r="E524" s="150" t="n">
        <v>115</v>
      </c>
      <c r="F524" s="151" t="inlineStr">
        <is>
          <t>grams</t>
        </is>
      </c>
      <c r="G524" s="151" t="inlineStr">
        <is>
          <t>BLAST CHILLER, MARINADE, OVEN</t>
        </is>
      </c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inlineStr">
        <is>
          <t>FA-DE Spice, Turmeric /Gewürz, Kurkuma</t>
        </is>
      </c>
      <c r="X524" s="151" t="inlineStr">
        <is>
          <t>SPI-00-139384-5</t>
        </is>
      </c>
      <c r="Y524" s="151" t="inlineStr">
        <is>
          <t>0,37</t>
        </is>
      </c>
      <c r="Z524" s="149" t="inlineStr">
        <is>
          <t>0,37</t>
        </is>
      </c>
      <c r="AA524" s="151" t="inlineStr">
        <is>
          <t>grams</t>
        </is>
      </c>
      <c r="AB524" s="151" t="n"/>
      <c r="AC524" s="151" t="n"/>
      <c r="AD524" s="150" t="n">
        <v>0.81911</v>
      </c>
      <c r="AE524" s="149" t="n">
        <v>0.37</v>
      </c>
      <c r="AF524" s="151" t="inlineStr">
        <is>
          <t>grams</t>
        </is>
      </c>
      <c r="AG524" s="151" t="n"/>
      <c r="AH524" s="151" t="n"/>
    </row>
    <row r="525">
      <c r="A525" s="151" t="inlineStr">
        <is>
          <t>FV0472A - Indian Butter Chicken [DKSE]</t>
        </is>
      </c>
      <c r="B525" s="151" t="inlineStr">
        <is>
          <t>REC-013852-4-001</t>
        </is>
      </c>
      <c r="C525" s="151" t="inlineStr">
        <is>
          <t>Diced chicken - Butter Chicken Batch - BA</t>
        </is>
      </c>
      <c r="D525" s="151" t="inlineStr">
        <is>
          <t>SUB-013850-4-001</t>
        </is>
      </c>
      <c r="E525" s="150" t="n">
        <v>115</v>
      </c>
      <c r="F525" s="151" t="inlineStr">
        <is>
          <t>grams</t>
        </is>
      </c>
      <c r="G525" s="151" t="inlineStr">
        <is>
          <t>BLAST CHILLER, MARINADE, OVEN</t>
        </is>
      </c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inlineStr">
        <is>
          <t>FA-DE Spice, Sea Salt /Gewürze, Meersalz</t>
        </is>
      </c>
      <c r="X525" s="151" t="inlineStr">
        <is>
          <t>SPI-00-139378-5</t>
        </is>
      </c>
      <c r="Y525" s="151" t="inlineStr">
        <is>
          <t>0,23</t>
        </is>
      </c>
      <c r="Z525" s="149" t="inlineStr">
        <is>
          <t>0,23</t>
        </is>
      </c>
      <c r="AA525" s="151" t="inlineStr">
        <is>
          <t>grams</t>
        </is>
      </c>
      <c r="AB525" s="151" t="n"/>
      <c r="AC525" s="151" t="n"/>
      <c r="AD525" s="150" t="n">
        <v>0.81911</v>
      </c>
      <c r="AE525" s="149" t="n">
        <v>0.23</v>
      </c>
      <c r="AF525" s="151" t="inlineStr">
        <is>
          <t>grams</t>
        </is>
      </c>
      <c r="AG525" s="151" t="n"/>
      <c r="AH525" s="151" t="n"/>
    </row>
    <row r="526">
      <c r="A526" s="151" t="inlineStr">
        <is>
          <t>FV0472A - Indian Butter Chicken [DKSE]</t>
        </is>
      </c>
      <c r="B526" s="151" t="inlineStr">
        <is>
          <t>REC-013852-4-001</t>
        </is>
      </c>
      <c r="C526" s="151" t="inlineStr">
        <is>
          <t>Diced chicken - Butter Chicken Batch - BA</t>
        </is>
      </c>
      <c r="D526" s="151" t="inlineStr">
        <is>
          <t>SUB-013850-4-001</t>
        </is>
      </c>
      <c r="E526" s="150" t="n">
        <v>115</v>
      </c>
      <c r="F526" s="151" t="inlineStr">
        <is>
          <t>grams</t>
        </is>
      </c>
      <c r="G526" s="151" t="inlineStr">
        <is>
          <t>BLAST CHILLER, MARINADE, OVEN</t>
        </is>
      </c>
      <c r="H526" s="151" t="inlineStr">
        <is>
          <t>Factor Garam Masala Spice Blend</t>
        </is>
      </c>
      <c r="I526" s="151" t="inlineStr">
        <is>
          <t>SUB-013507-4-001</t>
        </is>
      </c>
      <c r="J526" s="150" t="n">
        <v>0.92</v>
      </c>
      <c r="K526" s="151" t="inlineStr">
        <is>
          <t>grams</t>
        </is>
      </c>
      <c r="L526" s="151" t="inlineStr">
        <is>
          <t>HAND MIX, SPICE PORTIONING</t>
        </is>
      </c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inlineStr">
        <is>
          <t>FA-DE Spice, Fennel Ground /Gewürz, Fenchel gemahlen</t>
        </is>
      </c>
      <c r="X526" s="151" t="inlineStr">
        <is>
          <t>SPI-00-139351-5</t>
        </is>
      </c>
      <c r="Y526" s="151" t="inlineStr">
        <is>
          <t>0,03</t>
        </is>
      </c>
      <c r="Z526" s="149" t="inlineStr">
        <is>
          <t>0,03</t>
        </is>
      </c>
      <c r="AA526" s="151" t="inlineStr">
        <is>
          <t>grams</t>
        </is>
      </c>
      <c r="AB526" s="151" t="n"/>
      <c r="AC526" s="151" t="n"/>
      <c r="AD526" s="150" t="n">
        <v>0.98</v>
      </c>
      <c r="AE526" s="149" t="n">
        <v>0.03</v>
      </c>
      <c r="AF526" s="151" t="inlineStr">
        <is>
          <t>grams</t>
        </is>
      </c>
      <c r="AG526" s="151" t="n"/>
      <c r="AH526" s="151" t="n"/>
    </row>
    <row r="527">
      <c r="A527" s="151" t="inlineStr">
        <is>
          <t>FV0472A - Indian Butter Chicken [DKSE]</t>
        </is>
      </c>
      <c r="B527" s="151" t="inlineStr">
        <is>
          <t>REC-013852-4-001</t>
        </is>
      </c>
      <c r="C527" s="151" t="inlineStr">
        <is>
          <t>Diced chicken - Butter Chicken Batch - BA</t>
        </is>
      </c>
      <c r="D527" s="151" t="inlineStr">
        <is>
          <t>SUB-013850-4-001</t>
        </is>
      </c>
      <c r="E527" s="150" t="n">
        <v>115</v>
      </c>
      <c r="F527" s="151" t="inlineStr">
        <is>
          <t>grams</t>
        </is>
      </c>
      <c r="G527" s="151" t="inlineStr">
        <is>
          <t>BLAST CHILLER, MARINADE, OVEN</t>
        </is>
      </c>
      <c r="H527" s="151" t="inlineStr">
        <is>
          <t>Factor Garam Masala Spice Blend</t>
        </is>
      </c>
      <c r="I527" s="151" t="inlineStr">
        <is>
          <t>SUB-013507-4-001</t>
        </is>
      </c>
      <c r="J527" s="150" t="n">
        <v>0.92</v>
      </c>
      <c r="K527" s="151" t="inlineStr">
        <is>
          <t>grams</t>
        </is>
      </c>
      <c r="L527" s="151" t="inlineStr">
        <is>
          <t>HAND MIX, SPICE PORTIONING</t>
        </is>
      </c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inlineStr">
        <is>
          <t>FA-DE Spice, Nutmeg Ground /Gewürz, gemahlene Muskatnuss</t>
        </is>
      </c>
      <c r="X527" s="151" t="inlineStr">
        <is>
          <t>SPI-00-139368-5</t>
        </is>
      </c>
      <c r="Y527" s="151" t="inlineStr">
        <is>
          <t>0,06</t>
        </is>
      </c>
      <c r="Z527" s="149" t="inlineStr">
        <is>
          <t>0,06</t>
        </is>
      </c>
      <c r="AA527" s="151" t="inlineStr">
        <is>
          <t>grams</t>
        </is>
      </c>
      <c r="AB527" s="151" t="n"/>
      <c r="AC527" s="151" t="n"/>
      <c r="AD527" s="150" t="n">
        <v>0.98</v>
      </c>
      <c r="AE527" s="149" t="n">
        <v>0.06</v>
      </c>
      <c r="AF527" s="151" t="inlineStr">
        <is>
          <t>grams</t>
        </is>
      </c>
      <c r="AG527" s="151" t="n"/>
      <c r="AH527" s="151" t="n"/>
    </row>
    <row r="528">
      <c r="A528" s="151" t="inlineStr">
        <is>
          <t>FV0472A - Indian Butter Chicken [DKSE]</t>
        </is>
      </c>
      <c r="B528" s="151" t="inlineStr">
        <is>
          <t>REC-013852-4-001</t>
        </is>
      </c>
      <c r="C528" s="151" t="inlineStr">
        <is>
          <t>Diced chicken - Butter Chicken Batch - BA</t>
        </is>
      </c>
      <c r="D528" s="151" t="inlineStr">
        <is>
          <t>SUB-013850-4-001</t>
        </is>
      </c>
      <c r="E528" s="150" t="n">
        <v>115</v>
      </c>
      <c r="F528" s="151" t="inlineStr">
        <is>
          <t>grams</t>
        </is>
      </c>
      <c r="G528" s="151" t="inlineStr">
        <is>
          <t>BLAST CHILLER, MARINADE, OVEN</t>
        </is>
      </c>
      <c r="H528" s="151" t="inlineStr">
        <is>
          <t>Factor Garam Masala Spice Blend</t>
        </is>
      </c>
      <c r="I528" s="151" t="inlineStr">
        <is>
          <t>SUB-013507-4-001</t>
        </is>
      </c>
      <c r="J528" s="150" t="n">
        <v>0.92</v>
      </c>
      <c r="K528" s="151" t="inlineStr">
        <is>
          <t>grams</t>
        </is>
      </c>
      <c r="L528" s="151" t="inlineStr">
        <is>
          <t>HAND MIX, SPICE PORTIONING</t>
        </is>
      </c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inlineStr">
        <is>
          <t>FA-DE Spice, Coriander Ground /Gewürz, gemahlener Koriander</t>
        </is>
      </c>
      <c r="X528" s="151" t="inlineStr">
        <is>
          <t>SPI-00-139386-5</t>
        </is>
      </c>
      <c r="Y528" s="151" t="inlineStr">
        <is>
          <t>0,18</t>
        </is>
      </c>
      <c r="Z528" s="149" t="inlineStr">
        <is>
          <t>0,18</t>
        </is>
      </c>
      <c r="AA528" s="151" t="inlineStr">
        <is>
          <t>grams</t>
        </is>
      </c>
      <c r="AB528" s="151" t="n"/>
      <c r="AC528" s="151" t="n"/>
      <c r="AD528" s="150" t="n">
        <v>0.98</v>
      </c>
      <c r="AE528" s="149" t="n">
        <v>0.18</v>
      </c>
      <c r="AF528" s="151" t="inlineStr">
        <is>
          <t>grams</t>
        </is>
      </c>
      <c r="AG528" s="151" t="n"/>
      <c r="AH528" s="151" t="n"/>
    </row>
    <row r="529">
      <c r="A529" s="151" t="inlineStr">
        <is>
          <t>FV0472A - Indian Butter Chicken [DKSE]</t>
        </is>
      </c>
      <c r="B529" s="151" t="inlineStr">
        <is>
          <t>REC-013852-4-001</t>
        </is>
      </c>
      <c r="C529" s="151" t="inlineStr">
        <is>
          <t>Diced chicken - Butter Chicken Batch - BA</t>
        </is>
      </c>
      <c r="D529" s="151" t="inlineStr">
        <is>
          <t>SUB-013850-4-001</t>
        </is>
      </c>
      <c r="E529" s="150" t="n">
        <v>115</v>
      </c>
      <c r="F529" s="151" t="inlineStr">
        <is>
          <t>grams</t>
        </is>
      </c>
      <c r="G529" s="151" t="inlineStr">
        <is>
          <t>BLAST CHILLER, MARINADE, OVEN</t>
        </is>
      </c>
      <c r="H529" s="151" t="inlineStr">
        <is>
          <t>Factor Garam Masala Spice Blend</t>
        </is>
      </c>
      <c r="I529" s="151" t="inlineStr">
        <is>
          <t>SUB-013507-4-001</t>
        </is>
      </c>
      <c r="J529" s="150" t="n">
        <v>0.92</v>
      </c>
      <c r="K529" s="151" t="inlineStr">
        <is>
          <t>grams</t>
        </is>
      </c>
      <c r="L529" s="151" t="inlineStr">
        <is>
          <t>HAND MIX, SPICE PORTIONING</t>
        </is>
      </c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inlineStr">
        <is>
          <t>FA-DE Spice, Cinnamon Ground /Gewürz, gemahlener Zimt</t>
        </is>
      </c>
      <c r="X529" s="151" t="inlineStr">
        <is>
          <t>SPI-00-139341-5</t>
        </is>
      </c>
      <c r="Y529" s="151" t="inlineStr">
        <is>
          <t>0,12</t>
        </is>
      </c>
      <c r="Z529" s="149" t="inlineStr">
        <is>
          <t>0,12</t>
        </is>
      </c>
      <c r="AA529" s="151" t="inlineStr">
        <is>
          <t>grams</t>
        </is>
      </c>
      <c r="AB529" s="151" t="n"/>
      <c r="AC529" s="151" t="n"/>
      <c r="AD529" s="150" t="n">
        <v>0.98</v>
      </c>
      <c r="AE529" s="149" t="n">
        <v>0.12</v>
      </c>
      <c r="AF529" s="151" t="inlineStr">
        <is>
          <t>grams</t>
        </is>
      </c>
      <c r="AG529" s="151" t="n"/>
      <c r="AH529" s="151" t="n"/>
    </row>
    <row r="530">
      <c r="A530" s="151" t="inlineStr">
        <is>
          <t>FV0472A - Indian Butter Chicken [DKSE]</t>
        </is>
      </c>
      <c r="B530" s="151" t="inlineStr">
        <is>
          <t>REC-013852-4-001</t>
        </is>
      </c>
      <c r="C530" s="151" t="inlineStr">
        <is>
          <t>Diced chicken - Butter Chicken Batch - BA</t>
        </is>
      </c>
      <c r="D530" s="151" t="inlineStr">
        <is>
          <t>SUB-013850-4-001</t>
        </is>
      </c>
      <c r="E530" s="150" t="n">
        <v>115</v>
      </c>
      <c r="F530" s="151" t="inlineStr">
        <is>
          <t>grams</t>
        </is>
      </c>
      <c r="G530" s="151" t="inlineStr">
        <is>
          <t>BLAST CHILLER, MARINADE, OVEN</t>
        </is>
      </c>
      <c r="H530" s="151" t="inlineStr">
        <is>
          <t>Factor Garam Masala Spice Blend</t>
        </is>
      </c>
      <c r="I530" s="151" t="inlineStr">
        <is>
          <t>SUB-013507-4-001</t>
        </is>
      </c>
      <c r="J530" s="150" t="n">
        <v>0.92</v>
      </c>
      <c r="K530" s="151" t="inlineStr">
        <is>
          <t>grams</t>
        </is>
      </c>
      <c r="L530" s="151" t="inlineStr">
        <is>
          <t>HAND MIX, SPICE PORTIONING</t>
        </is>
      </c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inlineStr">
        <is>
          <t>FA-DE Spice, Cumin Ground /Gewürz, gemahlener Kreuzkümmel</t>
        </is>
      </c>
      <c r="X530" s="151" t="inlineStr">
        <is>
          <t>SPI-00-139345-5</t>
        </is>
      </c>
      <c r="Y530" s="151" t="inlineStr">
        <is>
          <t>0,37</t>
        </is>
      </c>
      <c r="Z530" s="149" t="inlineStr">
        <is>
          <t>0,37</t>
        </is>
      </c>
      <c r="AA530" s="151" t="inlineStr">
        <is>
          <t>grams</t>
        </is>
      </c>
      <c r="AB530" s="151" t="n"/>
      <c r="AC530" s="151" t="n"/>
      <c r="AD530" s="150" t="n">
        <v>0.98</v>
      </c>
      <c r="AE530" s="149" t="n">
        <v>0.37</v>
      </c>
      <c r="AF530" s="151" t="inlineStr">
        <is>
          <t>grams</t>
        </is>
      </c>
      <c r="AG530" s="151" t="n"/>
      <c r="AH530" s="151" t="n"/>
    </row>
    <row r="531">
      <c r="A531" s="151" t="inlineStr">
        <is>
          <t>FV0472A - Indian Butter Chicken [DKSE]</t>
        </is>
      </c>
      <c r="B531" s="151" t="inlineStr">
        <is>
          <t>REC-013852-4-001</t>
        </is>
      </c>
      <c r="C531" s="151" t="inlineStr">
        <is>
          <t>Diced chicken - Butter Chicken Batch - BA</t>
        </is>
      </c>
      <c r="D531" s="151" t="inlineStr">
        <is>
          <t>SUB-013850-4-001</t>
        </is>
      </c>
      <c r="E531" s="150" t="n">
        <v>115</v>
      </c>
      <c r="F531" s="151" t="inlineStr">
        <is>
          <t>grams</t>
        </is>
      </c>
      <c r="G531" s="151" t="inlineStr">
        <is>
          <t>BLAST CHILLER, MARINADE, OVEN</t>
        </is>
      </c>
      <c r="H531" s="151" t="inlineStr">
        <is>
          <t>Factor Garam Masala Spice Blend</t>
        </is>
      </c>
      <c r="I531" s="151" t="inlineStr">
        <is>
          <t>SUB-013507-4-001</t>
        </is>
      </c>
      <c r="J531" s="150" t="n">
        <v>0.92</v>
      </c>
      <c r="K531" s="151" t="inlineStr">
        <is>
          <t>grams</t>
        </is>
      </c>
      <c r="L531" s="151" t="inlineStr">
        <is>
          <t>HAND MIX, SPICE PORTIONING</t>
        </is>
      </c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inlineStr">
        <is>
          <t>FA-DE Spice, Cloves Ground /Gewürze, gemahlene Nelken</t>
        </is>
      </c>
      <c r="X531" s="151" t="inlineStr">
        <is>
          <t>SPI-00-139342-5</t>
        </is>
      </c>
      <c r="Y531" s="151" t="inlineStr">
        <is>
          <t>0,06</t>
        </is>
      </c>
      <c r="Z531" s="149" t="inlineStr">
        <is>
          <t>0,06</t>
        </is>
      </c>
      <c r="AA531" s="151" t="inlineStr">
        <is>
          <t>grams</t>
        </is>
      </c>
      <c r="AB531" s="151" t="n"/>
      <c r="AC531" s="151" t="n"/>
      <c r="AD531" s="150" t="n">
        <v>0.98</v>
      </c>
      <c r="AE531" s="149" t="n">
        <v>0.06</v>
      </c>
      <c r="AF531" s="151" t="inlineStr">
        <is>
          <t>grams</t>
        </is>
      </c>
      <c r="AG531" s="151" t="n"/>
      <c r="AH531" s="151" t="n"/>
    </row>
    <row r="532">
      <c r="A532" s="151" t="inlineStr">
        <is>
          <t>FV0472A - Indian Butter Chicken [DKSE]</t>
        </is>
      </c>
      <c r="B532" s="151" t="inlineStr">
        <is>
          <t>REC-013852-4-001</t>
        </is>
      </c>
      <c r="C532" s="151" t="inlineStr">
        <is>
          <t>Diced chicken - Butter Chicken Batch - BA</t>
        </is>
      </c>
      <c r="D532" s="151" t="inlineStr">
        <is>
          <t>SUB-013850-4-001</t>
        </is>
      </c>
      <c r="E532" s="150" t="n">
        <v>115</v>
      </c>
      <c r="F532" s="151" t="inlineStr">
        <is>
          <t>grams</t>
        </is>
      </c>
      <c r="G532" s="151" t="inlineStr">
        <is>
          <t>BLAST CHILLER, MARINADE, OVEN</t>
        </is>
      </c>
      <c r="H532" s="151" t="inlineStr">
        <is>
          <t>Factor Garam Masala Spice Blend</t>
        </is>
      </c>
      <c r="I532" s="151" t="inlineStr">
        <is>
          <t>SUB-013507-4-001</t>
        </is>
      </c>
      <c r="J532" s="150" t="n">
        <v>0.92</v>
      </c>
      <c r="K532" s="151" t="inlineStr">
        <is>
          <t>grams</t>
        </is>
      </c>
      <c r="L532" s="151" t="inlineStr">
        <is>
          <t>HAND MIX, SPICE PORTIONING</t>
        </is>
      </c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inlineStr">
        <is>
          <t>FA-DE Spice, Black Pepper, Ground /Gewürz, schwarzer Pfeffer, gemahlen</t>
        </is>
      </c>
      <c r="X532" s="151" t="inlineStr">
        <is>
          <t>SPI-00-139334-5</t>
        </is>
      </c>
      <c r="Y532" s="151" t="inlineStr">
        <is>
          <t>0,09</t>
        </is>
      </c>
      <c r="Z532" s="149" t="inlineStr">
        <is>
          <t>0,09</t>
        </is>
      </c>
      <c r="AA532" s="151" t="inlineStr">
        <is>
          <t>grams</t>
        </is>
      </c>
      <c r="AB532" s="151" t="n"/>
      <c r="AC532" s="151" t="n"/>
      <c r="AD532" s="150" t="n">
        <v>0.98</v>
      </c>
      <c r="AE532" s="149" t="n">
        <v>0.09</v>
      </c>
      <c r="AF532" s="151" t="inlineStr">
        <is>
          <t>grams</t>
        </is>
      </c>
      <c r="AG532" s="151" t="n"/>
      <c r="AH532" s="151" t="n"/>
    </row>
    <row r="533">
      <c r="A533" s="151" t="inlineStr">
        <is>
          <t>FV0472A - Indian Butter Chicken [DKSE]</t>
        </is>
      </c>
      <c r="B533" s="151" t="inlineStr">
        <is>
          <t>REC-013852-4-001</t>
        </is>
      </c>
      <c r="C533" s="151" t="inlineStr">
        <is>
          <t>Diced chicken - Butter Chicken Batch - BA</t>
        </is>
      </c>
      <c r="D533" s="151" t="inlineStr">
        <is>
          <t>SUB-013850-4-001</t>
        </is>
      </c>
      <c r="E533" s="150" t="n">
        <v>115</v>
      </c>
      <c r="F533" s="151" t="inlineStr">
        <is>
          <t>grams</t>
        </is>
      </c>
      <c r="G533" s="151" t="inlineStr">
        <is>
          <t>BLAST CHILLER, MARINADE, OVEN</t>
        </is>
      </c>
      <c r="H533" s="151" t="inlineStr">
        <is>
          <t>Factor Garam Masala Spice Blend</t>
        </is>
      </c>
      <c r="I533" s="151" t="inlineStr">
        <is>
          <t>SUB-013507-4-001</t>
        </is>
      </c>
      <c r="J533" s="150" t="n">
        <v>0.92</v>
      </c>
      <c r="K533" s="151" t="inlineStr">
        <is>
          <t>grams</t>
        </is>
      </c>
      <c r="L533" s="151" t="inlineStr">
        <is>
          <t>HAND MIX, SPICE PORTIONING</t>
        </is>
      </c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inlineStr">
        <is>
          <t>FA-DE Spice, Turmeric /Gewürz, Kurkuma</t>
        </is>
      </c>
      <c r="X533" s="151" t="inlineStr">
        <is>
          <t>SPI-00-139384-5</t>
        </is>
      </c>
      <c r="Y533" s="151" t="inlineStr">
        <is>
          <t>0,03</t>
        </is>
      </c>
      <c r="Z533" s="149" t="inlineStr">
        <is>
          <t>0,03</t>
        </is>
      </c>
      <c r="AA533" s="151" t="inlineStr">
        <is>
          <t>grams</t>
        </is>
      </c>
      <c r="AB533" s="151" t="n"/>
      <c r="AC533" s="151" t="n"/>
      <c r="AD533" s="150" t="n">
        <v>0.98</v>
      </c>
      <c r="AE533" s="149" t="n">
        <v>0.03</v>
      </c>
      <c r="AF533" s="151" t="inlineStr">
        <is>
          <t>grams</t>
        </is>
      </c>
      <c r="AG533" s="151" t="n"/>
      <c r="AH533" s="151" t="n"/>
    </row>
    <row r="534">
      <c r="A534" s="151" t="inlineStr">
        <is>
          <t>FV0472A - Indian Butter Chicken [DKSE]</t>
        </is>
      </c>
      <c r="B534" s="151" t="inlineStr">
        <is>
          <t>REC-013852-4-001</t>
        </is>
      </c>
      <c r="C534" s="151" t="inlineStr">
        <is>
          <t>Diced chicken - Butter Chicken Batch - BA</t>
        </is>
      </c>
      <c r="D534" s="151" t="inlineStr">
        <is>
          <t>SUB-013850-4-001</t>
        </is>
      </c>
      <c r="E534" s="150" t="n">
        <v>115</v>
      </c>
      <c r="F534" s="151" t="inlineStr">
        <is>
          <t>grams</t>
        </is>
      </c>
      <c r="G534" s="151" t="inlineStr">
        <is>
          <t>BLAST CHILLER, MARINADE, OVEN</t>
        </is>
      </c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inlineStr">
        <is>
          <t>FA-DE Garlic, IQF, Diced 4 mm /Knoblauch, IQF, gewürfelt 4 mm</t>
        </is>
      </c>
      <c r="X534" s="151" t="inlineStr">
        <is>
          <t>PHF-00-139237-1</t>
        </is>
      </c>
      <c r="Y534" s="151" t="inlineStr">
        <is>
          <t>0,92</t>
        </is>
      </c>
      <c r="Z534" s="149" t="inlineStr">
        <is>
          <t>0,92</t>
        </is>
      </c>
      <c r="AA534" s="151" t="inlineStr">
        <is>
          <t>grams</t>
        </is>
      </c>
      <c r="AB534" s="151" t="inlineStr">
        <is>
          <t>SCHWEFELDIOXIDE UND SULFITE</t>
        </is>
      </c>
      <c r="AC534" s="151" t="n"/>
      <c r="AD534" s="150" t="n">
        <v>0.81911</v>
      </c>
      <c r="AE534" s="149" t="n">
        <v>0.92</v>
      </c>
      <c r="AF534" s="151" t="inlineStr">
        <is>
          <t>grams</t>
        </is>
      </c>
      <c r="AG534" s="151" t="n"/>
      <c r="AH534" s="151" t="n"/>
    </row>
    <row r="535">
      <c r="A535" s="151" t="inlineStr">
        <is>
          <t>FV0472A - Indian Butter Chicken [DKSE]</t>
        </is>
      </c>
      <c r="B535" s="151" t="inlineStr">
        <is>
          <t>REC-013852-4-001</t>
        </is>
      </c>
      <c r="C535" s="151" t="inlineStr">
        <is>
          <t>Diced chicken - Butter Chicken Batch - BA</t>
        </is>
      </c>
      <c r="D535" s="151" t="inlineStr">
        <is>
          <t>SUB-013850-4-001</t>
        </is>
      </c>
      <c r="E535" s="150" t="n">
        <v>115</v>
      </c>
      <c r="F535" s="151" t="inlineStr">
        <is>
          <t>grams</t>
        </is>
      </c>
      <c r="G535" s="151" t="inlineStr">
        <is>
          <t>BLAST CHILLER, MARINADE, OVEN</t>
        </is>
      </c>
      <c r="H535" s="151" t="inlineStr">
        <is>
          <t>Chicken CHUNKS - BRINED</t>
        </is>
      </c>
      <c r="I535" s="151" t="inlineStr">
        <is>
          <t>SUB-013451-4-001</t>
        </is>
      </c>
      <c r="J535" s="150" t="n">
        <v>128.29</v>
      </c>
      <c r="K535" s="151" t="inlineStr">
        <is>
          <t>grams</t>
        </is>
      </c>
      <c r="L535" s="151" t="inlineStr">
        <is>
          <t>BRINE</t>
        </is>
      </c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inlineStr">
        <is>
          <t>FA-DE Water / Wasser</t>
        </is>
      </c>
      <c r="X535" s="151" t="inlineStr">
        <is>
          <t>OTH-00-144038-5</t>
        </is>
      </c>
      <c r="Y535" s="151" t="inlineStr">
        <is>
          <t>128,29</t>
        </is>
      </c>
      <c r="Z535" s="149" t="inlineStr">
        <is>
          <t>128,29</t>
        </is>
      </c>
      <c r="AA535" s="151" t="inlineStr">
        <is>
          <t>grams</t>
        </is>
      </c>
      <c r="AB535" s="151" t="n"/>
      <c r="AC535" s="151" t="n"/>
      <c r="AD535" s="150" t="n">
        <v>0.4978</v>
      </c>
      <c r="AE535" s="149" t="n">
        <v>128.29</v>
      </c>
      <c r="AF535" s="151" t="inlineStr">
        <is>
          <t>grams</t>
        </is>
      </c>
      <c r="AG535" s="151" t="n"/>
      <c r="AH535" s="151" t="n"/>
    </row>
    <row r="536">
      <c r="A536" s="151" t="inlineStr">
        <is>
          <t>FV0472A - Indian Butter Chicken [DKSE]</t>
        </is>
      </c>
      <c r="B536" s="151" t="inlineStr">
        <is>
          <t>REC-013852-4-001</t>
        </is>
      </c>
      <c r="C536" s="151" t="inlineStr">
        <is>
          <t>Diced chicken - Butter Chicken Batch - BA</t>
        </is>
      </c>
      <c r="D536" s="151" t="inlineStr">
        <is>
          <t>SUB-013850-4-001</t>
        </is>
      </c>
      <c r="E536" s="150" t="n">
        <v>115</v>
      </c>
      <c r="F536" s="151" t="inlineStr">
        <is>
          <t>grams</t>
        </is>
      </c>
      <c r="G536" s="151" t="inlineStr">
        <is>
          <t>BLAST CHILLER, MARINADE, OVEN</t>
        </is>
      </c>
      <c r="H536" s="151" t="inlineStr">
        <is>
          <t>Chicken CHUNKS - BRINED</t>
        </is>
      </c>
      <c r="I536" s="151" t="inlineStr">
        <is>
          <t>SUB-013451-4-001</t>
        </is>
      </c>
      <c r="J536" s="150" t="n">
        <v>128.29</v>
      </c>
      <c r="K536" s="151" t="inlineStr">
        <is>
          <t>grams</t>
        </is>
      </c>
      <c r="L536" s="151" t="inlineStr">
        <is>
          <t>BRINE</t>
        </is>
      </c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inlineStr">
        <is>
          <t>FA-DE Spice, Sea Salt /Gewürze, Meersalz</t>
        </is>
      </c>
      <c r="X536" s="151" t="inlineStr">
        <is>
          <t>SPI-00-139378-5</t>
        </is>
      </c>
      <c r="Y536" s="153" t="inlineStr">
        <is>
          <t>1,13</t>
        </is>
      </c>
      <c r="Z536" s="149" t="inlineStr">
        <is>
          <t>1,13</t>
        </is>
      </c>
      <c r="AA536" s="151" t="inlineStr">
        <is>
          <t>grams</t>
        </is>
      </c>
      <c r="AB536" s="151" t="n"/>
      <c r="AC536" s="151" t="n"/>
      <c r="AD536" s="150" t="n">
        <v>0.4978</v>
      </c>
      <c r="AE536" s="149" t="n">
        <v>1.13</v>
      </c>
      <c r="AF536" s="151" t="inlineStr">
        <is>
          <t>grams</t>
        </is>
      </c>
      <c r="AG536" s="151" t="n"/>
      <c r="AH536" s="151" t="n"/>
    </row>
    <row r="537">
      <c r="A537" s="151" t="inlineStr">
        <is>
          <t>FV0472A - Indian Butter Chicken [DKSE]</t>
        </is>
      </c>
      <c r="B537" s="151" t="inlineStr">
        <is>
          <t>REC-013852-4-001</t>
        </is>
      </c>
      <c r="C537" s="151" t="inlineStr">
        <is>
          <t>Diced chicken - Butter Chicken Batch - BA</t>
        </is>
      </c>
      <c r="D537" s="151" t="inlineStr">
        <is>
          <t>SUB-013850-4-001</t>
        </is>
      </c>
      <c r="E537" s="150" t="n">
        <v>115</v>
      </c>
      <c r="F537" s="151" t="inlineStr">
        <is>
          <t>grams</t>
        </is>
      </c>
      <c r="G537" s="151" t="inlineStr">
        <is>
          <t>BLAST CHILLER, MARINADE, OVEN</t>
        </is>
      </c>
      <c r="H537" s="151" t="inlineStr">
        <is>
          <t>Chicken CHUNKS - BRINED</t>
        </is>
      </c>
      <c r="I537" s="151" t="inlineStr">
        <is>
          <t>SUB-013451-4-001</t>
        </is>
      </c>
      <c r="J537" s="150" t="n">
        <v>128.29</v>
      </c>
      <c r="K537" s="151" t="inlineStr">
        <is>
          <t>grams</t>
        </is>
      </c>
      <c r="L537" s="151" t="inlineStr">
        <is>
          <t>BRINE</t>
        </is>
      </c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inlineStr">
        <is>
          <t>FA-DE Chicken Breast, Chunked, Boneless Skinless /Hähnchenbrust, in Stücken, ohne Knochen und ohne Haut</t>
        </is>
      </c>
      <c r="X537" s="151" t="inlineStr">
        <is>
          <t>PTN-00-139314-3</t>
        </is>
      </c>
      <c r="Y537" s="151" t="inlineStr">
        <is>
          <t>128,29</t>
        </is>
      </c>
      <c r="Z537" s="149" t="inlineStr">
        <is>
          <t>128,29</t>
        </is>
      </c>
      <c r="AA537" s="151" t="inlineStr">
        <is>
          <t>grams</t>
        </is>
      </c>
      <c r="AB537" s="151" t="n"/>
      <c r="AC537" s="151" t="n"/>
      <c r="AD537" s="150" t="n">
        <v>0.4978</v>
      </c>
      <c r="AE537" s="149" t="n">
        <v>128.29</v>
      </c>
      <c r="AF537" s="151" t="inlineStr">
        <is>
          <t>grams</t>
        </is>
      </c>
      <c r="AG537" s="151" t="n"/>
      <c r="AH537" s="151" t="n"/>
    </row>
    <row r="538">
      <c r="A538" s="151" t="inlineStr">
        <is>
          <t>FV0472A - Indian Butter Chicken [DKSE]</t>
        </is>
      </c>
      <c r="B538" s="151" t="inlineStr">
        <is>
          <t>REC-013852-4-001</t>
        </is>
      </c>
      <c r="C538" s="151" t="inlineStr">
        <is>
          <t>Diced chicken - Butter Chicken Batch - BA</t>
        </is>
      </c>
      <c r="D538" s="151" t="inlineStr">
        <is>
          <t>SUB-013850-4-001</t>
        </is>
      </c>
      <c r="E538" s="150" t="n">
        <v>115</v>
      </c>
      <c r="F538" s="151" t="inlineStr">
        <is>
          <t>grams</t>
        </is>
      </c>
      <c r="G538" s="151" t="inlineStr">
        <is>
          <t>BLAST CHILLER, MARINADE, OVEN</t>
        </is>
      </c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inlineStr">
        <is>
          <t>FA-DE Yogurt, Greek, Plain /Joghurt, Griechisch, Natur</t>
        </is>
      </c>
      <c r="X538" s="151" t="inlineStr">
        <is>
          <t>DAI-00-139161-3</t>
        </is>
      </c>
      <c r="Y538" s="151" t="inlineStr">
        <is>
          <t>6,87</t>
        </is>
      </c>
      <c r="Z538" s="149" t="inlineStr">
        <is>
          <t>6,87</t>
        </is>
      </c>
      <c r="AA538" s="151" t="inlineStr">
        <is>
          <t>grams</t>
        </is>
      </c>
      <c r="AB538" s="151" t="inlineStr">
        <is>
          <t>MILCH (EINSCHLIESSLICH LAKTOSE)</t>
        </is>
      </c>
      <c r="AC538" s="151" t="n"/>
      <c r="AD538" s="150" t="n">
        <v>0.81911</v>
      </c>
      <c r="AE538" s="149" t="n">
        <v>6.87</v>
      </c>
      <c r="AF538" s="151" t="inlineStr">
        <is>
          <t>grams</t>
        </is>
      </c>
      <c r="AG538" s="151" t="n"/>
      <c r="AH538" s="151" t="n"/>
    </row>
    <row r="539">
      <c r="A539" s="151" t="inlineStr">
        <is>
          <t>FV0472A - Indian Butter Chicken [DKSE]</t>
        </is>
      </c>
      <c r="B539" s="151" t="inlineStr">
        <is>
          <t>REC-013852-4-001</t>
        </is>
      </c>
      <c r="C539" s="151" t="inlineStr">
        <is>
          <t>Diced chicken - Butter Chicken Batch - BA</t>
        </is>
      </c>
      <c r="D539" s="151" t="inlineStr">
        <is>
          <t>SUB-013850-4-001</t>
        </is>
      </c>
      <c r="E539" s="150" t="n">
        <v>115</v>
      </c>
      <c r="F539" s="151" t="inlineStr">
        <is>
          <t>grams</t>
        </is>
      </c>
      <c r="G539" s="151" t="inlineStr">
        <is>
          <t>BLAST CHILLER, MARINADE, OVEN</t>
        </is>
      </c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inlineStr">
        <is>
          <t>FA-DE Spice, Cumin Ground /Gewürz, gemahlener Kreuzkümmel</t>
        </is>
      </c>
      <c r="X539" s="151" t="inlineStr">
        <is>
          <t>SPI-00-139345-5</t>
        </is>
      </c>
      <c r="Y539" s="151" t="inlineStr">
        <is>
          <t>0,34</t>
        </is>
      </c>
      <c r="Z539" s="149" t="inlineStr">
        <is>
          <t>0,34</t>
        </is>
      </c>
      <c r="AA539" s="151" t="inlineStr">
        <is>
          <t>grams</t>
        </is>
      </c>
      <c r="AB539" s="151" t="n"/>
      <c r="AC539" s="151" t="n"/>
      <c r="AD539" s="150" t="n">
        <v>0.81911</v>
      </c>
      <c r="AE539" s="149" t="n">
        <v>0.34</v>
      </c>
      <c r="AF539" s="151" t="inlineStr">
        <is>
          <t>grams</t>
        </is>
      </c>
      <c r="AG539" s="151" t="n"/>
      <c r="AH539" s="151" t="n"/>
    </row>
    <row r="540">
      <c r="A540" s="151" t="inlineStr">
        <is>
          <t>FV0472A - Indian Butter Chicken [DKSE]</t>
        </is>
      </c>
      <c r="B540" s="151" t="inlineStr">
        <is>
          <t>REC-013852-4-001</t>
        </is>
      </c>
      <c r="C540" s="151" t="inlineStr">
        <is>
          <t>Diced chicken - Butter Chicken Batch - BA</t>
        </is>
      </c>
      <c r="D540" s="151" t="inlineStr">
        <is>
          <t>SUB-013850-4-001</t>
        </is>
      </c>
      <c r="E540" s="150" t="n">
        <v>115</v>
      </c>
      <c r="F540" s="151" t="inlineStr">
        <is>
          <t>grams</t>
        </is>
      </c>
      <c r="G540" s="151" t="inlineStr">
        <is>
          <t>BLAST CHILLER, MARINADE, OVEN</t>
        </is>
      </c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inlineStr">
        <is>
          <t>FA-DE Ginger, IQF, Diced 4 mm /Ingwer, IQF, gewürfelt 4 mm</t>
        </is>
      </c>
      <c r="X540" s="151" t="inlineStr">
        <is>
          <t>PHF-00-139238-1</t>
        </is>
      </c>
      <c r="Y540" s="151" t="inlineStr">
        <is>
          <t>2,29</t>
        </is>
      </c>
      <c r="Z540" s="149" t="inlineStr">
        <is>
          <t>2,29</t>
        </is>
      </c>
      <c r="AA540" s="151" t="inlineStr">
        <is>
          <t>grams</t>
        </is>
      </c>
      <c r="AB540" s="151" t="inlineStr">
        <is>
          <t>SCHWEFELDIOXIDE UND SULFITE</t>
        </is>
      </c>
      <c r="AC540" s="151" t="n"/>
      <c r="AD540" s="150" t="n">
        <v>0.81911</v>
      </c>
      <c r="AE540" s="149" t="n">
        <v>2.29</v>
      </c>
      <c r="AF540" s="151" t="inlineStr">
        <is>
          <t>grams</t>
        </is>
      </c>
      <c r="AG540" s="151" t="n"/>
      <c r="AH540" s="151" t="n"/>
    </row>
    <row r="541">
      <c r="A541" s="151" t="inlineStr">
        <is>
          <t>FV0472A - Indian Butter Chicken [DKSE]</t>
        </is>
      </c>
      <c r="B541" s="151" t="inlineStr">
        <is>
          <t>REC-013852-4-001</t>
        </is>
      </c>
      <c r="C541" s="151" t="inlineStr">
        <is>
          <t>Sauce - Butter Chicken sauce</t>
        </is>
      </c>
      <c r="D541" s="151" t="inlineStr">
        <is>
          <t>SUB-013851-4-001</t>
        </is>
      </c>
      <c r="E541" s="150" t="n">
        <v>115</v>
      </c>
      <c r="F541" s="151" t="inlineStr">
        <is>
          <t>grams</t>
        </is>
      </c>
      <c r="G541" s="151" t="inlineStr">
        <is>
          <t>BLAST CHILLER, BRAISER, IMMERSION BLENDER, SPICE PORTIONING</t>
        </is>
      </c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inlineStr">
        <is>
          <t>FA-DE Spice, Fenugreek Powder /Gewürz, Bockshornkleepulver</t>
        </is>
      </c>
      <c r="X541" s="151" t="inlineStr">
        <is>
          <t>SPI-00-154750-5</t>
        </is>
      </c>
      <c r="Y541" s="151" t="inlineStr">
        <is>
          <t>0,1</t>
        </is>
      </c>
      <c r="Z541" s="149" t="inlineStr">
        <is>
          <t>0,1</t>
        </is>
      </c>
      <c r="AA541" s="151" t="inlineStr">
        <is>
          <t>grams</t>
        </is>
      </c>
      <c r="AB541" s="151" t="n"/>
      <c r="AC541" s="151" t="n"/>
      <c r="AD541" s="150" t="n">
        <v>0.91418</v>
      </c>
      <c r="AE541" s="149" t="n">
        <v>0.1</v>
      </c>
      <c r="AF541" s="151" t="inlineStr">
        <is>
          <t>grams</t>
        </is>
      </c>
      <c r="AG541" s="151" t="n"/>
      <c r="AH541" s="151" t="n"/>
    </row>
    <row r="542">
      <c r="A542" s="151" t="inlineStr">
        <is>
          <t>FV0472A - Indian Butter Chicken [DKSE]</t>
        </is>
      </c>
      <c r="B542" s="151" t="inlineStr">
        <is>
          <t>REC-013852-4-001</t>
        </is>
      </c>
      <c r="C542" s="151" t="inlineStr">
        <is>
          <t>Sauce - Butter Chicken sauce</t>
        </is>
      </c>
      <c r="D542" s="151" t="inlineStr">
        <is>
          <t>SUB-013851-4-001</t>
        </is>
      </c>
      <c r="E542" s="150" t="n">
        <v>115</v>
      </c>
      <c r="F542" s="151" t="inlineStr">
        <is>
          <t>grams</t>
        </is>
      </c>
      <c r="G542" s="151" t="inlineStr">
        <is>
          <t>BLAST CHILLER, BRAISER, IMMERSION BLENDER, SPICE PORTIONING</t>
        </is>
      </c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inlineStr">
        <is>
          <t>FA-DE Garlic, IQF, Diced 4 mm /Knoblauch, IQF, gewürfelt 4 mm</t>
        </is>
      </c>
      <c r="X542" s="151" t="inlineStr">
        <is>
          <t>PHF-00-139237-1</t>
        </is>
      </c>
      <c r="Y542" s="154" t="inlineStr">
        <is>
          <t>3,09</t>
        </is>
      </c>
      <c r="Z542" s="149" t="inlineStr">
        <is>
          <t>3,09</t>
        </is>
      </c>
      <c r="AA542" s="151" t="inlineStr">
        <is>
          <t>grams</t>
        </is>
      </c>
      <c r="AB542" s="151" t="inlineStr">
        <is>
          <t>SCHWEFELDIOXIDE UND SULFITE</t>
        </is>
      </c>
      <c r="AC542" s="151" t="n"/>
      <c r="AD542" s="150" t="n">
        <v>0.91418</v>
      </c>
      <c r="AE542" s="149" t="n">
        <v>3.09</v>
      </c>
      <c r="AF542" s="151" t="inlineStr">
        <is>
          <t>grams</t>
        </is>
      </c>
      <c r="AG542" s="151" t="n"/>
      <c r="AH542" s="151" t="n"/>
    </row>
    <row r="543">
      <c r="A543" s="151" t="inlineStr">
        <is>
          <t>FV0472A - Indian Butter Chicken [DKSE]</t>
        </is>
      </c>
      <c r="B543" s="151" t="inlineStr">
        <is>
          <t>REC-013852-4-001</t>
        </is>
      </c>
      <c r="C543" s="151" t="inlineStr">
        <is>
          <t>Sauce - Butter Chicken sauce</t>
        </is>
      </c>
      <c r="D543" s="151" t="inlineStr">
        <is>
          <t>SUB-013851-4-001</t>
        </is>
      </c>
      <c r="E543" s="150" t="n">
        <v>115</v>
      </c>
      <c r="F543" s="151" t="inlineStr">
        <is>
          <t>grams</t>
        </is>
      </c>
      <c r="G543" s="151" t="inlineStr">
        <is>
          <t>BLAST CHILLER, BRAISER, IMMERSION BLENDER, SPICE PORTIONING</t>
        </is>
      </c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inlineStr">
        <is>
          <t>FA-DE Spice, Cumin Ground /Gewürz, gemahlener Kreuzkümmel</t>
        </is>
      </c>
      <c r="X543" s="151" t="inlineStr">
        <is>
          <t>SPI-00-139345-5</t>
        </is>
      </c>
      <c r="Y543" s="151" t="inlineStr">
        <is>
          <t>0,46</t>
        </is>
      </c>
      <c r="Z543" s="149" t="inlineStr">
        <is>
          <t>0,46</t>
        </is>
      </c>
      <c r="AA543" s="151" t="inlineStr">
        <is>
          <t>grams</t>
        </is>
      </c>
      <c r="AB543" s="151" t="n"/>
      <c r="AC543" s="151" t="n"/>
      <c r="AD543" s="150" t="n">
        <v>0.91418</v>
      </c>
      <c r="AE543" s="149" t="n">
        <v>0.46</v>
      </c>
      <c r="AF543" s="151" t="inlineStr">
        <is>
          <t>grams</t>
        </is>
      </c>
      <c r="AG543" s="151" t="n"/>
      <c r="AH543" s="151" t="n"/>
    </row>
    <row r="544">
      <c r="A544" s="151" t="inlineStr">
        <is>
          <t>FV0472A - Indian Butter Chicken [DKSE]</t>
        </is>
      </c>
      <c r="B544" s="151" t="inlineStr">
        <is>
          <t>REC-013852-4-001</t>
        </is>
      </c>
      <c r="C544" s="151" t="inlineStr">
        <is>
          <t>Sauce - Butter Chicken sauce</t>
        </is>
      </c>
      <c r="D544" s="151" t="inlineStr">
        <is>
          <t>SUB-013851-4-001</t>
        </is>
      </c>
      <c r="E544" s="150" t="n">
        <v>115</v>
      </c>
      <c r="F544" s="151" t="inlineStr">
        <is>
          <t>grams</t>
        </is>
      </c>
      <c r="G544" s="151" t="inlineStr">
        <is>
          <t>BLAST CHILLER, BRAISER, IMMERSION BLENDER, SPICE PORTIONING</t>
        </is>
      </c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inlineStr">
        <is>
          <t>FA-DE Butter, Unsalted /Butter, ungesalzen</t>
        </is>
      </c>
      <c r="X544" s="151" t="inlineStr">
        <is>
          <t>DAI-00-139146-3</t>
        </is>
      </c>
      <c r="Y544" s="151" t="inlineStr">
        <is>
          <t>18,52</t>
        </is>
      </c>
      <c r="Z544" s="149" t="inlineStr">
        <is>
          <t>18,52</t>
        </is>
      </c>
      <c r="AA544" s="151" t="inlineStr">
        <is>
          <t>grams</t>
        </is>
      </c>
      <c r="AB544" s="151" t="inlineStr">
        <is>
          <t>MILCH (EINSCHLIESSLICH LAKTOSE)</t>
        </is>
      </c>
      <c r="AC544" s="151" t="n"/>
      <c r="AD544" s="150" t="n">
        <v>0.91418</v>
      </c>
      <c r="AE544" s="149" t="n">
        <v>18.52</v>
      </c>
      <c r="AF544" s="151" t="inlineStr">
        <is>
          <t>grams</t>
        </is>
      </c>
      <c r="AG544" s="151" t="n"/>
      <c r="AH544" s="151" t="n"/>
    </row>
    <row r="545">
      <c r="A545" s="151" t="inlineStr">
        <is>
          <t>FV0472A - Indian Butter Chicken [DKSE]</t>
        </is>
      </c>
      <c r="B545" s="151" t="inlineStr">
        <is>
          <t>REC-013852-4-001</t>
        </is>
      </c>
      <c r="C545" s="151" t="inlineStr">
        <is>
          <t>Sauce - Butter Chicken sauce</t>
        </is>
      </c>
      <c r="D545" s="151" t="inlineStr">
        <is>
          <t>SUB-013851-4-001</t>
        </is>
      </c>
      <c r="E545" s="150" t="n">
        <v>115</v>
      </c>
      <c r="F545" s="151" t="inlineStr">
        <is>
          <t>grams</t>
        </is>
      </c>
      <c r="G545" s="151" t="inlineStr">
        <is>
          <t>BLAST CHILLER, BRAISER, IMMERSION BLENDER, SPICE PORTIONING</t>
        </is>
      </c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inlineStr">
        <is>
          <t>FA-DE Spice, Sea Salt /Gewürze, Meersalz</t>
        </is>
      </c>
      <c r="X545" s="151" t="inlineStr">
        <is>
          <t>SPI-00-139378-5</t>
        </is>
      </c>
      <c r="Y545" s="151" t="inlineStr">
        <is>
          <t>0,73</t>
        </is>
      </c>
      <c r="Z545" s="149" t="inlineStr">
        <is>
          <t>0,73</t>
        </is>
      </c>
      <c r="AA545" s="151" t="inlineStr">
        <is>
          <t>grams</t>
        </is>
      </c>
      <c r="AB545" s="151" t="n"/>
      <c r="AC545" s="151" t="n"/>
      <c r="AD545" s="150" t="n">
        <v>0.91418</v>
      </c>
      <c r="AE545" s="149" t="n">
        <v>0.73</v>
      </c>
      <c r="AF545" s="151" t="inlineStr">
        <is>
          <t>grams</t>
        </is>
      </c>
      <c r="AG545" s="151" t="n"/>
      <c r="AH545" s="151" t="n"/>
    </row>
    <row r="546">
      <c r="A546" s="151" t="inlineStr">
        <is>
          <t>FV0472A - Indian Butter Chicken [DKSE]</t>
        </is>
      </c>
      <c r="B546" s="151" t="inlineStr">
        <is>
          <t>REC-013852-4-001</t>
        </is>
      </c>
      <c r="C546" s="151" t="inlineStr">
        <is>
          <t>Sauce - Butter Chicken sauce</t>
        </is>
      </c>
      <c r="D546" s="151" t="inlineStr">
        <is>
          <t>SUB-013851-4-001</t>
        </is>
      </c>
      <c r="E546" s="150" t="n">
        <v>115</v>
      </c>
      <c r="F546" s="151" t="inlineStr">
        <is>
          <t>grams</t>
        </is>
      </c>
      <c r="G546" s="151" t="inlineStr">
        <is>
          <t>BLAST CHILLER, BRAISER, IMMERSION BLENDER, SPICE PORTIONING</t>
        </is>
      </c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inlineStr">
        <is>
          <t>FA-DE Spice, Chili Powder /Gewürz, Chilipulver</t>
        </is>
      </c>
      <c r="X546" s="151" t="inlineStr">
        <is>
          <t>SPI-00-139340-5</t>
        </is>
      </c>
      <c r="Y546" s="151" t="inlineStr">
        <is>
          <t>0,14</t>
        </is>
      </c>
      <c r="Z546" s="149" t="inlineStr">
        <is>
          <t>0,14</t>
        </is>
      </c>
      <c r="AA546" s="151" t="inlineStr">
        <is>
          <t>grams</t>
        </is>
      </c>
      <c r="AB546" s="151" t="n"/>
      <c r="AC546" s="151" t="n"/>
      <c r="AD546" s="150" t="n">
        <v>0.91418</v>
      </c>
      <c r="AE546" s="149" t="n">
        <v>0.14</v>
      </c>
      <c r="AF546" s="151" t="inlineStr">
        <is>
          <t>grams</t>
        </is>
      </c>
      <c r="AG546" s="151" t="n"/>
      <c r="AH546" s="151" t="n"/>
    </row>
    <row r="547">
      <c r="A547" s="151" t="inlineStr">
        <is>
          <t>FV0472A - Indian Butter Chicken [DKSE]</t>
        </is>
      </c>
      <c r="B547" s="151" t="inlineStr">
        <is>
          <t>REC-013852-4-001</t>
        </is>
      </c>
      <c r="C547" s="151" t="inlineStr">
        <is>
          <t>Sauce - Butter Chicken sauce</t>
        </is>
      </c>
      <c r="D547" s="151" t="inlineStr">
        <is>
          <t>SUB-013851-4-001</t>
        </is>
      </c>
      <c r="E547" s="150" t="n">
        <v>115</v>
      </c>
      <c r="F547" s="151" t="inlineStr">
        <is>
          <t>grams</t>
        </is>
      </c>
      <c r="G547" s="151" t="inlineStr">
        <is>
          <t>BLAST CHILLER, BRAISER, IMMERSION BLENDER, SPICE PORTIONING</t>
        </is>
      </c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inlineStr">
        <is>
          <t>FA-DE Onion, Spanish, Diced 5mm /Zwiebel, Spanisch, gewürfelt 5 mm</t>
        </is>
      </c>
      <c r="X547" s="151" t="inlineStr">
        <is>
          <t>PHF-00-139212-3</t>
        </is>
      </c>
      <c r="Y547" s="151" t="inlineStr">
        <is>
          <t>15,44</t>
        </is>
      </c>
      <c r="Z547" s="149" t="inlineStr">
        <is>
          <t>15,44</t>
        </is>
      </c>
      <c r="AA547" s="151" t="inlineStr">
        <is>
          <t>grams</t>
        </is>
      </c>
      <c r="AB547" s="151" t="n"/>
      <c r="AC547" s="151" t="n"/>
      <c r="AD547" s="150" t="n">
        <v>0.91418</v>
      </c>
      <c r="AE547" s="149" t="n">
        <v>15.44</v>
      </c>
      <c r="AF547" s="151" t="inlineStr">
        <is>
          <t>grams</t>
        </is>
      </c>
      <c r="AG547" s="151" t="n"/>
      <c r="AH547" s="151" t="n"/>
    </row>
    <row r="548">
      <c r="A548" s="151" t="inlineStr">
        <is>
          <t>FV0472A - Indian Butter Chicken [DKSE]</t>
        </is>
      </c>
      <c r="B548" s="151" t="inlineStr">
        <is>
          <t>REC-013852-4-001</t>
        </is>
      </c>
      <c r="C548" s="151" t="inlineStr">
        <is>
          <t>Sauce - Butter Chicken sauce</t>
        </is>
      </c>
      <c r="D548" s="151" t="inlineStr">
        <is>
          <t>SUB-013851-4-001</t>
        </is>
      </c>
      <c r="E548" s="150" t="n">
        <v>115</v>
      </c>
      <c r="F548" s="151" t="inlineStr">
        <is>
          <t>grams</t>
        </is>
      </c>
      <c r="G548" s="151" t="inlineStr">
        <is>
          <t>BLAST CHILLER, BRAISER, IMMERSION BLENDER, SPICE PORTIONING</t>
        </is>
      </c>
      <c r="H548" s="151" t="inlineStr">
        <is>
          <t>Factor Garam Masala Spice Blend</t>
        </is>
      </c>
      <c r="I548" s="151" t="inlineStr">
        <is>
          <t>SUB-013507-4-001</t>
        </is>
      </c>
      <c r="J548" s="150" t="n">
        <v>0.46</v>
      </c>
      <c r="K548" s="151" t="inlineStr">
        <is>
          <t>grams</t>
        </is>
      </c>
      <c r="L548" s="151" t="inlineStr">
        <is>
          <t>HAND MIX, SPICE PORTIONING</t>
        </is>
      </c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inlineStr">
        <is>
          <t>FA-DE Spice, Fennel Ground /Gewürz, Fenchel gemahlen</t>
        </is>
      </c>
      <c r="X548" s="151" t="inlineStr">
        <is>
          <t>SPI-00-139351-5</t>
        </is>
      </c>
      <c r="Y548" s="151" t="inlineStr">
        <is>
          <t>0,01</t>
        </is>
      </c>
      <c r="Z548" s="149" t="inlineStr">
        <is>
          <t>0,01</t>
        </is>
      </c>
      <c r="AA548" s="151" t="inlineStr">
        <is>
          <t>grams</t>
        </is>
      </c>
      <c r="AB548" s="151" t="n"/>
      <c r="AC548" s="151" t="n"/>
      <c r="AD548" s="150" t="n">
        <v>0.98</v>
      </c>
      <c r="AE548" s="149" t="n">
        <v>0.01</v>
      </c>
      <c r="AF548" s="151" t="inlineStr">
        <is>
          <t>grams</t>
        </is>
      </c>
      <c r="AG548" s="151" t="n"/>
      <c r="AH548" s="151" t="n"/>
    </row>
    <row r="549">
      <c r="A549" s="151" t="inlineStr">
        <is>
          <t>FV0472A - Indian Butter Chicken [DKSE]</t>
        </is>
      </c>
      <c r="B549" s="151" t="inlineStr">
        <is>
          <t>REC-013852-4-001</t>
        </is>
      </c>
      <c r="C549" s="151" t="inlineStr">
        <is>
          <t>Sauce - Butter Chicken sauce</t>
        </is>
      </c>
      <c r="D549" s="151" t="inlineStr">
        <is>
          <t>SUB-013851-4-001</t>
        </is>
      </c>
      <c r="E549" s="150" t="n">
        <v>115</v>
      </c>
      <c r="F549" s="151" t="inlineStr">
        <is>
          <t>grams</t>
        </is>
      </c>
      <c r="G549" s="151" t="inlineStr">
        <is>
          <t>BLAST CHILLER, BRAISER, IMMERSION BLENDER, SPICE PORTIONING</t>
        </is>
      </c>
      <c r="H549" s="151" t="inlineStr">
        <is>
          <t>Factor Garam Masala Spice Blend</t>
        </is>
      </c>
      <c r="I549" s="151" t="inlineStr">
        <is>
          <t>SUB-013507-4-001</t>
        </is>
      </c>
      <c r="J549" s="150" t="n">
        <v>0.46</v>
      </c>
      <c r="K549" s="151" t="inlineStr">
        <is>
          <t>grams</t>
        </is>
      </c>
      <c r="L549" s="151" t="inlineStr">
        <is>
          <t>HAND MIX, SPICE PORTIONING</t>
        </is>
      </c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inlineStr">
        <is>
          <t>FA-DE Spice, Nutmeg Ground /Gewürz, gemahlene Muskatnuss</t>
        </is>
      </c>
      <c r="X549" s="151" t="inlineStr">
        <is>
          <t>SPI-00-139368-5</t>
        </is>
      </c>
      <c r="Y549" s="151" t="inlineStr">
        <is>
          <t>0,03</t>
        </is>
      </c>
      <c r="Z549" s="149" t="inlineStr">
        <is>
          <t>0,03</t>
        </is>
      </c>
      <c r="AA549" s="151" t="inlineStr">
        <is>
          <t>grams</t>
        </is>
      </c>
      <c r="AB549" s="151" t="n"/>
      <c r="AC549" s="151" t="n"/>
      <c r="AD549" s="150" t="n">
        <v>0.98</v>
      </c>
      <c r="AE549" s="149" t="n">
        <v>0.03</v>
      </c>
      <c r="AF549" s="151" t="inlineStr">
        <is>
          <t>grams</t>
        </is>
      </c>
      <c r="AG549" s="151" t="n"/>
      <c r="AH549" s="151" t="n"/>
    </row>
    <row r="550">
      <c r="A550" s="151" t="inlineStr">
        <is>
          <t>FV0472A - Indian Butter Chicken [DKSE]</t>
        </is>
      </c>
      <c r="B550" s="151" t="inlineStr">
        <is>
          <t>REC-013852-4-001</t>
        </is>
      </c>
      <c r="C550" s="151" t="inlineStr">
        <is>
          <t>Sauce - Butter Chicken sauce</t>
        </is>
      </c>
      <c r="D550" s="151" t="inlineStr">
        <is>
          <t>SUB-013851-4-001</t>
        </is>
      </c>
      <c r="E550" s="150" t="n">
        <v>115</v>
      </c>
      <c r="F550" s="151" t="inlineStr">
        <is>
          <t>grams</t>
        </is>
      </c>
      <c r="G550" s="151" t="inlineStr">
        <is>
          <t>BLAST CHILLER, BRAISER, IMMERSION BLENDER, SPICE PORTIONING</t>
        </is>
      </c>
      <c r="H550" s="151" t="inlineStr">
        <is>
          <t>Factor Garam Masala Spice Blend</t>
        </is>
      </c>
      <c r="I550" s="151" t="inlineStr">
        <is>
          <t>SUB-013507-4-001</t>
        </is>
      </c>
      <c r="J550" s="150" t="n">
        <v>0.46</v>
      </c>
      <c r="K550" s="151" t="inlineStr">
        <is>
          <t>grams</t>
        </is>
      </c>
      <c r="L550" s="151" t="inlineStr">
        <is>
          <t>HAND MIX, SPICE PORTIONING</t>
        </is>
      </c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inlineStr">
        <is>
          <t>FA-DE Spice, Coriander Ground /Gewürz, gemahlener Koriander</t>
        </is>
      </c>
      <c r="X550" s="151" t="inlineStr">
        <is>
          <t>SPI-00-139386-5</t>
        </is>
      </c>
      <c r="Y550" s="151" t="inlineStr">
        <is>
          <t>0,09</t>
        </is>
      </c>
      <c r="Z550" s="149" t="inlineStr">
        <is>
          <t>0,09</t>
        </is>
      </c>
      <c r="AA550" s="151" t="inlineStr">
        <is>
          <t>grams</t>
        </is>
      </c>
      <c r="AB550" s="151" t="n"/>
      <c r="AC550" s="151" t="n"/>
      <c r="AD550" s="150" t="n">
        <v>0.98</v>
      </c>
      <c r="AE550" s="149" t="n">
        <v>0.09</v>
      </c>
      <c r="AF550" s="151" t="inlineStr">
        <is>
          <t>grams</t>
        </is>
      </c>
      <c r="AG550" s="151" t="n"/>
      <c r="AH550" s="151" t="n"/>
    </row>
    <row r="551">
      <c r="A551" s="151" t="inlineStr">
        <is>
          <t>FV0472A - Indian Butter Chicken [DKSE]</t>
        </is>
      </c>
      <c r="B551" s="151" t="inlineStr">
        <is>
          <t>REC-013852-4-001</t>
        </is>
      </c>
      <c r="C551" s="151" t="inlineStr">
        <is>
          <t>Sauce - Butter Chicken sauce</t>
        </is>
      </c>
      <c r="D551" s="151" t="inlineStr">
        <is>
          <t>SUB-013851-4-001</t>
        </is>
      </c>
      <c r="E551" s="150" t="n">
        <v>115</v>
      </c>
      <c r="F551" s="151" t="inlineStr">
        <is>
          <t>grams</t>
        </is>
      </c>
      <c r="G551" s="151" t="inlineStr">
        <is>
          <t>BLAST CHILLER, BRAISER, IMMERSION BLENDER, SPICE PORTIONING</t>
        </is>
      </c>
      <c r="H551" s="151" t="inlineStr">
        <is>
          <t>Factor Garam Masala Spice Blend</t>
        </is>
      </c>
      <c r="I551" s="151" t="inlineStr">
        <is>
          <t>SUB-013507-4-001</t>
        </is>
      </c>
      <c r="J551" s="150" t="n">
        <v>0.46</v>
      </c>
      <c r="K551" s="151" t="inlineStr">
        <is>
          <t>grams</t>
        </is>
      </c>
      <c r="L551" s="151" t="inlineStr">
        <is>
          <t>HAND MIX, SPICE PORTIONING</t>
        </is>
      </c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inlineStr">
        <is>
          <t>FA-DE Spice, Cinnamon Ground /Gewürz, gemahlener Zimt</t>
        </is>
      </c>
      <c r="X551" s="151" t="inlineStr">
        <is>
          <t>SPI-00-139341-5</t>
        </is>
      </c>
      <c r="Y551" s="151" t="inlineStr">
        <is>
          <t>0,06</t>
        </is>
      </c>
      <c r="Z551" s="149" t="inlineStr">
        <is>
          <t>0,06</t>
        </is>
      </c>
      <c r="AA551" s="151" t="inlineStr">
        <is>
          <t>grams</t>
        </is>
      </c>
      <c r="AB551" s="151" t="n"/>
      <c r="AC551" s="151" t="n"/>
      <c r="AD551" s="150" t="n">
        <v>0.98</v>
      </c>
      <c r="AE551" s="149" t="n">
        <v>0.06</v>
      </c>
      <c r="AF551" s="151" t="inlineStr">
        <is>
          <t>grams</t>
        </is>
      </c>
      <c r="AG551" s="151" t="n"/>
      <c r="AH551" s="151" t="n"/>
    </row>
    <row r="552">
      <c r="A552" s="151" t="inlineStr">
        <is>
          <t>FV0472A - Indian Butter Chicken [DKSE]</t>
        </is>
      </c>
      <c r="B552" s="151" t="inlineStr">
        <is>
          <t>REC-013852-4-001</t>
        </is>
      </c>
      <c r="C552" s="151" t="inlineStr">
        <is>
          <t>Sauce - Butter Chicken sauce</t>
        </is>
      </c>
      <c r="D552" s="151" t="inlineStr">
        <is>
          <t>SUB-013851-4-001</t>
        </is>
      </c>
      <c r="E552" s="150" t="n">
        <v>115</v>
      </c>
      <c r="F552" s="151" t="inlineStr">
        <is>
          <t>grams</t>
        </is>
      </c>
      <c r="G552" s="151" t="inlineStr">
        <is>
          <t>BLAST CHILLER, BRAISER, IMMERSION BLENDER, SPICE PORTIONING</t>
        </is>
      </c>
      <c r="H552" s="151" t="inlineStr">
        <is>
          <t>Factor Garam Masala Spice Blend</t>
        </is>
      </c>
      <c r="I552" s="151" t="inlineStr">
        <is>
          <t>SUB-013507-4-001</t>
        </is>
      </c>
      <c r="J552" s="150" t="n">
        <v>0.46</v>
      </c>
      <c r="K552" s="151" t="inlineStr">
        <is>
          <t>grams</t>
        </is>
      </c>
      <c r="L552" s="151" t="inlineStr">
        <is>
          <t>HAND MIX, SPICE PORTIONING</t>
        </is>
      </c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inlineStr">
        <is>
          <t>FA-DE Spice, Cumin Ground /Gewürz, gemahlener Kreuzkümmel</t>
        </is>
      </c>
      <c r="X552" s="151" t="inlineStr">
        <is>
          <t>SPI-00-139345-5</t>
        </is>
      </c>
      <c r="Y552" s="151" t="inlineStr">
        <is>
          <t>0,18</t>
        </is>
      </c>
      <c r="Z552" s="149" t="inlineStr">
        <is>
          <t>0,18</t>
        </is>
      </c>
      <c r="AA552" s="151" t="inlineStr">
        <is>
          <t>grams</t>
        </is>
      </c>
      <c r="AB552" s="151" t="n"/>
      <c r="AC552" s="151" t="n"/>
      <c r="AD552" s="150" t="n">
        <v>0.98</v>
      </c>
      <c r="AE552" s="149" t="n">
        <v>0.18</v>
      </c>
      <c r="AF552" s="151" t="inlineStr">
        <is>
          <t>grams</t>
        </is>
      </c>
      <c r="AG552" s="151" t="n"/>
      <c r="AH552" s="151" t="n"/>
    </row>
    <row r="553">
      <c r="A553" s="151" t="inlineStr">
        <is>
          <t>FV0472A - Indian Butter Chicken [DKSE]</t>
        </is>
      </c>
      <c r="B553" s="151" t="inlineStr">
        <is>
          <t>REC-013852-4-001</t>
        </is>
      </c>
      <c r="C553" s="151" t="inlineStr">
        <is>
          <t>Sauce - Butter Chicken sauce</t>
        </is>
      </c>
      <c r="D553" s="151" t="inlineStr">
        <is>
          <t>SUB-013851-4-001</t>
        </is>
      </c>
      <c r="E553" s="150" t="n">
        <v>115</v>
      </c>
      <c r="F553" s="151" t="inlineStr">
        <is>
          <t>grams</t>
        </is>
      </c>
      <c r="G553" s="151" t="inlineStr">
        <is>
          <t>BLAST CHILLER, BRAISER, IMMERSION BLENDER, SPICE PORTIONING</t>
        </is>
      </c>
      <c r="H553" s="151" t="inlineStr">
        <is>
          <t>Factor Garam Masala Spice Blend</t>
        </is>
      </c>
      <c r="I553" s="151" t="inlineStr">
        <is>
          <t>SUB-013507-4-001</t>
        </is>
      </c>
      <c r="J553" s="150" t="n">
        <v>0.46</v>
      </c>
      <c r="K553" s="151" t="inlineStr">
        <is>
          <t>grams</t>
        </is>
      </c>
      <c r="L553" s="151" t="inlineStr">
        <is>
          <t>HAND MIX, SPICE PORTIONING</t>
        </is>
      </c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inlineStr">
        <is>
          <t>FA-DE Spice, Cloves Ground /Gewürze, gemahlene Nelken</t>
        </is>
      </c>
      <c r="X553" s="151" t="inlineStr">
        <is>
          <t>SPI-00-139342-5</t>
        </is>
      </c>
      <c r="Y553" s="151" t="inlineStr">
        <is>
          <t>0,03</t>
        </is>
      </c>
      <c r="Z553" s="149" t="inlineStr">
        <is>
          <t>0,03</t>
        </is>
      </c>
      <c r="AA553" s="151" t="inlineStr">
        <is>
          <t>grams</t>
        </is>
      </c>
      <c r="AB553" s="151" t="n"/>
      <c r="AC553" s="151" t="n"/>
      <c r="AD553" s="150" t="n">
        <v>0.98</v>
      </c>
      <c r="AE553" s="149" t="n">
        <v>0.03</v>
      </c>
      <c r="AF553" s="151" t="inlineStr">
        <is>
          <t>grams</t>
        </is>
      </c>
      <c r="AG553" s="151" t="n"/>
      <c r="AH553" s="151" t="n"/>
    </row>
    <row r="554">
      <c r="A554" s="151" t="inlineStr">
        <is>
          <t>FV0472A - Indian Butter Chicken [DKSE]</t>
        </is>
      </c>
      <c r="B554" s="151" t="inlineStr">
        <is>
          <t>REC-013852-4-001</t>
        </is>
      </c>
      <c r="C554" s="151" t="inlineStr">
        <is>
          <t>Sauce - Butter Chicken sauce</t>
        </is>
      </c>
      <c r="D554" s="151" t="inlineStr">
        <is>
          <t>SUB-013851-4-001</t>
        </is>
      </c>
      <c r="E554" s="150" t="n">
        <v>115</v>
      </c>
      <c r="F554" s="151" t="inlineStr">
        <is>
          <t>grams</t>
        </is>
      </c>
      <c r="G554" s="151" t="inlineStr">
        <is>
          <t>BLAST CHILLER, BRAISER, IMMERSION BLENDER, SPICE PORTIONING</t>
        </is>
      </c>
      <c r="H554" s="151" t="inlineStr">
        <is>
          <t>Factor Garam Masala Spice Blend</t>
        </is>
      </c>
      <c r="I554" s="151" t="inlineStr">
        <is>
          <t>SUB-013507-4-001</t>
        </is>
      </c>
      <c r="J554" s="150" t="n">
        <v>0.46</v>
      </c>
      <c r="K554" s="151" t="inlineStr">
        <is>
          <t>grams</t>
        </is>
      </c>
      <c r="L554" s="151" t="inlineStr">
        <is>
          <t>HAND MIX, SPICE PORTIONING</t>
        </is>
      </c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inlineStr">
        <is>
          <t>FA-DE Spice, Black Pepper, Ground /Gewürz, schwarzer Pfeffer, gemahlen</t>
        </is>
      </c>
      <c r="X554" s="151" t="inlineStr">
        <is>
          <t>SPI-00-139334-5</t>
        </is>
      </c>
      <c r="Y554" s="151" t="inlineStr">
        <is>
          <t>0,05</t>
        </is>
      </c>
      <c r="Z554" s="149" t="inlineStr">
        <is>
          <t>0,05</t>
        </is>
      </c>
      <c r="AA554" s="151" t="inlineStr">
        <is>
          <t>grams</t>
        </is>
      </c>
      <c r="AB554" s="151" t="n"/>
      <c r="AC554" s="151" t="n"/>
      <c r="AD554" s="150" t="n">
        <v>0.98</v>
      </c>
      <c r="AE554" s="149" t="n">
        <v>0.05</v>
      </c>
      <c r="AF554" s="151" t="inlineStr">
        <is>
          <t>grams</t>
        </is>
      </c>
      <c r="AG554" s="151" t="n"/>
      <c r="AH554" s="151" t="n"/>
    </row>
    <row r="555">
      <c r="A555" s="151" t="inlineStr">
        <is>
          <t>FV0472A - Indian Butter Chicken [DKSE]</t>
        </is>
      </c>
      <c r="B555" s="151" t="inlineStr">
        <is>
          <t>REC-013852-4-001</t>
        </is>
      </c>
      <c r="C555" s="151" t="inlineStr">
        <is>
          <t>Sauce - Butter Chicken sauce</t>
        </is>
      </c>
      <c r="D555" s="151" t="inlineStr">
        <is>
          <t>SUB-013851-4-001</t>
        </is>
      </c>
      <c r="E555" s="150" t="n">
        <v>115</v>
      </c>
      <c r="F555" s="151" t="inlineStr">
        <is>
          <t>grams</t>
        </is>
      </c>
      <c r="G555" s="151" t="inlineStr">
        <is>
          <t>BLAST CHILLER, BRAISER, IMMERSION BLENDER, SPICE PORTIONING</t>
        </is>
      </c>
      <c r="H555" s="151" t="inlineStr">
        <is>
          <t>Factor Garam Masala Spice Blend</t>
        </is>
      </c>
      <c r="I555" s="151" t="inlineStr">
        <is>
          <t>SUB-013507-4-001</t>
        </is>
      </c>
      <c r="J555" s="150" t="n">
        <v>0.46</v>
      </c>
      <c r="K555" s="151" t="inlineStr">
        <is>
          <t>grams</t>
        </is>
      </c>
      <c r="L555" s="151" t="inlineStr">
        <is>
          <t>HAND MIX, SPICE PORTIONING</t>
        </is>
      </c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inlineStr">
        <is>
          <t>FA-DE Spice, Turmeric /Gewürz, Kurkuma</t>
        </is>
      </c>
      <c r="X555" s="151" t="inlineStr">
        <is>
          <t>SPI-00-139384-5</t>
        </is>
      </c>
      <c r="Y555" s="151" t="inlineStr">
        <is>
          <t>0,01</t>
        </is>
      </c>
      <c r="Z555" s="149" t="inlineStr">
        <is>
          <t>0,01</t>
        </is>
      </c>
      <c r="AA555" s="151" t="inlineStr">
        <is>
          <t>grams</t>
        </is>
      </c>
      <c r="AB555" s="151" t="n"/>
      <c r="AC555" s="151" t="n"/>
      <c r="AD555" s="150" t="n">
        <v>0.98</v>
      </c>
      <c r="AE555" s="149" t="n">
        <v>0.01</v>
      </c>
      <c r="AF555" s="151" t="inlineStr">
        <is>
          <t>grams</t>
        </is>
      </c>
      <c r="AG555" s="151" t="n"/>
      <c r="AH555" s="151" t="n"/>
    </row>
    <row r="556">
      <c r="A556" s="151" t="inlineStr">
        <is>
          <t>FV0472A - Indian Butter Chicken [DKSE]</t>
        </is>
      </c>
      <c r="B556" s="151" t="inlineStr">
        <is>
          <t>REC-013852-4-001</t>
        </is>
      </c>
      <c r="C556" s="151" t="inlineStr">
        <is>
          <t>Sauce - Butter Chicken sauce</t>
        </is>
      </c>
      <c r="D556" s="151" t="inlineStr">
        <is>
          <t>SUB-013851-4-001</t>
        </is>
      </c>
      <c r="E556" s="150" t="n">
        <v>115</v>
      </c>
      <c r="F556" s="151" t="inlineStr">
        <is>
          <t>grams</t>
        </is>
      </c>
      <c r="G556" s="151" t="inlineStr">
        <is>
          <t>BLAST CHILLER, BRAISER, IMMERSION BLENDER, SPICE PORTIONING</t>
        </is>
      </c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inlineStr">
        <is>
          <t>FA-DE Oil, Olive /Öl, Olivenöl</t>
        </is>
      </c>
      <c r="X556" s="151" t="inlineStr">
        <is>
          <t>PRO-00-139277-5</t>
        </is>
      </c>
      <c r="Y556" s="151" t="inlineStr">
        <is>
          <t>9,65</t>
        </is>
      </c>
      <c r="Z556" s="149" t="inlineStr">
        <is>
          <t>9,65</t>
        </is>
      </c>
      <c r="AA556" s="151" t="inlineStr">
        <is>
          <t>grams</t>
        </is>
      </c>
      <c r="AB556" s="151" t="n"/>
      <c r="AC556" s="151" t="n"/>
      <c r="AD556" s="150" t="n">
        <v>0.91418</v>
      </c>
      <c r="AE556" s="149" t="n">
        <v>9.65</v>
      </c>
      <c r="AF556" s="151" t="inlineStr">
        <is>
          <t>grams</t>
        </is>
      </c>
      <c r="AG556" s="151" t="n"/>
      <c r="AH556" s="151" t="n"/>
    </row>
    <row r="557">
      <c r="A557" s="151" t="inlineStr">
        <is>
          <t>FV0472A - Indian Butter Chicken [DKSE]</t>
        </is>
      </c>
      <c r="B557" s="151" t="inlineStr">
        <is>
          <t>REC-013852-4-001</t>
        </is>
      </c>
      <c r="C557" s="151" t="inlineStr">
        <is>
          <t>Sauce - Butter Chicken sauce</t>
        </is>
      </c>
      <c r="D557" s="151" t="inlineStr">
        <is>
          <t>SUB-013851-4-001</t>
        </is>
      </c>
      <c r="E557" s="150" t="n">
        <v>115</v>
      </c>
      <c r="F557" s="151" t="inlineStr">
        <is>
          <t>grams</t>
        </is>
      </c>
      <c r="G557" s="151" t="inlineStr">
        <is>
          <t>BLAST CHILLER, BRAISER, IMMERSION BLENDER, SPICE PORTIONING</t>
        </is>
      </c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inlineStr">
        <is>
          <t>FA-DE Ginger, IQF, Diced 4 mm /Ingwer, IQF, gewürfelt 4 mm</t>
        </is>
      </c>
      <c r="X557" s="151" t="inlineStr">
        <is>
          <t>PHF-00-139238-1</t>
        </is>
      </c>
      <c r="Y557" s="151" t="inlineStr">
        <is>
          <t>2,32</t>
        </is>
      </c>
      <c r="Z557" s="149" t="inlineStr">
        <is>
          <t>2,32</t>
        </is>
      </c>
      <c r="AA557" s="151" t="inlineStr">
        <is>
          <t>grams</t>
        </is>
      </c>
      <c r="AB557" s="151" t="inlineStr">
        <is>
          <t>SCHWEFELDIOXIDE UND SULFITE</t>
        </is>
      </c>
      <c r="AC557" s="151" t="n"/>
      <c r="AD557" s="150" t="n">
        <v>0.91418</v>
      </c>
      <c r="AE557" s="149" t="n">
        <v>2.32</v>
      </c>
      <c r="AF557" s="151" t="inlineStr">
        <is>
          <t>grams</t>
        </is>
      </c>
      <c r="AG557" s="151" t="n"/>
      <c r="AH557" s="151" t="n"/>
    </row>
    <row r="558">
      <c r="A558" s="151" t="inlineStr">
        <is>
          <t>FV0472A - Indian Butter Chicken [DKSE]</t>
        </is>
      </c>
      <c r="B558" s="151" t="inlineStr">
        <is>
          <t>REC-013852-4-001</t>
        </is>
      </c>
      <c r="C558" s="151" t="inlineStr">
        <is>
          <t>Sauce - Butter Chicken sauce</t>
        </is>
      </c>
      <c r="D558" s="151" t="inlineStr">
        <is>
          <t>SUB-013851-4-001</t>
        </is>
      </c>
      <c r="E558" s="150" t="n">
        <v>115</v>
      </c>
      <c r="F558" s="151" t="inlineStr">
        <is>
          <t>grams</t>
        </is>
      </c>
      <c r="G558" s="151" t="inlineStr">
        <is>
          <t>BLAST CHILLER, BRAISER, IMMERSION BLENDER, SPICE PORTIONING</t>
        </is>
      </c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inlineStr">
        <is>
          <t>FA-DE Tomatoes, Crushed /Tomaten, zerkleinert</t>
        </is>
      </c>
      <c r="X558" s="151" t="inlineStr">
        <is>
          <t>PRO-00-139294-5</t>
        </is>
      </c>
      <c r="Y558" s="151" t="inlineStr">
        <is>
          <t>41,79</t>
        </is>
      </c>
      <c r="Z558" s="149" t="inlineStr">
        <is>
          <t>41,79</t>
        </is>
      </c>
      <c r="AA558" s="151" t="inlineStr">
        <is>
          <t>grams</t>
        </is>
      </c>
      <c r="AB558" s="151" t="n"/>
      <c r="AC558" s="151" t="n"/>
      <c r="AD558" s="150" t="n">
        <v>0.91418</v>
      </c>
      <c r="AE558" s="149" t="n">
        <v>41.79</v>
      </c>
      <c r="AF558" s="151" t="inlineStr">
        <is>
          <t>grams</t>
        </is>
      </c>
      <c r="AG558" s="151" t="n"/>
      <c r="AH558" s="151" t="n"/>
    </row>
    <row r="559">
      <c r="A559" s="151" t="inlineStr">
        <is>
          <t>FV0472A - Indian Butter Chicken [DKSE]</t>
        </is>
      </c>
      <c r="B559" s="151" t="inlineStr">
        <is>
          <t>REC-013852-4-001</t>
        </is>
      </c>
      <c r="C559" s="151" t="inlineStr">
        <is>
          <t>Sauce - Butter Chicken sauce</t>
        </is>
      </c>
      <c r="D559" s="151" t="inlineStr">
        <is>
          <t>SUB-013851-4-001</t>
        </is>
      </c>
      <c r="E559" s="150" t="n">
        <v>115</v>
      </c>
      <c r="F559" s="151" t="inlineStr">
        <is>
          <t>grams</t>
        </is>
      </c>
      <c r="G559" s="151" t="inlineStr">
        <is>
          <t>BLAST CHILLER, BRAISER, IMMERSION BLENDER, SPICE PORTIONING</t>
        </is>
      </c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inlineStr">
        <is>
          <t>FA-DE Spice, Coriander Ground /Gewürz, gemahlener Koriander</t>
        </is>
      </c>
      <c r="X559" s="151" t="inlineStr">
        <is>
          <t>SPI-00-139386-5</t>
        </is>
      </c>
      <c r="Y559" s="151" t="inlineStr">
        <is>
          <t>0,29</t>
        </is>
      </c>
      <c r="Z559" s="149" t="inlineStr">
        <is>
          <t>0,29</t>
        </is>
      </c>
      <c r="AA559" s="151" t="inlineStr">
        <is>
          <t>grams</t>
        </is>
      </c>
      <c r="AB559" s="151" t="n"/>
      <c r="AC559" s="151" t="n"/>
      <c r="AD559" s="150" t="n">
        <v>0.91418</v>
      </c>
      <c r="AE559" s="149" t="n">
        <v>0.29</v>
      </c>
      <c r="AF559" s="151" t="inlineStr">
        <is>
          <t>grams</t>
        </is>
      </c>
      <c r="AG559" s="151" t="n"/>
      <c r="AH559" s="151" t="n"/>
    </row>
    <row r="560">
      <c r="A560" s="151" t="inlineStr">
        <is>
          <t>FV0472A - Indian Butter Chicken [DKSE]</t>
        </is>
      </c>
      <c r="B560" s="151" t="inlineStr">
        <is>
          <t>REC-013852-4-001</t>
        </is>
      </c>
      <c r="C560" s="151" t="inlineStr">
        <is>
          <t>Sauce - Butter Chicken sauce</t>
        </is>
      </c>
      <c r="D560" s="151" t="inlineStr">
        <is>
          <t>SUB-013851-4-001</t>
        </is>
      </c>
      <c r="E560" s="150" t="n">
        <v>115</v>
      </c>
      <c r="F560" s="151" t="inlineStr">
        <is>
          <t>grams</t>
        </is>
      </c>
      <c r="G560" s="151" t="inlineStr">
        <is>
          <t>BLAST CHILLER, BRAISER, IMMERSION BLENDER, SPICE PORTIONING</t>
        </is>
      </c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inlineStr">
        <is>
          <t>FA-DE Heavy Cream 20% /Sahne 20%</t>
        </is>
      </c>
      <c r="X560" s="151" t="inlineStr">
        <is>
          <t>DAI-00-139137-3</t>
        </is>
      </c>
      <c r="Y560" s="151" t="inlineStr">
        <is>
          <t>32,8</t>
        </is>
      </c>
      <c r="Z560" s="149" t="inlineStr">
        <is>
          <t>32,8</t>
        </is>
      </c>
      <c r="AA560" s="151" t="inlineStr">
        <is>
          <t>grams</t>
        </is>
      </c>
      <c r="AB560" s="151" t="inlineStr">
        <is>
          <t>MILCH (EINSCHLIESSLICH LAKTOSE)</t>
        </is>
      </c>
      <c r="AC560" s="151" t="n"/>
      <c r="AD560" s="150" t="n">
        <v>0.91418</v>
      </c>
      <c r="AE560" s="149" t="n">
        <v>32.8</v>
      </c>
      <c r="AF560" s="151" t="inlineStr">
        <is>
          <t>grams</t>
        </is>
      </c>
      <c r="AG560" s="151" t="n"/>
      <c r="AH560" s="151" t="n"/>
    </row>
    <row r="561">
      <c r="A561" s="151" t="inlineStr">
        <is>
          <t>FV0472A - Indian Butter Chicken [DKSE]</t>
        </is>
      </c>
      <c r="B561" s="151" t="inlineStr">
        <is>
          <t>REC-013852-4-001</t>
        </is>
      </c>
      <c r="C561" s="151" t="inlineStr">
        <is>
          <t>Roasted Green Onions</t>
        </is>
      </c>
      <c r="D561" s="151" t="inlineStr">
        <is>
          <t>SUB-023370-4-001</t>
        </is>
      </c>
      <c r="E561" s="150" t="n">
        <v>6</v>
      </c>
      <c r="F561" s="151" t="inlineStr">
        <is>
          <t>grams</t>
        </is>
      </c>
      <c r="G561" s="151" t="inlineStr">
        <is>
          <t>BLAST CHILLER, OVEN</t>
        </is>
      </c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inlineStr">
        <is>
          <t>FA-DE Onion, Green, Sliced 5mm /Zwiebel, grün, in Scheiben geschnitten, 5 mm</t>
        </is>
      </c>
      <c r="X561" s="151" t="inlineStr">
        <is>
          <t>PHF-00-149803-3</t>
        </is>
      </c>
      <c r="Y561" s="154" t="inlineStr">
        <is>
          <t>7,06</t>
        </is>
      </c>
      <c r="Z561" s="149" t="inlineStr">
        <is>
          <t>7,06</t>
        </is>
      </c>
      <c r="AA561" s="151" t="inlineStr">
        <is>
          <t>grams</t>
        </is>
      </c>
      <c r="AB561" s="151" t="n"/>
      <c r="AC561" s="151" t="n"/>
      <c r="AD561" s="150" t="n">
        <v>0.85</v>
      </c>
      <c r="AE561" s="149" t="n">
        <v>7.06</v>
      </c>
      <c r="AF561" s="151" t="inlineStr">
        <is>
          <t>grams</t>
        </is>
      </c>
      <c r="AG561" s="151" t="n"/>
      <c r="AH561" s="151" t="n"/>
    </row>
    <row r="562">
      <c r="A562" s="151" t="inlineStr">
        <is>
          <t>FV0472A - Indian Butter Chicken [DKSE]</t>
        </is>
      </c>
      <c r="B562" s="151" t="inlineStr">
        <is>
          <t>REC-013852-4-001</t>
        </is>
      </c>
      <c r="C562" s="151" t="inlineStr">
        <is>
          <t>Cauliflower rice - Cilantro and Lime Cauliflower Rice - BA</t>
        </is>
      </c>
      <c r="D562" s="151" t="inlineStr">
        <is>
          <t>SUB-013733-4-001</t>
        </is>
      </c>
      <c r="E562" s="150" t="n">
        <v>120</v>
      </c>
      <c r="F562" s="151" t="inlineStr">
        <is>
          <t>grams</t>
        </is>
      </c>
      <c r="G562" s="151" t="inlineStr">
        <is>
          <t>BLAST CHILLER, OVEN</t>
        </is>
      </c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inlineStr">
        <is>
          <t>FA-DE Spice, Black Pepper, Ground /Gewürz, schwarzer Pfeffer, gemahlen</t>
        </is>
      </c>
      <c r="X562" s="151" t="inlineStr">
        <is>
          <t>SPI-00-139334-5</t>
        </is>
      </c>
      <c r="Y562" s="151" t="inlineStr">
        <is>
          <t>0,06</t>
        </is>
      </c>
      <c r="Z562" s="149" t="inlineStr">
        <is>
          <t>0,06</t>
        </is>
      </c>
      <c r="AA562" s="151" t="inlineStr">
        <is>
          <t>grams</t>
        </is>
      </c>
      <c r="AB562" s="151" t="n"/>
      <c r="AC562" s="151" t="n"/>
      <c r="AD562" s="150" t="n">
        <v>0.9301199999999999</v>
      </c>
      <c r="AE562" s="149" t="n">
        <v>0.06</v>
      </c>
      <c r="AF562" s="151" t="inlineStr">
        <is>
          <t>grams</t>
        </is>
      </c>
      <c r="AG562" s="151" t="n"/>
      <c r="AH562" s="151" t="n"/>
    </row>
    <row r="563">
      <c r="A563" s="151" t="inlineStr">
        <is>
          <t>FV0472A - Indian Butter Chicken [DKSE]</t>
        </is>
      </c>
      <c r="B563" s="151" t="inlineStr">
        <is>
          <t>REC-013852-4-001</t>
        </is>
      </c>
      <c r="C563" s="151" t="inlineStr">
        <is>
          <t>Cauliflower rice - Cilantro and Lime Cauliflower Rice - BA</t>
        </is>
      </c>
      <c r="D563" s="151" t="inlineStr">
        <is>
          <t>SUB-013733-4-001</t>
        </is>
      </c>
      <c r="E563" s="150" t="n">
        <v>120</v>
      </c>
      <c r="F563" s="151" t="inlineStr">
        <is>
          <t>grams</t>
        </is>
      </c>
      <c r="G563" s="151" t="inlineStr">
        <is>
          <t>BLAST CHILLER, OVEN</t>
        </is>
      </c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inlineStr">
        <is>
          <t>FA-DE Juice, Lime /Saft, Limette</t>
        </is>
      </c>
      <c r="X563" s="151" t="inlineStr">
        <is>
          <t>PRO-00-139268-5</t>
        </is>
      </c>
      <c r="Y563" s="151" t="inlineStr">
        <is>
          <t>0,91</t>
        </is>
      </c>
      <c r="Z563" s="149" t="inlineStr">
        <is>
          <t>0,91</t>
        </is>
      </c>
      <c r="AA563" s="151" t="inlineStr">
        <is>
          <t>grams</t>
        </is>
      </c>
      <c r="AB563" s="151" t="n"/>
      <c r="AC563" s="151" t="n"/>
      <c r="AD563" s="150" t="n">
        <v>0.9301199999999999</v>
      </c>
      <c r="AE563" s="149" t="n">
        <v>0.91</v>
      </c>
      <c r="AF563" s="151" t="inlineStr">
        <is>
          <t>grams</t>
        </is>
      </c>
      <c r="AG563" s="151" t="n"/>
      <c r="AH563" s="151" t="n"/>
    </row>
    <row r="564">
      <c r="A564" s="151" t="inlineStr">
        <is>
          <t>FV0472A - Indian Butter Chicken [DKSE]</t>
        </is>
      </c>
      <c r="B564" s="151" t="inlineStr">
        <is>
          <t>REC-013852-4-001</t>
        </is>
      </c>
      <c r="C564" s="151" t="inlineStr">
        <is>
          <t>Cauliflower rice - Cilantro and Lime Cauliflower Rice - BA</t>
        </is>
      </c>
      <c r="D564" s="151" t="inlineStr">
        <is>
          <t>SUB-013733-4-001</t>
        </is>
      </c>
      <c r="E564" s="150" t="n">
        <v>120</v>
      </c>
      <c r="F564" s="151" t="inlineStr">
        <is>
          <t>grams</t>
        </is>
      </c>
      <c r="G564" s="151" t="inlineStr">
        <is>
          <t>BLAST CHILLER, OVEN</t>
        </is>
      </c>
      <c r="H564" s="151" t="inlineStr">
        <is>
          <t>Roasted Garlic oil</t>
        </is>
      </c>
      <c r="I564" s="151" t="inlineStr">
        <is>
          <t>SUB-013367-4-002</t>
        </is>
      </c>
      <c r="J564" s="158" t="n">
        <v>9.07</v>
      </c>
      <c r="K564" s="151" t="inlineStr">
        <is>
          <t>grams</t>
        </is>
      </c>
      <c r="L564" s="151" t="inlineStr">
        <is>
          <t>BLAST CHILLER, OVEN</t>
        </is>
      </c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inlineStr">
        <is>
          <t>FA-DE Garlic, Peeled, Whole Cloves [10kg] /Knoblauch, geschält, ganze Nelken [10kg]</t>
        </is>
      </c>
      <c r="X564" s="151" t="inlineStr">
        <is>
          <t>PHF-00-139197-3</t>
        </is>
      </c>
      <c r="Y564" s="151" t="inlineStr">
        <is>
          <t>12,49</t>
        </is>
      </c>
      <c r="Z564" s="149" t="inlineStr">
        <is>
          <t>12,49</t>
        </is>
      </c>
      <c r="AA564" s="151" t="inlineStr">
        <is>
          <t>grams</t>
        </is>
      </c>
      <c r="AB564" s="151" t="n"/>
      <c r="AC564" s="151" t="n"/>
      <c r="AD564" s="150" t="n">
        <v>0.415</v>
      </c>
      <c r="AE564" s="149" t="n">
        <v>12.49</v>
      </c>
      <c r="AF564" s="151" t="inlineStr">
        <is>
          <t>grams</t>
        </is>
      </c>
      <c r="AG564" s="151" t="n"/>
      <c r="AH564" s="151" t="n"/>
    </row>
    <row r="565">
      <c r="A565" s="151" t="inlineStr">
        <is>
          <t>FV0472A - Indian Butter Chicken [DKSE]</t>
        </is>
      </c>
      <c r="B565" s="151" t="inlineStr">
        <is>
          <t>REC-013852-4-001</t>
        </is>
      </c>
      <c r="C565" s="151" t="inlineStr">
        <is>
          <t>Cauliflower rice - Cilantro and Lime Cauliflower Rice - BA</t>
        </is>
      </c>
      <c r="D565" s="151" t="inlineStr">
        <is>
          <t>SUB-013733-4-001</t>
        </is>
      </c>
      <c r="E565" s="150" t="n">
        <v>120</v>
      </c>
      <c r="F565" s="151" t="inlineStr">
        <is>
          <t>grams</t>
        </is>
      </c>
      <c r="G565" s="151" t="inlineStr">
        <is>
          <t>BLAST CHILLER, OVEN</t>
        </is>
      </c>
      <c r="H565" s="151" t="inlineStr">
        <is>
          <t>Roasted Garlic oil</t>
        </is>
      </c>
      <c r="I565" s="151" t="inlineStr">
        <is>
          <t>SUB-013367-4-002</t>
        </is>
      </c>
      <c r="J565" s="158" t="n">
        <v>9.07</v>
      </c>
      <c r="K565" s="151" t="inlineStr">
        <is>
          <t>grams</t>
        </is>
      </c>
      <c r="L565" s="151" t="inlineStr">
        <is>
          <t>BLAST CHILLER, OVEN</t>
        </is>
      </c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inlineStr">
        <is>
          <t>FA-DE Oil, Olive /Öl, Olivenöl</t>
        </is>
      </c>
      <c r="X565" s="151" t="inlineStr">
        <is>
          <t>PRO-00-139277-5</t>
        </is>
      </c>
      <c r="Y565" s="151" t="inlineStr">
        <is>
          <t>9,37</t>
        </is>
      </c>
      <c r="Z565" s="149" t="inlineStr">
        <is>
          <t>9,37</t>
        </is>
      </c>
      <c r="AA565" s="151" t="inlineStr">
        <is>
          <t>grams</t>
        </is>
      </c>
      <c r="AB565" s="151" t="n"/>
      <c r="AC565" s="151" t="n"/>
      <c r="AD565" s="150" t="n">
        <v>0.415</v>
      </c>
      <c r="AE565" s="149" t="n">
        <v>9.369999999999999</v>
      </c>
      <c r="AF565" s="151" t="inlineStr">
        <is>
          <t>grams</t>
        </is>
      </c>
      <c r="AG565" s="151" t="n"/>
      <c r="AH565" s="151" t="n"/>
    </row>
    <row r="566">
      <c r="A566" s="151" t="inlineStr">
        <is>
          <t>FV0472A - Indian Butter Chicken [DKSE]</t>
        </is>
      </c>
      <c r="B566" s="151" t="inlineStr">
        <is>
          <t>REC-013852-4-001</t>
        </is>
      </c>
      <c r="C566" s="151" t="inlineStr">
        <is>
          <t>Cauliflower rice - Cilantro and Lime Cauliflower Rice - BA</t>
        </is>
      </c>
      <c r="D566" s="151" t="inlineStr">
        <is>
          <t>SUB-013733-4-001</t>
        </is>
      </c>
      <c r="E566" s="150" t="n">
        <v>120</v>
      </c>
      <c r="F566" s="151" t="inlineStr">
        <is>
          <t>grams</t>
        </is>
      </c>
      <c r="G566" s="151" t="inlineStr">
        <is>
          <t>BLAST CHILLER, OVEN</t>
        </is>
      </c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inlineStr">
        <is>
          <t>FA-DE Spice, Sea Salt /Gewürze, Meersalz</t>
        </is>
      </c>
      <c r="X566" s="151" t="inlineStr">
        <is>
          <t>SPI-00-139378-5</t>
        </is>
      </c>
      <c r="Y566" s="151" t="inlineStr">
        <is>
          <t>0,43</t>
        </is>
      </c>
      <c r="Z566" s="149" t="inlineStr">
        <is>
          <t>0,43</t>
        </is>
      </c>
      <c r="AA566" s="151" t="inlineStr">
        <is>
          <t>grams</t>
        </is>
      </c>
      <c r="AB566" s="151" t="n"/>
      <c r="AC566" s="151" t="n"/>
      <c r="AD566" s="150" t="n">
        <v>0.9301199999999999</v>
      </c>
      <c r="AE566" s="149" t="n">
        <v>0.43</v>
      </c>
      <c r="AF566" s="151" t="inlineStr">
        <is>
          <t>grams</t>
        </is>
      </c>
      <c r="AG566" s="151" t="n"/>
      <c r="AH566" s="151" t="n"/>
    </row>
    <row r="567">
      <c r="A567" s="151" t="inlineStr">
        <is>
          <t>FV0472A - Indian Butter Chicken [DKSE]</t>
        </is>
      </c>
      <c r="B567" s="151" t="inlineStr">
        <is>
          <t>REC-013852-4-001</t>
        </is>
      </c>
      <c r="C567" s="151" t="inlineStr">
        <is>
          <t>Cauliflower rice - Cilantro and Lime Cauliflower Rice - BA</t>
        </is>
      </c>
      <c r="D567" s="151" t="inlineStr">
        <is>
          <t>SUB-013733-4-001</t>
        </is>
      </c>
      <c r="E567" s="150" t="n">
        <v>120</v>
      </c>
      <c r="F567" s="151" t="inlineStr">
        <is>
          <t>grams</t>
        </is>
      </c>
      <c r="G567" s="151" t="inlineStr">
        <is>
          <t>BLAST CHILLER, OVEN</t>
        </is>
      </c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inlineStr">
        <is>
          <t>FA-DE Cauliflower, Riced, IQF /Blumenkohl, Reis, IQF</t>
        </is>
      </c>
      <c r="X567" s="151" t="inlineStr">
        <is>
          <t>PHF-00-139233-1</t>
        </is>
      </c>
      <c r="Y567" s="151" t="inlineStr">
        <is>
          <t>112,5</t>
        </is>
      </c>
      <c r="Z567" s="149" t="inlineStr">
        <is>
          <t>112,5</t>
        </is>
      </c>
      <c r="AA567" s="151" t="inlineStr">
        <is>
          <t>grams</t>
        </is>
      </c>
      <c r="AB567" s="151" t="n"/>
      <c r="AC567" s="151" t="n"/>
      <c r="AD567" s="150" t="n">
        <v>0.9301199999999999</v>
      </c>
      <c r="AE567" s="149" t="n">
        <v>112.5</v>
      </c>
      <c r="AF567" s="151" t="inlineStr">
        <is>
          <t>grams</t>
        </is>
      </c>
      <c r="AG567" s="151" t="n"/>
      <c r="AH567" s="151" t="n"/>
    </row>
    <row r="568">
      <c r="A568" s="151" t="inlineStr">
        <is>
          <t>FV0472A - Indian Butter Chicken [DKSE]</t>
        </is>
      </c>
      <c r="B568" s="151" t="inlineStr">
        <is>
          <t>REC-013852-4-001</t>
        </is>
      </c>
      <c r="C568" s="151" t="inlineStr">
        <is>
          <t>Cauliflower rice - Cilantro and Lime Cauliflower Rice - BA</t>
        </is>
      </c>
      <c r="D568" s="151" t="inlineStr">
        <is>
          <t>SUB-013733-4-001</t>
        </is>
      </c>
      <c r="E568" s="150" t="n">
        <v>120</v>
      </c>
      <c r="F568" s="151" t="inlineStr">
        <is>
          <t>grams</t>
        </is>
      </c>
      <c r="G568" s="151" t="inlineStr">
        <is>
          <t>BLAST CHILLER, OVEN</t>
        </is>
      </c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inlineStr">
        <is>
          <t>FA-DE Coriander, Chopped /Koriander, gehackt</t>
        </is>
      </c>
      <c r="X568" s="151" t="inlineStr">
        <is>
          <t>PHF-00-139192-3</t>
        </is>
      </c>
      <c r="Y568" s="151" t="inlineStr">
        <is>
          <t>6,05</t>
        </is>
      </c>
      <c r="Z568" s="149" t="inlineStr">
        <is>
          <t>6,05</t>
        </is>
      </c>
      <c r="AA568" s="151" t="inlineStr">
        <is>
          <t>grams</t>
        </is>
      </c>
      <c r="AB568" s="151" t="n"/>
      <c r="AC568" s="151" t="n"/>
      <c r="AD568" s="150" t="n">
        <v>0.9301199999999999</v>
      </c>
      <c r="AE568" s="149" t="n">
        <v>6.05</v>
      </c>
      <c r="AF568" s="151" t="inlineStr">
        <is>
          <t>grams</t>
        </is>
      </c>
      <c r="AG568" s="151" t="n"/>
      <c r="AH568" s="151" t="n"/>
    </row>
    <row r="569">
      <c r="A569" s="151" t="inlineStr">
        <is>
          <t>FV0846A - Stroganoff-Style Beef Burger [BNL]</t>
        </is>
      </c>
      <c r="B569" s="151" t="inlineStr">
        <is>
          <t>REC-029854-4-003</t>
        </is>
      </c>
      <c r="C569" s="151" t="inlineStr">
        <is>
          <t>Sauce for Beef Stroganoff - 1/2 garlic- No wine</t>
        </is>
      </c>
      <c r="D569" s="151" t="inlineStr">
        <is>
          <t>SUB-029908-4-001</t>
        </is>
      </c>
      <c r="E569" s="150" t="n">
        <v>100</v>
      </c>
      <c r="F569" s="151" t="inlineStr">
        <is>
          <t>grams</t>
        </is>
      </c>
      <c r="G569" s="151" t="inlineStr">
        <is>
          <t>BLAST CHILLER, BRAISER, IMMERSION BLENDER, SPICE PORTIONING</t>
        </is>
      </c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inlineStr">
        <is>
          <t>FA-DE Oil, Olive /Öl, Olivenöl</t>
        </is>
      </c>
      <c r="X569" s="151" t="inlineStr">
        <is>
          <t>PRO-00-139277-5</t>
        </is>
      </c>
      <c r="Y569" s="151" t="inlineStr">
        <is>
          <t>5,79</t>
        </is>
      </c>
      <c r="Z569" s="149" t="inlineStr">
        <is>
          <t>5,79</t>
        </is>
      </c>
      <c r="AA569" s="151" t="inlineStr">
        <is>
          <t>grams</t>
        </is>
      </c>
      <c r="AB569" s="151" t="n"/>
      <c r="AC569" s="151" t="n"/>
      <c r="AD569" s="150" t="n">
        <v>0.91947</v>
      </c>
      <c r="AE569" s="149" t="n">
        <v>5.79</v>
      </c>
      <c r="AF569" s="151" t="inlineStr">
        <is>
          <t>grams</t>
        </is>
      </c>
      <c r="AG569" s="151" t="n"/>
      <c r="AH569" s="151" t="n"/>
    </row>
    <row r="570">
      <c r="A570" s="151" t="inlineStr">
        <is>
          <t>FV0846A - Stroganoff-Style Beef Burger [BNL]</t>
        </is>
      </c>
      <c r="B570" s="151" t="inlineStr">
        <is>
          <t>REC-029854-4-003</t>
        </is>
      </c>
      <c r="C570" s="151" t="inlineStr">
        <is>
          <t>Sauce for Beef Stroganoff - 1/2 garlic- No wine</t>
        </is>
      </c>
      <c r="D570" s="151" t="inlineStr">
        <is>
          <t>SUB-029908-4-001</t>
        </is>
      </c>
      <c r="E570" s="150" t="n">
        <v>100</v>
      </c>
      <c r="F570" s="151" t="inlineStr">
        <is>
          <t>grams</t>
        </is>
      </c>
      <c r="G570" s="151" t="inlineStr">
        <is>
          <t>BLAST CHILLER, BRAISER, IMMERSION BLENDER, SPICE PORTIONING</t>
        </is>
      </c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inlineStr">
        <is>
          <t>FA-DE Onion, Spanish, Diced 5mm /Zwiebel, Spanisch, gewürfelt 5 mm</t>
        </is>
      </c>
      <c r="X570" s="151" t="inlineStr">
        <is>
          <t>PHF-00-139212-3</t>
        </is>
      </c>
      <c r="Y570" s="151" t="inlineStr">
        <is>
          <t>3,68</t>
        </is>
      </c>
      <c r="Z570" s="149" t="inlineStr">
        <is>
          <t>3,68</t>
        </is>
      </c>
      <c r="AA570" s="151" t="inlineStr">
        <is>
          <t>grams</t>
        </is>
      </c>
      <c r="AB570" s="151" t="n"/>
      <c r="AC570" s="151" t="n"/>
      <c r="AD570" s="150" t="n">
        <v>0.91947</v>
      </c>
      <c r="AE570" s="149" t="n">
        <v>3.68</v>
      </c>
      <c r="AF570" s="151" t="inlineStr">
        <is>
          <t>grams</t>
        </is>
      </c>
      <c r="AG570" s="151" t="n"/>
      <c r="AH570" s="151" t="n"/>
    </row>
    <row r="571">
      <c r="A571" s="151" t="inlineStr">
        <is>
          <t>FV0846A - Stroganoff-Style Beef Burger [BNL]</t>
        </is>
      </c>
      <c r="B571" s="151" t="inlineStr">
        <is>
          <t>REC-029854-4-003</t>
        </is>
      </c>
      <c r="C571" s="151" t="inlineStr">
        <is>
          <t>Sauce for Beef Stroganoff - 1/2 garlic- No wine</t>
        </is>
      </c>
      <c r="D571" s="151" t="inlineStr">
        <is>
          <t>SUB-029908-4-001</t>
        </is>
      </c>
      <c r="E571" s="150" t="n">
        <v>100</v>
      </c>
      <c r="F571" s="151" t="inlineStr">
        <is>
          <t>grams</t>
        </is>
      </c>
      <c r="G571" s="151" t="inlineStr">
        <is>
          <t>BLAST CHILLER, BRAISER, IMMERSION BLENDER, SPICE PORTIONING</t>
        </is>
      </c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inlineStr">
        <is>
          <t>FA-DE Garlic, IQF, Diced 4 mm /Knoblauch, IQF, gewürfelt 4 mm</t>
        </is>
      </c>
      <c r="X571" s="151" t="inlineStr">
        <is>
          <t>PHF-00-139237-1</t>
        </is>
      </c>
      <c r="Y571" s="151" t="inlineStr">
        <is>
          <t>3,68</t>
        </is>
      </c>
      <c r="Z571" s="149" t="inlineStr">
        <is>
          <t>3,68</t>
        </is>
      </c>
      <c r="AA571" s="151" t="inlineStr">
        <is>
          <t>grams</t>
        </is>
      </c>
      <c r="AB571" s="151" t="inlineStr">
        <is>
          <t>SCHWEFELDIOXIDE UND SULFITE</t>
        </is>
      </c>
      <c r="AC571" s="151" t="n"/>
      <c r="AD571" s="150" t="n">
        <v>0.91947</v>
      </c>
      <c r="AE571" s="149" t="n">
        <v>3.68</v>
      </c>
      <c r="AF571" s="151" t="inlineStr">
        <is>
          <t>grams</t>
        </is>
      </c>
      <c r="AG571" s="151" t="n"/>
      <c r="AH571" s="151" t="n"/>
    </row>
    <row r="572">
      <c r="A572" s="151" t="inlineStr">
        <is>
          <t>FV0846A - Stroganoff-Style Beef Burger [BNL]</t>
        </is>
      </c>
      <c r="B572" s="151" t="inlineStr">
        <is>
          <t>REC-029854-4-003</t>
        </is>
      </c>
      <c r="C572" s="151" t="inlineStr">
        <is>
          <t>Sauce for Beef Stroganoff - 1/2 garlic- No wine</t>
        </is>
      </c>
      <c r="D572" s="151" t="inlineStr">
        <is>
          <t>SUB-029908-4-001</t>
        </is>
      </c>
      <c r="E572" s="150" t="n">
        <v>100</v>
      </c>
      <c r="F572" s="151" t="inlineStr">
        <is>
          <t>grams</t>
        </is>
      </c>
      <c r="G572" s="151" t="inlineStr">
        <is>
          <t>BLAST CHILLER, BRAISER, IMMERSION BLENDER, SPICE PORTIONING</t>
        </is>
      </c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inlineStr">
        <is>
          <t>FA-DE Mushroom, Button, Sliced, Washed /Pilz, Knopf, geschnitten, gewaschen</t>
        </is>
      </c>
      <c r="X572" s="151" t="inlineStr">
        <is>
          <t>PHF-00-139206-3</t>
        </is>
      </c>
      <c r="Y572" s="151" t="inlineStr">
        <is>
          <t>46,56</t>
        </is>
      </c>
      <c r="Z572" s="149" t="inlineStr">
        <is>
          <t>46,56</t>
        </is>
      </c>
      <c r="AA572" s="151" t="inlineStr">
        <is>
          <t>grams</t>
        </is>
      </c>
      <c r="AB572" s="151" t="n"/>
      <c r="AC572" s="151" t="n"/>
      <c r="AD572" s="150" t="n">
        <v>0.91947</v>
      </c>
      <c r="AE572" s="149" t="n">
        <v>46.56</v>
      </c>
      <c r="AF572" s="151" t="inlineStr">
        <is>
          <t>grams</t>
        </is>
      </c>
      <c r="AG572" s="151" t="n"/>
      <c r="AH572" s="151" t="n"/>
    </row>
    <row r="573">
      <c r="A573" s="151" t="inlineStr">
        <is>
          <t>FV0846A - Stroganoff-Style Beef Burger [BNL]</t>
        </is>
      </c>
      <c r="B573" s="151" t="inlineStr">
        <is>
          <t>REC-029854-4-003</t>
        </is>
      </c>
      <c r="C573" s="151" t="inlineStr">
        <is>
          <t>Sauce for Beef Stroganoff - 1/2 garlic- No wine</t>
        </is>
      </c>
      <c r="D573" s="151" t="inlineStr">
        <is>
          <t>SUB-029908-4-001</t>
        </is>
      </c>
      <c r="E573" s="150" t="n">
        <v>100</v>
      </c>
      <c r="F573" s="151" t="inlineStr">
        <is>
          <t>grams</t>
        </is>
      </c>
      <c r="G573" s="151" t="inlineStr">
        <is>
          <t>BLAST CHILLER, BRAISER, IMMERSION BLENDER, SPICE PORTIONING</t>
        </is>
      </c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inlineStr">
        <is>
          <t>FA-DE Thyme, IQF /Thymian, IQF</t>
        </is>
      </c>
      <c r="X573" s="151" t="inlineStr">
        <is>
          <t>PHF-00-139244-1</t>
        </is>
      </c>
      <c r="Y573" s="151" t="inlineStr">
        <is>
          <t>0,97</t>
        </is>
      </c>
      <c r="Z573" s="149" t="inlineStr">
        <is>
          <t>0,97</t>
        </is>
      </c>
      <c r="AA573" s="151" t="inlineStr">
        <is>
          <t>grams</t>
        </is>
      </c>
      <c r="AB573" s="151" t="n"/>
      <c r="AC573" s="151" t="n"/>
      <c r="AD573" s="150" t="n">
        <v>0.91947</v>
      </c>
      <c r="AE573" s="149" t="n">
        <v>0.97</v>
      </c>
      <c r="AF573" s="151" t="inlineStr">
        <is>
          <t>grams</t>
        </is>
      </c>
      <c r="AG573" s="151" t="n"/>
      <c r="AH573" s="151" t="n"/>
    </row>
    <row r="574">
      <c r="A574" s="151" t="inlineStr">
        <is>
          <t>FV0846A - Stroganoff-Style Beef Burger [BNL]</t>
        </is>
      </c>
      <c r="B574" s="151" t="inlineStr">
        <is>
          <t>REC-029854-4-003</t>
        </is>
      </c>
      <c r="C574" s="151" t="inlineStr">
        <is>
          <t>Sauce for Beef Stroganoff - 1/2 garlic- No wine</t>
        </is>
      </c>
      <c r="D574" s="151" t="inlineStr">
        <is>
          <t>SUB-029908-4-001</t>
        </is>
      </c>
      <c r="E574" s="150" t="n">
        <v>100</v>
      </c>
      <c r="F574" s="151" t="inlineStr">
        <is>
          <t>grams</t>
        </is>
      </c>
      <c r="G574" s="151" t="inlineStr">
        <is>
          <t>BLAST CHILLER, BRAISER, IMMERSION BLENDER, SPICE PORTIONING</t>
        </is>
      </c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inlineStr">
        <is>
          <t>FA-DE Spice, Porcini Mushroom Powder /Gewürz, Steinpilzpulver</t>
        </is>
      </c>
      <c r="X574" s="151" t="inlineStr">
        <is>
          <t>SPI-00-139375-5</t>
        </is>
      </c>
      <c r="Y574" s="151" t="inlineStr">
        <is>
          <t>0,73</t>
        </is>
      </c>
      <c r="Z574" s="149" t="inlineStr">
        <is>
          <t>0,73</t>
        </is>
      </c>
      <c r="AA574" s="151" t="inlineStr">
        <is>
          <t>grams</t>
        </is>
      </c>
      <c r="AB574" s="151" t="n"/>
      <c r="AC574" s="151" t="n"/>
      <c r="AD574" s="150" t="n">
        <v>0.91947</v>
      </c>
      <c r="AE574" s="149" t="n">
        <v>0.73</v>
      </c>
      <c r="AF574" s="151" t="inlineStr">
        <is>
          <t>grams</t>
        </is>
      </c>
      <c r="AG574" s="151" t="n"/>
      <c r="AH574" s="151" t="n"/>
    </row>
    <row r="575">
      <c r="A575" s="151" t="inlineStr">
        <is>
          <t>FV0846A - Stroganoff-Style Beef Burger [BNL]</t>
        </is>
      </c>
      <c r="B575" s="151" t="inlineStr">
        <is>
          <t>REC-029854-4-003</t>
        </is>
      </c>
      <c r="C575" s="151" t="inlineStr">
        <is>
          <t>Sauce for Beef Stroganoff - 1/2 garlic- No wine</t>
        </is>
      </c>
      <c r="D575" s="151" t="inlineStr">
        <is>
          <t>SUB-029908-4-001</t>
        </is>
      </c>
      <c r="E575" s="150" t="n">
        <v>100</v>
      </c>
      <c r="F575" s="151" t="inlineStr">
        <is>
          <t>grams</t>
        </is>
      </c>
      <c r="G575" s="151" t="inlineStr">
        <is>
          <t>BLAST CHILLER, BRAISER, IMMERSION BLENDER, SPICE PORTIONING</t>
        </is>
      </c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inlineStr">
        <is>
          <t>FA-DE Spice, Sea Salt /Gewürze, Meersalz</t>
        </is>
      </c>
      <c r="X575" s="151" t="inlineStr">
        <is>
          <t>SPI-00-139378-5</t>
        </is>
      </c>
      <c r="Y575" s="151" t="inlineStr">
        <is>
          <t>0,27</t>
        </is>
      </c>
      <c r="Z575" s="149" t="inlineStr">
        <is>
          <t>0,27</t>
        </is>
      </c>
      <c r="AA575" s="151" t="inlineStr">
        <is>
          <t>grams</t>
        </is>
      </c>
      <c r="AB575" s="151" t="n"/>
      <c r="AC575" s="151" t="n"/>
      <c r="AD575" s="150" t="n">
        <v>0.91947</v>
      </c>
      <c r="AE575" s="149" t="n">
        <v>0.27</v>
      </c>
      <c r="AF575" s="151" t="inlineStr">
        <is>
          <t>grams</t>
        </is>
      </c>
      <c r="AG575" s="151" t="n"/>
      <c r="AH575" s="151" t="n"/>
    </row>
    <row r="576">
      <c r="A576" s="151" t="inlineStr">
        <is>
          <t>FV0846A - Stroganoff-Style Beef Burger [BNL]</t>
        </is>
      </c>
      <c r="B576" s="151" t="inlineStr">
        <is>
          <t>REC-029854-4-003</t>
        </is>
      </c>
      <c r="C576" s="151" t="inlineStr">
        <is>
          <t>Sauce for Beef Stroganoff - 1/2 garlic- No wine</t>
        </is>
      </c>
      <c r="D576" s="151" t="inlineStr">
        <is>
          <t>SUB-029908-4-001</t>
        </is>
      </c>
      <c r="E576" s="150" t="n">
        <v>100</v>
      </c>
      <c r="F576" s="151" t="inlineStr">
        <is>
          <t>grams</t>
        </is>
      </c>
      <c r="G576" s="151" t="inlineStr">
        <is>
          <t>BLAST CHILLER, BRAISER, IMMERSION BLENDER, SPICE PORTIONING</t>
        </is>
      </c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inlineStr">
        <is>
          <t>FA-DE Water / Wasser</t>
        </is>
      </c>
      <c r="X576" s="151" t="inlineStr">
        <is>
          <t>OTH-00-144038-5</t>
        </is>
      </c>
      <c r="Y576" s="151" t="inlineStr">
        <is>
          <t>2,46</t>
        </is>
      </c>
      <c r="Z576" s="149" t="inlineStr">
        <is>
          <t>2,46</t>
        </is>
      </c>
      <c r="AA576" s="151" t="inlineStr">
        <is>
          <t>grams</t>
        </is>
      </c>
      <c r="AB576" s="151" t="n"/>
      <c r="AC576" s="151" t="n"/>
      <c r="AD576" s="150" t="n">
        <v>0.91947</v>
      </c>
      <c r="AE576" s="149" t="n">
        <v>2.46</v>
      </c>
      <c r="AF576" s="151" t="inlineStr">
        <is>
          <t>grams</t>
        </is>
      </c>
      <c r="AG576" s="151" t="n"/>
      <c r="AH576" s="151" t="n"/>
    </row>
    <row r="577">
      <c r="A577" s="151" t="inlineStr">
        <is>
          <t>FV0846A - Stroganoff-Style Beef Burger [BNL]</t>
        </is>
      </c>
      <c r="B577" s="151" t="inlineStr">
        <is>
          <t>REC-029854-4-003</t>
        </is>
      </c>
      <c r="C577" s="151" t="inlineStr">
        <is>
          <t>Sauce for Beef Stroganoff - 1/2 garlic- No wine</t>
        </is>
      </c>
      <c r="D577" s="151" t="inlineStr">
        <is>
          <t>SUB-029908-4-001</t>
        </is>
      </c>
      <c r="E577" s="150" t="n">
        <v>100</v>
      </c>
      <c r="F577" s="151" t="inlineStr">
        <is>
          <t>grams</t>
        </is>
      </c>
      <c r="G577" s="151" t="inlineStr">
        <is>
          <t>BLAST CHILLER, BRAISER, IMMERSION BLENDER, SPICE PORTIONING</t>
        </is>
      </c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inlineStr">
        <is>
          <t>FA-DE Heavy Cream 35% /Sahne 35%</t>
        </is>
      </c>
      <c r="X577" s="151" t="inlineStr">
        <is>
          <t>DAI-00-148167-3</t>
        </is>
      </c>
      <c r="Y577" s="151" t="inlineStr">
        <is>
          <t>1,96</t>
        </is>
      </c>
      <c r="Z577" s="149" t="inlineStr">
        <is>
          <t>1,96</t>
        </is>
      </c>
      <c r="AA577" s="151" t="inlineStr">
        <is>
          <t>grams</t>
        </is>
      </c>
      <c r="AB577" s="151" t="inlineStr">
        <is>
          <t>MILCH (EINSCHLIESSLICH LAKTOSE)</t>
        </is>
      </c>
      <c r="AC577" s="151" t="n"/>
      <c r="AD577" s="150" t="n">
        <v>0.91947</v>
      </c>
      <c r="AE577" s="149" t="n">
        <v>1.96</v>
      </c>
      <c r="AF577" s="151" t="inlineStr">
        <is>
          <t>grams</t>
        </is>
      </c>
      <c r="AG577" s="151" t="n"/>
      <c r="AH577" s="151" t="n"/>
    </row>
    <row r="578">
      <c r="A578" s="151" t="inlineStr">
        <is>
          <t>FV0846A - Stroganoff-Style Beef Burger [BNL]</t>
        </is>
      </c>
      <c r="B578" s="151" t="inlineStr">
        <is>
          <t>REC-029854-4-003</t>
        </is>
      </c>
      <c r="C578" s="151" t="inlineStr">
        <is>
          <t>Sauce for Beef Stroganoff - 1/2 garlic- No wine</t>
        </is>
      </c>
      <c r="D578" s="151" t="inlineStr">
        <is>
          <t>SUB-029908-4-001</t>
        </is>
      </c>
      <c r="E578" s="150" t="n">
        <v>100</v>
      </c>
      <c r="F578" s="151" t="inlineStr">
        <is>
          <t>grams</t>
        </is>
      </c>
      <c r="G578" s="151" t="inlineStr">
        <is>
          <t>BLAST CHILLER, BRAISER, IMMERSION BLENDER, SPICE PORTIONING</t>
        </is>
      </c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inlineStr">
        <is>
          <t>FA-DE Stock Concentrate, Classic Reduced Brown /Stammkonzentrat, klassisches, reduziertes Braun</t>
        </is>
      </c>
      <c r="X578" s="151" t="inlineStr">
        <is>
          <t>PRO-00-139285-5</t>
        </is>
      </c>
      <c r="Y578" s="151" t="inlineStr">
        <is>
          <t>4,89</t>
        </is>
      </c>
      <c r="Z578" s="149" t="inlineStr">
        <is>
          <t>4,89</t>
        </is>
      </c>
      <c r="AA578" s="151" t="inlineStr">
        <is>
          <t>grams</t>
        </is>
      </c>
      <c r="AB578" s="151" t="inlineStr">
        <is>
          <t>SELLERIE</t>
        </is>
      </c>
      <c r="AC578" s="151" t="n"/>
      <c r="AD578" s="150" t="n">
        <v>0.91947</v>
      </c>
      <c r="AE578" s="149" t="n">
        <v>4.89</v>
      </c>
      <c r="AF578" s="151" t="inlineStr">
        <is>
          <t>grams</t>
        </is>
      </c>
      <c r="AG578" s="151" t="n"/>
      <c r="AH578" s="151" t="n"/>
    </row>
    <row r="579">
      <c r="A579" s="151" t="inlineStr">
        <is>
          <t>FV0846A - Stroganoff-Style Beef Burger [BNL]</t>
        </is>
      </c>
      <c r="B579" s="151" t="inlineStr">
        <is>
          <t>REC-029854-4-003</t>
        </is>
      </c>
      <c r="C579" s="151" t="inlineStr">
        <is>
          <t>Sauce for Beef Stroganoff - 1/2 garlic- No wine</t>
        </is>
      </c>
      <c r="D579" s="151" t="inlineStr">
        <is>
          <t>SUB-029908-4-001</t>
        </is>
      </c>
      <c r="E579" s="150" t="n">
        <v>100</v>
      </c>
      <c r="F579" s="151" t="inlineStr">
        <is>
          <t>grams</t>
        </is>
      </c>
      <c r="G579" s="151" t="inlineStr">
        <is>
          <t>BLAST CHILLER, BRAISER, IMMERSION BLENDER, SPICE PORTIONING</t>
        </is>
      </c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inlineStr">
        <is>
          <t>FA-DE Cheese, Cream, 13% Fat (Milk) /Käse, Sahne, 13% Fett</t>
        </is>
      </c>
      <c r="X579" s="151" t="inlineStr">
        <is>
          <t>DAI-00-139122-3</t>
        </is>
      </c>
      <c r="Y579" s="151" t="inlineStr">
        <is>
          <t>14,69</t>
        </is>
      </c>
      <c r="Z579" s="149" t="inlineStr">
        <is>
          <t>14,69</t>
        </is>
      </c>
      <c r="AA579" s="151" t="inlineStr">
        <is>
          <t>grams</t>
        </is>
      </c>
      <c r="AB579" s="151" t="inlineStr">
        <is>
          <t>MILCH (EINSCHLIESSLICH LAKTOSE)</t>
        </is>
      </c>
      <c r="AC579" s="151" t="n"/>
      <c r="AD579" s="150" t="n">
        <v>0.91947</v>
      </c>
      <c r="AE579" s="149" t="n">
        <v>14.69</v>
      </c>
      <c r="AF579" s="151" t="inlineStr">
        <is>
          <t>grams</t>
        </is>
      </c>
      <c r="AG579" s="151" t="n"/>
      <c r="AH579" s="151" t="n"/>
    </row>
    <row r="580">
      <c r="A580" s="151" t="inlineStr">
        <is>
          <t>FV0846A - Stroganoff-Style Beef Burger [BNL]</t>
        </is>
      </c>
      <c r="B580" s="151" t="inlineStr">
        <is>
          <t>REC-029854-4-003</t>
        </is>
      </c>
      <c r="C580" s="151" t="inlineStr">
        <is>
          <t>Sauce for Beef Stroganoff - 1/2 garlic- No wine</t>
        </is>
      </c>
      <c r="D580" s="151" t="inlineStr">
        <is>
          <t>SUB-029908-4-001</t>
        </is>
      </c>
      <c r="E580" s="150" t="n">
        <v>100</v>
      </c>
      <c r="F580" s="151" t="inlineStr">
        <is>
          <t>grams</t>
        </is>
      </c>
      <c r="G580" s="151" t="inlineStr">
        <is>
          <t>BLAST CHILLER, BRAISER, IMMERSION BLENDER, SPICE PORTIONING</t>
        </is>
      </c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inlineStr">
        <is>
          <t>FA-DE Sour Cream /Sauerrahm</t>
        </is>
      </c>
      <c r="X580" s="151" t="inlineStr">
        <is>
          <t>DAI-00-139141-3</t>
        </is>
      </c>
      <c r="Y580" s="151" t="inlineStr">
        <is>
          <t>14,69</t>
        </is>
      </c>
      <c r="Z580" s="149" t="inlineStr">
        <is>
          <t>14,69</t>
        </is>
      </c>
      <c r="AA580" s="151" t="inlineStr">
        <is>
          <t>grams</t>
        </is>
      </c>
      <c r="AB580" s="151" t="inlineStr">
        <is>
          <t>MILCH (EINSCHLIESSLICH LAKTOSE)</t>
        </is>
      </c>
      <c r="AC580" s="151" t="n"/>
      <c r="AD580" s="150" t="n">
        <v>0.91947</v>
      </c>
      <c r="AE580" s="149" t="n">
        <v>14.69</v>
      </c>
      <c r="AF580" s="151" t="inlineStr">
        <is>
          <t>grams</t>
        </is>
      </c>
      <c r="AG580" s="151" t="n"/>
      <c r="AH580" s="151" t="n"/>
    </row>
    <row r="581">
      <c r="A581" s="151" t="inlineStr">
        <is>
          <t>FV0846A - Stroganoff-Style Beef Burger [BNL]</t>
        </is>
      </c>
      <c r="B581" s="151" t="inlineStr">
        <is>
          <t>REC-029854-4-003</t>
        </is>
      </c>
      <c r="C581" s="151" t="inlineStr">
        <is>
          <t>Sauce for Beef Stroganoff - 1/2 garlic- No wine</t>
        </is>
      </c>
      <c r="D581" s="151" t="inlineStr">
        <is>
          <t>SUB-029908-4-001</t>
        </is>
      </c>
      <c r="E581" s="150" t="n">
        <v>100</v>
      </c>
      <c r="F581" s="151" t="inlineStr">
        <is>
          <t>grams</t>
        </is>
      </c>
      <c r="G581" s="151" t="inlineStr">
        <is>
          <t>BLAST CHILLER, BRAISER, IMMERSION BLENDER, SPICE PORTIONING</t>
        </is>
      </c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inlineStr">
        <is>
          <t>FA-DE Mustard, Dijon /Senf, Dijon</t>
        </is>
      </c>
      <c r="X581" s="151" t="inlineStr">
        <is>
          <t>PRO-00-139276-5</t>
        </is>
      </c>
      <c r="Y581" s="151" t="inlineStr">
        <is>
          <t>3,19</t>
        </is>
      </c>
      <c r="Z581" s="149" t="inlineStr">
        <is>
          <t>3,19</t>
        </is>
      </c>
      <c r="AA581" s="151" t="inlineStr">
        <is>
          <t>grams</t>
        </is>
      </c>
      <c r="AB581" s="151" t="inlineStr">
        <is>
          <t>SENF</t>
        </is>
      </c>
      <c r="AC581" s="151" t="n"/>
      <c r="AD581" s="150" t="n">
        <v>0.91947</v>
      </c>
      <c r="AE581" s="149" t="n">
        <v>3.19</v>
      </c>
      <c r="AF581" s="151" t="inlineStr">
        <is>
          <t>grams</t>
        </is>
      </c>
      <c r="AG581" s="151" t="n"/>
      <c r="AH581" s="151" t="n"/>
    </row>
    <row r="582">
      <c r="A582" s="151" t="inlineStr">
        <is>
          <t>FV0846A - Stroganoff-Style Beef Burger [BNL]</t>
        </is>
      </c>
      <c r="B582" s="151" t="inlineStr">
        <is>
          <t>REC-029854-4-003</t>
        </is>
      </c>
      <c r="C582" s="151" t="inlineStr">
        <is>
          <t>Sauce for Beef Stroganoff - 1/2 garlic- No wine</t>
        </is>
      </c>
      <c r="D582" s="151" t="inlineStr">
        <is>
          <t>SUB-029908-4-001</t>
        </is>
      </c>
      <c r="E582" s="150" t="n">
        <v>100</v>
      </c>
      <c r="F582" s="151" t="inlineStr">
        <is>
          <t>grams</t>
        </is>
      </c>
      <c r="G582" s="151" t="inlineStr">
        <is>
          <t>BLAST CHILLER, BRAISER, IMMERSION BLENDER, SPICE PORTIONING</t>
        </is>
      </c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inlineStr">
        <is>
          <t>FA-DE Onion, Green, Sliced 5mm /Zwiebel, grün, in Scheiben geschnitten, 5 mm</t>
        </is>
      </c>
      <c r="X582" s="151" t="inlineStr">
        <is>
          <t>PHF-00-149803-3</t>
        </is>
      </c>
      <c r="Y582" s="151" t="inlineStr">
        <is>
          <t>5,19</t>
        </is>
      </c>
      <c r="Z582" s="149" t="inlineStr">
        <is>
          <t>5,19</t>
        </is>
      </c>
      <c r="AA582" s="151" t="inlineStr">
        <is>
          <t>grams</t>
        </is>
      </c>
      <c r="AB582" s="151" t="n"/>
      <c r="AC582" s="151" t="n"/>
      <c r="AD582" s="150" t="n">
        <v>0.91947</v>
      </c>
      <c r="AE582" s="149" t="n">
        <v>5.19</v>
      </c>
      <c r="AF582" s="151" t="inlineStr">
        <is>
          <t>grams</t>
        </is>
      </c>
      <c r="AG582" s="151" t="n"/>
      <c r="AH582" s="151" t="n"/>
    </row>
    <row r="583">
      <c r="A583" s="151" t="inlineStr">
        <is>
          <t>FV0846A - Stroganoff-Style Beef Burger [BNL]</t>
        </is>
      </c>
      <c r="B583" s="151" t="inlineStr">
        <is>
          <t>REC-029854-4-003</t>
        </is>
      </c>
      <c r="C583" s="151" t="inlineStr">
        <is>
          <t>Beef Burger Master EU</t>
        </is>
      </c>
      <c r="D583" s="151" t="inlineStr">
        <is>
          <t>SUB-031776-4-001</t>
        </is>
      </c>
      <c r="E583" s="150" t="n">
        <v>1</v>
      </c>
      <c r="F583" s="151" t="inlineStr">
        <is>
          <t>each</t>
        </is>
      </c>
      <c r="G583" s="151" t="inlineStr">
        <is>
          <t>BLAST CHILLER, HORIZONTAL MIXER, OVEN, PATTY MAKER</t>
        </is>
      </c>
      <c r="H583" s="151" t="inlineStr">
        <is>
          <t>Burger Patty</t>
        </is>
      </c>
      <c r="I583" s="151" t="inlineStr">
        <is>
          <t>SUB-031783-4-001</t>
        </is>
      </c>
      <c r="J583" s="150" t="n">
        <v>204</v>
      </c>
      <c r="K583" s="151" t="inlineStr">
        <is>
          <t>grams</t>
        </is>
      </c>
      <c r="L583" s="151" t="inlineStr">
        <is>
          <t>BLAST CHILLER, HORIZONTAL MIXER, OVEN, PATTY MAKER</t>
        </is>
      </c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inlineStr">
        <is>
          <t>FA-DE Beef, Ground, 80/20 /Rindfleisch, gemahlen, 80/20</t>
        </is>
      </c>
      <c r="X583" s="151" t="inlineStr">
        <is>
          <t>PTN-00-139319-3</t>
        </is>
      </c>
      <c r="Y583" s="151" t="inlineStr">
        <is>
          <t>169,76</t>
        </is>
      </c>
      <c r="Z583" s="149" t="inlineStr">
        <is>
          <t>169,76</t>
        </is>
      </c>
      <c r="AA583" s="151" t="inlineStr">
        <is>
          <t>grams</t>
        </is>
      </c>
      <c r="AB583" s="151" t="n"/>
      <c r="AC583" s="151" t="n"/>
      <c r="AD583" s="150" t="n">
        <v>0.97143</v>
      </c>
      <c r="AE583" s="149" t="n">
        <v>169.76</v>
      </c>
      <c r="AF583" s="151" t="inlineStr">
        <is>
          <t>grams</t>
        </is>
      </c>
      <c r="AG583" s="151" t="n"/>
      <c r="AH583" s="151" t="n"/>
    </row>
    <row r="584">
      <c r="A584" s="151" t="inlineStr">
        <is>
          <t>FV0846A - Stroganoff-Style Beef Burger [BNL]</t>
        </is>
      </c>
      <c r="B584" s="151" t="inlineStr">
        <is>
          <t>REC-029854-4-003</t>
        </is>
      </c>
      <c r="C584" s="151" t="inlineStr">
        <is>
          <t>Beef Burger Master EU</t>
        </is>
      </c>
      <c r="D584" s="151" t="inlineStr">
        <is>
          <t>SUB-031776-4-001</t>
        </is>
      </c>
      <c r="E584" s="150" t="n">
        <v>1</v>
      </c>
      <c r="F584" s="151" t="inlineStr">
        <is>
          <t>each</t>
        </is>
      </c>
      <c r="G584" s="151" t="inlineStr">
        <is>
          <t>BLAST CHILLER, HORIZONTAL MIXER, OVEN, PATTY MAKER</t>
        </is>
      </c>
      <c r="H584" s="151" t="inlineStr">
        <is>
          <t>Burger Patty</t>
        </is>
      </c>
      <c r="I584" s="151" t="inlineStr">
        <is>
          <t>SUB-031783-4-001</t>
        </is>
      </c>
      <c r="J584" s="150" t="n">
        <v>204</v>
      </c>
      <c r="K584" s="151" t="inlineStr">
        <is>
          <t>grams</t>
        </is>
      </c>
      <c r="L584" s="151" t="inlineStr">
        <is>
          <t>BLAST CHILLER, HORIZONTAL MIXER, OVEN, PATTY MAKER</t>
        </is>
      </c>
      <c r="M584" s="151" t="inlineStr">
        <is>
          <t>Cooked Burger Veggies</t>
        </is>
      </c>
      <c r="N584" s="151" t="inlineStr">
        <is>
          <t>SUB-031784-4-001</t>
        </is>
      </c>
      <c r="O584" s="150" t="n">
        <v>22.63</v>
      </c>
      <c r="P584" s="151" t="inlineStr">
        <is>
          <t>grams</t>
        </is>
      </c>
      <c r="Q584" s="151" t="inlineStr">
        <is>
          <t>BLAST CHILLER, BRAISER, SPICE PORTIONING</t>
        </is>
      </c>
      <c r="R584" s="151" t="n"/>
      <c r="S584" s="151" t="n"/>
      <c r="T584" s="151" t="n"/>
      <c r="U584" s="151" t="n"/>
      <c r="V584" s="151" t="n"/>
      <c r="W584" s="151" t="inlineStr">
        <is>
          <t>FA-DE Onion, Spanish, Diced 5mm /Zwiebel, Spanisch, gewürfelt 5 mm</t>
        </is>
      </c>
      <c r="X584" s="151" t="inlineStr">
        <is>
          <t>PHF-00-139212-3</t>
        </is>
      </c>
      <c r="Y584" s="151" t="inlineStr">
        <is>
          <t>8,35</t>
        </is>
      </c>
      <c r="Z584" s="149" t="inlineStr">
        <is>
          <t>8,35</t>
        </is>
      </c>
      <c r="AA584" s="151" t="inlineStr">
        <is>
          <t>grams</t>
        </is>
      </c>
      <c r="AB584" s="151" t="n"/>
      <c r="AC584" s="151" t="n"/>
      <c r="AD584" s="150" t="n">
        <v>0.94991</v>
      </c>
      <c r="AE584" s="149" t="n">
        <v>8.35</v>
      </c>
      <c r="AF584" s="151" t="inlineStr">
        <is>
          <t>grams</t>
        </is>
      </c>
      <c r="AG584" s="151" t="n"/>
      <c r="AH584" s="151" t="n"/>
    </row>
    <row r="585">
      <c r="A585" s="151" t="inlineStr">
        <is>
          <t>FV0846A - Stroganoff-Style Beef Burger [BNL]</t>
        </is>
      </c>
      <c r="B585" s="151" t="inlineStr">
        <is>
          <t>REC-029854-4-003</t>
        </is>
      </c>
      <c r="C585" s="151" t="inlineStr">
        <is>
          <t>Beef Burger Master EU</t>
        </is>
      </c>
      <c r="D585" s="151" t="inlineStr">
        <is>
          <t>SUB-031776-4-001</t>
        </is>
      </c>
      <c r="E585" s="150" t="n">
        <v>1</v>
      </c>
      <c r="F585" s="151" t="inlineStr">
        <is>
          <t>each</t>
        </is>
      </c>
      <c r="G585" s="151" t="inlineStr">
        <is>
          <t>BLAST CHILLER, HORIZONTAL MIXER, OVEN, PATTY MAKER</t>
        </is>
      </c>
      <c r="H585" s="151" t="inlineStr">
        <is>
          <t>Burger Patty</t>
        </is>
      </c>
      <c r="I585" s="151" t="inlineStr">
        <is>
          <t>SUB-031783-4-001</t>
        </is>
      </c>
      <c r="J585" s="150" t="n">
        <v>204</v>
      </c>
      <c r="K585" s="151" t="inlineStr">
        <is>
          <t>grams</t>
        </is>
      </c>
      <c r="L585" s="151" t="inlineStr">
        <is>
          <t>BLAST CHILLER, HORIZONTAL MIXER, OVEN, PATTY MAKER</t>
        </is>
      </c>
      <c r="M585" s="151" t="inlineStr">
        <is>
          <t>Cooked Burger Veggies</t>
        </is>
      </c>
      <c r="N585" s="151" t="inlineStr">
        <is>
          <t>SUB-031784-4-001</t>
        </is>
      </c>
      <c r="O585" s="150" t="n">
        <v>22.63</v>
      </c>
      <c r="P585" s="151" t="inlineStr">
        <is>
          <t>grams</t>
        </is>
      </c>
      <c r="Q585" s="151" t="inlineStr">
        <is>
          <t>BLAST CHILLER, BRAISER, SPICE PORTIONING</t>
        </is>
      </c>
      <c r="R585" s="151" t="n"/>
      <c r="S585" s="151" t="n"/>
      <c r="T585" s="151" t="n"/>
      <c r="U585" s="151" t="n"/>
      <c r="V585" s="151" t="n"/>
      <c r="W585" s="151" t="inlineStr">
        <is>
          <t>FA-DE Garlic, IQF, Diced 4 mm /Knoblauch, IQF, gewürfelt 4 mm</t>
        </is>
      </c>
      <c r="X585" s="151" t="inlineStr">
        <is>
          <t>PHF-00-139237-1</t>
        </is>
      </c>
      <c r="Y585" s="151" t="inlineStr">
        <is>
          <t>4,77</t>
        </is>
      </c>
      <c r="Z585" s="149" t="inlineStr">
        <is>
          <t>4,77</t>
        </is>
      </c>
      <c r="AA585" s="151" t="inlineStr">
        <is>
          <t>grams</t>
        </is>
      </c>
      <c r="AB585" s="151" t="inlineStr">
        <is>
          <t>SCHWEFELDIOXIDE UND SULFITE</t>
        </is>
      </c>
      <c r="AC585" s="151" t="n"/>
      <c r="AD585" s="150" t="n">
        <v>0.94991</v>
      </c>
      <c r="AE585" s="149" t="n">
        <v>4.77</v>
      </c>
      <c r="AF585" s="151" t="inlineStr">
        <is>
          <t>grams</t>
        </is>
      </c>
      <c r="AG585" s="151" t="n"/>
      <c r="AH585" s="151" t="n"/>
    </row>
    <row r="586">
      <c r="A586" s="151" t="inlineStr">
        <is>
          <t>FV0846A - Stroganoff-Style Beef Burger [BNL]</t>
        </is>
      </c>
      <c r="B586" s="151" t="inlineStr">
        <is>
          <t>REC-029854-4-003</t>
        </is>
      </c>
      <c r="C586" s="151" t="inlineStr">
        <is>
          <t>Beef Burger Master EU</t>
        </is>
      </c>
      <c r="D586" s="151" t="inlineStr">
        <is>
          <t>SUB-031776-4-001</t>
        </is>
      </c>
      <c r="E586" s="150" t="n">
        <v>1</v>
      </c>
      <c r="F586" s="151" t="inlineStr">
        <is>
          <t>each</t>
        </is>
      </c>
      <c r="G586" s="151" t="inlineStr">
        <is>
          <t>BLAST CHILLER, HORIZONTAL MIXER, OVEN, PATTY MAKER</t>
        </is>
      </c>
      <c r="H586" s="151" t="inlineStr">
        <is>
          <t>Burger Patty</t>
        </is>
      </c>
      <c r="I586" s="151" t="inlineStr">
        <is>
          <t>SUB-031783-4-001</t>
        </is>
      </c>
      <c r="J586" s="150" t="n">
        <v>204</v>
      </c>
      <c r="K586" s="151" t="inlineStr">
        <is>
          <t>grams</t>
        </is>
      </c>
      <c r="L586" s="151" t="inlineStr">
        <is>
          <t>BLAST CHILLER, HORIZONTAL MIXER, OVEN, PATTY MAKER</t>
        </is>
      </c>
      <c r="M586" s="151" t="inlineStr">
        <is>
          <t>Cooked Burger Veggies</t>
        </is>
      </c>
      <c r="N586" s="151" t="inlineStr">
        <is>
          <t>SUB-031784-4-001</t>
        </is>
      </c>
      <c r="O586" s="150" t="n">
        <v>22.63</v>
      </c>
      <c r="P586" s="151" t="inlineStr">
        <is>
          <t>grams</t>
        </is>
      </c>
      <c r="Q586" s="151" t="inlineStr">
        <is>
          <t>BLAST CHILLER, BRAISER, SPICE PORTIONING</t>
        </is>
      </c>
      <c r="R586" s="151" t="n"/>
      <c r="S586" s="151" t="n"/>
      <c r="T586" s="151" t="n"/>
      <c r="U586" s="151" t="n"/>
      <c r="V586" s="151" t="n"/>
      <c r="W586" s="151" t="inlineStr">
        <is>
          <t>FA-DE Oil, Olive /Öl, Olivenöl</t>
        </is>
      </c>
      <c r="X586" s="151" t="inlineStr">
        <is>
          <t>PRO-00-139277-5</t>
        </is>
      </c>
      <c r="Y586" s="151" t="inlineStr">
        <is>
          <t>3,19</t>
        </is>
      </c>
      <c r="Z586" s="149" t="inlineStr">
        <is>
          <t>3,19</t>
        </is>
      </c>
      <c r="AA586" s="151" t="inlineStr">
        <is>
          <t>grams</t>
        </is>
      </c>
      <c r="AB586" s="151" t="n"/>
      <c r="AC586" s="151" t="n"/>
      <c r="AD586" s="150" t="n">
        <v>0.94991</v>
      </c>
      <c r="AE586" s="149" t="n">
        <v>3.19</v>
      </c>
      <c r="AF586" s="151" t="inlineStr">
        <is>
          <t>grams</t>
        </is>
      </c>
      <c r="AG586" s="151" t="n"/>
      <c r="AH586" s="151" t="n"/>
    </row>
    <row r="587">
      <c r="A587" s="151" t="inlineStr">
        <is>
          <t>FV0846A - Stroganoff-Style Beef Burger [BNL]</t>
        </is>
      </c>
      <c r="B587" s="151" t="inlineStr">
        <is>
          <t>REC-029854-4-003</t>
        </is>
      </c>
      <c r="C587" s="151" t="inlineStr">
        <is>
          <t>Beef Burger Master EU</t>
        </is>
      </c>
      <c r="D587" s="151" t="inlineStr">
        <is>
          <t>SUB-031776-4-001</t>
        </is>
      </c>
      <c r="E587" s="150" t="n">
        <v>1</v>
      </c>
      <c r="F587" s="151" t="inlineStr">
        <is>
          <t>each</t>
        </is>
      </c>
      <c r="G587" s="151" t="inlineStr">
        <is>
          <t>BLAST CHILLER, HORIZONTAL MIXER, OVEN, PATTY MAKER</t>
        </is>
      </c>
      <c r="H587" s="151" t="inlineStr">
        <is>
          <t>Burger Patty</t>
        </is>
      </c>
      <c r="I587" s="151" t="inlineStr">
        <is>
          <t>SUB-031783-4-001</t>
        </is>
      </c>
      <c r="J587" s="150" t="n">
        <v>204</v>
      </c>
      <c r="K587" s="151" t="inlineStr">
        <is>
          <t>grams</t>
        </is>
      </c>
      <c r="L587" s="151" t="inlineStr">
        <is>
          <t>BLAST CHILLER, HORIZONTAL MIXER, OVEN, PATTY MAKER</t>
        </is>
      </c>
      <c r="M587" s="151" t="inlineStr">
        <is>
          <t>Cooked Burger Veggies</t>
        </is>
      </c>
      <c r="N587" s="151" t="inlineStr">
        <is>
          <t>SUB-031784-4-001</t>
        </is>
      </c>
      <c r="O587" s="150" t="n">
        <v>22.63</v>
      </c>
      <c r="P587" s="151" t="inlineStr">
        <is>
          <t>grams</t>
        </is>
      </c>
      <c r="Q587" s="151" t="inlineStr">
        <is>
          <t>BLAST CHILLER, BRAISER, SPICE PORTIONING</t>
        </is>
      </c>
      <c r="R587" s="151" t="n"/>
      <c r="S587" s="151" t="n"/>
      <c r="T587" s="151" t="n"/>
      <c r="U587" s="151" t="n"/>
      <c r="V587" s="151" t="n"/>
      <c r="W587" s="151" t="inlineStr">
        <is>
          <t>FA-DE Spice, Garlic Granulated /Gewürz, Knoblauch granuliert</t>
        </is>
      </c>
      <c r="X587" s="151" t="inlineStr">
        <is>
          <t>SPI-00-139353-5</t>
        </is>
      </c>
      <c r="Y587" s="151" t="inlineStr">
        <is>
          <t>2,39</t>
        </is>
      </c>
      <c r="Z587" s="149" t="inlineStr">
        <is>
          <t>2,39</t>
        </is>
      </c>
      <c r="AA587" s="151" t="inlineStr">
        <is>
          <t>grams</t>
        </is>
      </c>
      <c r="AB587" s="151" t="n"/>
      <c r="AC587" s="151" t="n"/>
      <c r="AD587" s="150" t="n">
        <v>0.94991</v>
      </c>
      <c r="AE587" s="149" t="n">
        <v>2.39</v>
      </c>
      <c r="AF587" s="151" t="inlineStr">
        <is>
          <t>grams</t>
        </is>
      </c>
      <c r="AG587" s="151" t="n"/>
      <c r="AH587" s="151" t="n"/>
    </row>
    <row r="588">
      <c r="A588" s="151" t="inlineStr">
        <is>
          <t>FV0846A - Stroganoff-Style Beef Burger [BNL]</t>
        </is>
      </c>
      <c r="B588" s="151" t="inlineStr">
        <is>
          <t>REC-029854-4-003</t>
        </is>
      </c>
      <c r="C588" s="151" t="inlineStr">
        <is>
          <t>Beef Burger Master EU</t>
        </is>
      </c>
      <c r="D588" s="151" t="inlineStr">
        <is>
          <t>SUB-031776-4-001</t>
        </is>
      </c>
      <c r="E588" s="150" t="n">
        <v>1</v>
      </c>
      <c r="F588" s="151" t="inlineStr">
        <is>
          <t>each</t>
        </is>
      </c>
      <c r="G588" s="151" t="inlineStr">
        <is>
          <t>BLAST CHILLER, HORIZONTAL MIXER, OVEN, PATTY MAKER</t>
        </is>
      </c>
      <c r="H588" s="151" t="inlineStr">
        <is>
          <t>Burger Patty</t>
        </is>
      </c>
      <c r="I588" s="151" t="inlineStr">
        <is>
          <t>SUB-031783-4-001</t>
        </is>
      </c>
      <c r="J588" s="150" t="n">
        <v>204</v>
      </c>
      <c r="K588" s="151" t="inlineStr">
        <is>
          <t>grams</t>
        </is>
      </c>
      <c r="L588" s="151" t="inlineStr">
        <is>
          <t>BLAST CHILLER, HORIZONTAL MIXER, OVEN, PATTY MAKER</t>
        </is>
      </c>
      <c r="M588" s="151" t="inlineStr">
        <is>
          <t>Cooked Burger Veggies</t>
        </is>
      </c>
      <c r="N588" s="151" t="inlineStr">
        <is>
          <t>SUB-031784-4-001</t>
        </is>
      </c>
      <c r="O588" s="150" t="n">
        <v>22.63</v>
      </c>
      <c r="P588" s="151" t="inlineStr">
        <is>
          <t>grams</t>
        </is>
      </c>
      <c r="Q588" s="151" t="inlineStr">
        <is>
          <t>BLAST CHILLER, BRAISER, SPICE PORTIONING</t>
        </is>
      </c>
      <c r="R588" s="151" t="n"/>
      <c r="S588" s="151" t="n"/>
      <c r="T588" s="151" t="n"/>
      <c r="U588" s="151" t="n"/>
      <c r="V588" s="151" t="n"/>
      <c r="W588" s="151" t="inlineStr">
        <is>
          <t>FA-DE Spice, Onion Granulated /Gewürze, Zwiebeln granuliert</t>
        </is>
      </c>
      <c r="X588" s="151" t="inlineStr">
        <is>
          <t>SPI-00-139370-5</t>
        </is>
      </c>
      <c r="Y588" s="151" t="inlineStr">
        <is>
          <t>4,77</t>
        </is>
      </c>
      <c r="Z588" s="149" t="inlineStr">
        <is>
          <t>4,77</t>
        </is>
      </c>
      <c r="AA588" s="151" t="inlineStr">
        <is>
          <t>grams</t>
        </is>
      </c>
      <c r="AB588" s="151" t="n"/>
      <c r="AC588" s="151" t="n"/>
      <c r="AD588" s="150" t="n">
        <v>0.94991</v>
      </c>
      <c r="AE588" s="149" t="n">
        <v>4.77</v>
      </c>
      <c r="AF588" s="151" t="inlineStr">
        <is>
          <t>grams</t>
        </is>
      </c>
      <c r="AG588" s="151" t="n"/>
      <c r="AH588" s="151" t="n"/>
    </row>
    <row r="589">
      <c r="A589" s="151" t="inlineStr">
        <is>
          <t>FV0846A - Stroganoff-Style Beef Burger [BNL]</t>
        </is>
      </c>
      <c r="B589" s="151" t="inlineStr">
        <is>
          <t>REC-029854-4-003</t>
        </is>
      </c>
      <c r="C589" s="151" t="inlineStr">
        <is>
          <t>Beef Burger Master EU</t>
        </is>
      </c>
      <c r="D589" s="151" t="inlineStr">
        <is>
          <t>SUB-031776-4-001</t>
        </is>
      </c>
      <c r="E589" s="150" t="n">
        <v>1</v>
      </c>
      <c r="F589" s="151" t="inlineStr">
        <is>
          <t>each</t>
        </is>
      </c>
      <c r="G589" s="151" t="inlineStr">
        <is>
          <t>BLAST CHILLER, HORIZONTAL MIXER, OVEN, PATTY MAKER</t>
        </is>
      </c>
      <c r="H589" s="151" t="inlineStr">
        <is>
          <t>Burger Patty</t>
        </is>
      </c>
      <c r="I589" s="151" t="inlineStr">
        <is>
          <t>SUB-031783-4-001</t>
        </is>
      </c>
      <c r="J589" s="150" t="n">
        <v>204</v>
      </c>
      <c r="K589" s="151" t="inlineStr">
        <is>
          <t>grams</t>
        </is>
      </c>
      <c r="L589" s="151" t="inlineStr">
        <is>
          <t>BLAST CHILLER, HORIZONTAL MIXER, OVEN, PATTY MAKER</t>
        </is>
      </c>
      <c r="M589" s="151" t="inlineStr">
        <is>
          <t>Cooked Burger Veggies</t>
        </is>
      </c>
      <c r="N589" s="151" t="inlineStr">
        <is>
          <t>SUB-031784-4-001</t>
        </is>
      </c>
      <c r="O589" s="150" t="n">
        <v>22.63</v>
      </c>
      <c r="P589" s="151" t="inlineStr">
        <is>
          <t>grams</t>
        </is>
      </c>
      <c r="Q589" s="151" t="inlineStr">
        <is>
          <t>BLAST CHILLER, BRAISER, SPICE PORTIONING</t>
        </is>
      </c>
      <c r="R589" s="151" t="n"/>
      <c r="S589" s="151" t="n"/>
      <c r="T589" s="151" t="n"/>
      <c r="U589" s="151" t="n"/>
      <c r="V589" s="151" t="n"/>
      <c r="W589" s="151" t="inlineStr">
        <is>
          <t>FA-DE Spice, Sea Salt /Gewürze, Meersalz</t>
        </is>
      </c>
      <c r="X589" s="151" t="inlineStr">
        <is>
          <t>SPI-00-139378-5</t>
        </is>
      </c>
      <c r="Y589" s="151" t="inlineStr">
        <is>
          <t>0,35</t>
        </is>
      </c>
      <c r="Z589" s="149" t="inlineStr">
        <is>
          <t>0,35</t>
        </is>
      </c>
      <c r="AA589" s="151" t="inlineStr">
        <is>
          <t>grams</t>
        </is>
      </c>
      <c r="AB589" s="151" t="n"/>
      <c r="AC589" s="151" t="n"/>
      <c r="AD589" s="150" t="n">
        <v>0.94991</v>
      </c>
      <c r="AE589" s="149" t="n">
        <v>0.35</v>
      </c>
      <c r="AF589" s="151" t="inlineStr">
        <is>
          <t>grams</t>
        </is>
      </c>
      <c r="AG589" s="151" t="n"/>
      <c r="AH589" s="151" t="n"/>
    </row>
    <row r="590">
      <c r="A590" s="151" t="inlineStr">
        <is>
          <t>FV0846A - Stroganoff-Style Beef Burger [BNL]</t>
        </is>
      </c>
      <c r="B590" s="151" t="inlineStr">
        <is>
          <t>REC-029854-4-003</t>
        </is>
      </c>
      <c r="C590" s="151" t="inlineStr">
        <is>
          <t>Beef Burger Master EU</t>
        </is>
      </c>
      <c r="D590" s="151" t="inlineStr">
        <is>
          <t>SUB-031776-4-001</t>
        </is>
      </c>
      <c r="E590" s="150" t="n">
        <v>1</v>
      </c>
      <c r="F590" s="151" t="inlineStr">
        <is>
          <t>each</t>
        </is>
      </c>
      <c r="G590" s="151" t="inlineStr">
        <is>
          <t>BLAST CHILLER, HORIZONTAL MIXER, OVEN, PATTY MAKER</t>
        </is>
      </c>
      <c r="H590" s="151" t="inlineStr">
        <is>
          <t>Burger Patty</t>
        </is>
      </c>
      <c r="I590" s="151" t="inlineStr">
        <is>
          <t>SUB-031783-4-001</t>
        </is>
      </c>
      <c r="J590" s="150" t="n">
        <v>204</v>
      </c>
      <c r="K590" s="151" t="inlineStr">
        <is>
          <t>grams</t>
        </is>
      </c>
      <c r="L590" s="151" t="inlineStr">
        <is>
          <t>BLAST CHILLER, HORIZONTAL MIXER, OVEN, PATTY MAKER</t>
        </is>
      </c>
      <c r="M590" s="151" t="inlineStr">
        <is>
          <t>Burger Stock</t>
        </is>
      </c>
      <c r="N590" s="151" t="inlineStr">
        <is>
          <t>SUB-031810-4-001</t>
        </is>
      </c>
      <c r="O590" s="150" t="n">
        <v>17.61</v>
      </c>
      <c r="P590" s="151" t="inlineStr">
        <is>
          <t>grams</t>
        </is>
      </c>
      <c r="Q590" s="151" t="inlineStr">
        <is>
          <t>IMMERSION BLENDER</t>
        </is>
      </c>
      <c r="R590" s="151" t="n"/>
      <c r="S590" s="151" t="n"/>
      <c r="T590" s="151" t="n"/>
      <c r="U590" s="151" t="n"/>
      <c r="V590" s="151" t="n"/>
      <c r="W590" s="151" t="inlineStr">
        <is>
          <t>FA-DE Water / Wasser</t>
        </is>
      </c>
      <c r="X590" s="151" t="inlineStr">
        <is>
          <t>OTH-00-144038-5</t>
        </is>
      </c>
      <c r="Y590" s="155" t="inlineStr">
        <is>
          <t>16,07</t>
        </is>
      </c>
      <c r="Z590" s="149" t="inlineStr">
        <is>
          <t>16,07</t>
        </is>
      </c>
      <c r="AA590" s="151" t="inlineStr">
        <is>
          <t>grams</t>
        </is>
      </c>
      <c r="AB590" s="151" t="n"/>
      <c r="AC590" s="151" t="n"/>
      <c r="AD590" s="150" t="n">
        <v>0.98807</v>
      </c>
      <c r="AE590" s="149" t="n">
        <v>16.07</v>
      </c>
      <c r="AF590" s="151" t="inlineStr">
        <is>
          <t>grams</t>
        </is>
      </c>
      <c r="AG590" s="151" t="n"/>
      <c r="AH590" s="151" t="n"/>
    </row>
    <row r="591">
      <c r="A591" s="151" t="inlineStr">
        <is>
          <t>FV0846A - Stroganoff-Style Beef Burger [BNL]</t>
        </is>
      </c>
      <c r="B591" s="151" t="inlineStr">
        <is>
          <t>REC-029854-4-003</t>
        </is>
      </c>
      <c r="C591" s="151" t="inlineStr">
        <is>
          <t>Beef Burger Master EU</t>
        </is>
      </c>
      <c r="D591" s="151" t="inlineStr">
        <is>
          <t>SUB-031776-4-001</t>
        </is>
      </c>
      <c r="E591" s="150" t="n">
        <v>1</v>
      </c>
      <c r="F591" s="151" t="inlineStr">
        <is>
          <t>each</t>
        </is>
      </c>
      <c r="G591" s="151" t="inlineStr">
        <is>
          <t>BLAST CHILLER, HORIZONTAL MIXER, OVEN, PATTY MAKER</t>
        </is>
      </c>
      <c r="H591" s="151" t="inlineStr">
        <is>
          <t>Burger Patty</t>
        </is>
      </c>
      <c r="I591" s="151" t="inlineStr">
        <is>
          <t>SUB-031783-4-001</t>
        </is>
      </c>
      <c r="J591" s="150" t="n">
        <v>204</v>
      </c>
      <c r="K591" s="151" t="inlineStr">
        <is>
          <t>grams</t>
        </is>
      </c>
      <c r="L591" s="151" t="inlineStr">
        <is>
          <t>BLAST CHILLER, HORIZONTAL MIXER, OVEN, PATTY MAKER</t>
        </is>
      </c>
      <c r="M591" s="151" t="inlineStr">
        <is>
          <t>Burger Stock</t>
        </is>
      </c>
      <c r="N591" s="151" t="inlineStr">
        <is>
          <t>SUB-031810-4-001</t>
        </is>
      </c>
      <c r="O591" s="150" t="n">
        <v>17.61</v>
      </c>
      <c r="P591" s="151" t="inlineStr">
        <is>
          <t>grams</t>
        </is>
      </c>
      <c r="Q591" s="151" t="inlineStr">
        <is>
          <t>IMMERSION BLENDER</t>
        </is>
      </c>
      <c r="R591" s="151" t="n"/>
      <c r="S591" s="151" t="n"/>
      <c r="T591" s="151" t="n"/>
      <c r="U591" s="151" t="n"/>
      <c r="V591" s="151" t="n"/>
      <c r="W591" s="151" t="inlineStr">
        <is>
          <t>FA-DE Stock, Chicken, Reduced/Brühe, Huhn, Reduziert</t>
        </is>
      </c>
      <c r="X591" s="151" t="inlineStr">
        <is>
          <t>PRO-00-139288-5</t>
        </is>
      </c>
      <c r="Y591" s="153" t="inlineStr">
        <is>
          <t>1,14</t>
        </is>
      </c>
      <c r="Z591" s="149" t="inlineStr">
        <is>
          <t>1,14</t>
        </is>
      </c>
      <c r="AA591" s="151" t="inlineStr">
        <is>
          <t>grams</t>
        </is>
      </c>
      <c r="AB591" s="151" t="n"/>
      <c r="AC591" s="151" t="n"/>
      <c r="AD591" s="150" t="n">
        <v>0.98807</v>
      </c>
      <c r="AE591" s="149" t="n">
        <v>1.14</v>
      </c>
      <c r="AF591" s="151" t="inlineStr">
        <is>
          <t>grams</t>
        </is>
      </c>
      <c r="AG591" s="151" t="n"/>
      <c r="AH591" s="151" t="n"/>
    </row>
    <row r="592">
      <c r="A592" s="151" t="inlineStr">
        <is>
          <t>FV0846A - Stroganoff-Style Beef Burger [BNL]</t>
        </is>
      </c>
      <c r="B592" s="151" t="inlineStr">
        <is>
          <t>REC-029854-4-003</t>
        </is>
      </c>
      <c r="C592" s="151" t="inlineStr">
        <is>
          <t>Beef Burger Master EU</t>
        </is>
      </c>
      <c r="D592" s="151" t="inlineStr">
        <is>
          <t>SUB-031776-4-001</t>
        </is>
      </c>
      <c r="E592" s="150" t="n">
        <v>1</v>
      </c>
      <c r="F592" s="151" t="inlineStr">
        <is>
          <t>each</t>
        </is>
      </c>
      <c r="G592" s="151" t="inlineStr">
        <is>
          <t>BLAST CHILLER, HORIZONTAL MIXER, OVEN, PATTY MAKER</t>
        </is>
      </c>
      <c r="H592" s="151" t="inlineStr">
        <is>
          <t>Burger Patty</t>
        </is>
      </c>
      <c r="I592" s="151" t="inlineStr">
        <is>
          <t>SUB-031783-4-001</t>
        </is>
      </c>
      <c r="J592" s="150" t="n">
        <v>204</v>
      </c>
      <c r="K592" s="151" t="inlineStr">
        <is>
          <t>grams</t>
        </is>
      </c>
      <c r="L592" s="151" t="inlineStr">
        <is>
          <t>BLAST CHILLER, HORIZONTAL MIXER, OVEN, PATTY MAKER</t>
        </is>
      </c>
      <c r="M592" s="151" t="inlineStr">
        <is>
          <t>Burger Stock</t>
        </is>
      </c>
      <c r="N592" s="151" t="inlineStr">
        <is>
          <t>SUB-031810-4-001</t>
        </is>
      </c>
      <c r="O592" s="150" t="n">
        <v>17.61</v>
      </c>
      <c r="P592" s="151" t="inlineStr">
        <is>
          <t>grams</t>
        </is>
      </c>
      <c r="Q592" s="151" t="inlineStr">
        <is>
          <t>IMMERSION BLENDER</t>
        </is>
      </c>
      <c r="R592" s="151" t="n"/>
      <c r="S592" s="151" t="n"/>
      <c r="T592" s="151" t="n"/>
      <c r="U592" s="151" t="n"/>
      <c r="V592" s="151" t="n"/>
      <c r="W592" s="151" t="inlineStr">
        <is>
          <t>FA-DE Spice, Sea Salt /Gewürze, Meersalz</t>
        </is>
      </c>
      <c r="X592" s="151" t="inlineStr">
        <is>
          <t>SPI-00-139378-5</t>
        </is>
      </c>
      <c r="Y592" s="151" t="inlineStr">
        <is>
          <t>0,61</t>
        </is>
      </c>
      <c r="Z592" s="149" t="inlineStr">
        <is>
          <t>0,61</t>
        </is>
      </c>
      <c r="AA592" s="151" t="inlineStr">
        <is>
          <t>grams</t>
        </is>
      </c>
      <c r="AB592" s="151" t="n"/>
      <c r="AC592" s="151" t="n"/>
      <c r="AD592" s="150" t="n">
        <v>0.98807</v>
      </c>
      <c r="AE592" s="149" t="n">
        <v>0.61</v>
      </c>
      <c r="AF592" s="151" t="inlineStr">
        <is>
          <t>grams</t>
        </is>
      </c>
      <c r="AG592" s="151" t="n"/>
      <c r="AH592" s="151" t="n"/>
    </row>
    <row r="593">
      <c r="A593" s="151" t="inlineStr">
        <is>
          <t>FV0846A - Stroganoff-Style Beef Burger [BNL]</t>
        </is>
      </c>
      <c r="B593" s="151" t="inlineStr">
        <is>
          <t>REC-029854-4-003</t>
        </is>
      </c>
      <c r="C593" s="151" t="inlineStr">
        <is>
          <t>Roasted Green Onions</t>
        </is>
      </c>
      <c r="D593" s="151" t="inlineStr">
        <is>
          <t>SUB-023370-4-001</t>
        </is>
      </c>
      <c r="E593" s="150" t="n">
        <v>5</v>
      </c>
      <c r="F593" s="151" t="inlineStr">
        <is>
          <t>grams</t>
        </is>
      </c>
      <c r="G593" s="151" t="inlineStr">
        <is>
          <t>BLAST CHILLER, OVEN</t>
        </is>
      </c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inlineStr">
        <is>
          <t>FA-DE Onion, Green, Sliced 5mm /Zwiebel, grün, in Scheiben geschnitten, 5 mm</t>
        </is>
      </c>
      <c r="X593" s="151" t="inlineStr">
        <is>
          <t>PHF-00-149803-3</t>
        </is>
      </c>
      <c r="Y593" s="151" t="inlineStr">
        <is>
          <t>5,88</t>
        </is>
      </c>
      <c r="Z593" s="149" t="inlineStr">
        <is>
          <t>5,88</t>
        </is>
      </c>
      <c r="AA593" s="151" t="inlineStr">
        <is>
          <t>grams</t>
        </is>
      </c>
      <c r="AB593" s="151" t="n"/>
      <c r="AC593" s="151" t="n"/>
      <c r="AD593" s="150" t="n">
        <v>0.85</v>
      </c>
      <c r="AE593" s="149" t="n">
        <v>5.88</v>
      </c>
      <c r="AF593" s="151" t="inlineStr">
        <is>
          <t>grams</t>
        </is>
      </c>
      <c r="AG593" s="151" t="n"/>
      <c r="AH593" s="151" t="n"/>
    </row>
    <row r="594">
      <c r="A594" s="151" t="inlineStr">
        <is>
          <t>FV0846A - Stroganoff-Style Beef Burger [BNL]</t>
        </is>
      </c>
      <c r="B594" s="151" t="inlineStr">
        <is>
          <t>REC-029854-4-003</t>
        </is>
      </c>
      <c r="C594" s="151" t="inlineStr">
        <is>
          <t>Green Beans CUT 1-1/2 - Fresh - Less Salt</t>
        </is>
      </c>
      <c r="D594" s="151" t="inlineStr">
        <is>
          <t>SUB-029004-4-001</t>
        </is>
      </c>
      <c r="E594" s="150" t="n">
        <v>50</v>
      </c>
      <c r="F594" s="151" t="inlineStr">
        <is>
          <t>grams</t>
        </is>
      </c>
      <c r="G594" s="151" t="inlineStr">
        <is>
          <t>BLAST CHILLER, OVEN</t>
        </is>
      </c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inlineStr">
        <is>
          <t>FA-DE Green Beans, Fresh and Trimmed/Grüne Bohnen, frisch und geschnitten</t>
        </is>
      </c>
      <c r="X594" s="151" t="inlineStr">
        <is>
          <t>PHF-00-139198-3</t>
        </is>
      </c>
      <c r="Y594" s="151" t="inlineStr">
        <is>
          <t>64,19</t>
        </is>
      </c>
      <c r="Z594" s="149" t="inlineStr">
        <is>
          <t>64,19</t>
        </is>
      </c>
      <c r="AA594" s="151" t="inlineStr">
        <is>
          <t>grams</t>
        </is>
      </c>
      <c r="AB594" s="151" t="n"/>
      <c r="AC594" s="151" t="n"/>
      <c r="AD594" s="150" t="n">
        <v>0.73433</v>
      </c>
      <c r="AE594" s="149" t="n">
        <v>64.19</v>
      </c>
      <c r="AF594" s="151" t="inlineStr">
        <is>
          <t>grams</t>
        </is>
      </c>
      <c r="AG594" s="151" t="n"/>
      <c r="AH594" s="151" t="n"/>
    </row>
    <row r="595">
      <c r="A595" s="151" t="inlineStr">
        <is>
          <t>FV0846A - Stroganoff-Style Beef Burger [BNL]</t>
        </is>
      </c>
      <c r="B595" s="151" t="inlineStr">
        <is>
          <t>REC-029854-4-003</t>
        </is>
      </c>
      <c r="C595" s="151" t="inlineStr">
        <is>
          <t>Green Beans CUT 1-1/2 - Fresh - Less Salt</t>
        </is>
      </c>
      <c r="D595" s="151" t="inlineStr">
        <is>
          <t>SUB-029004-4-001</t>
        </is>
      </c>
      <c r="E595" s="150" t="n">
        <v>50</v>
      </c>
      <c r="F595" s="151" t="inlineStr">
        <is>
          <t>grams</t>
        </is>
      </c>
      <c r="G595" s="151" t="inlineStr">
        <is>
          <t>BLAST CHILLER, OVEN</t>
        </is>
      </c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inlineStr">
        <is>
          <t>FA-DE Oil, Olive /Öl, Olivenöl</t>
        </is>
      </c>
      <c r="X595" s="151" t="inlineStr">
        <is>
          <t>PRO-00-139277-5</t>
        </is>
      </c>
      <c r="Y595" s="151" t="inlineStr">
        <is>
          <t>3,28</t>
        </is>
      </c>
      <c r="Z595" s="149" t="inlineStr">
        <is>
          <t>3,28</t>
        </is>
      </c>
      <c r="AA595" s="151" t="inlineStr">
        <is>
          <t>grams</t>
        </is>
      </c>
      <c r="AB595" s="151" t="n"/>
      <c r="AC595" s="151" t="n"/>
      <c r="AD595" s="150" t="n">
        <v>0.73433</v>
      </c>
      <c r="AE595" s="149" t="n">
        <v>3.28</v>
      </c>
      <c r="AF595" s="151" t="inlineStr">
        <is>
          <t>grams</t>
        </is>
      </c>
      <c r="AG595" s="151" t="n"/>
      <c r="AH595" s="151" t="n"/>
    </row>
    <row r="596">
      <c r="A596" s="151" t="inlineStr">
        <is>
          <t>FV0846A - Stroganoff-Style Beef Burger [BNL]</t>
        </is>
      </c>
      <c r="B596" s="151" t="inlineStr">
        <is>
          <t>REC-029854-4-003</t>
        </is>
      </c>
      <c r="C596" s="151" t="inlineStr">
        <is>
          <t>Green Beans CUT 1-1/2 - Fresh - Less Salt</t>
        </is>
      </c>
      <c r="D596" s="151" t="inlineStr">
        <is>
          <t>SUB-029004-4-001</t>
        </is>
      </c>
      <c r="E596" s="150" t="n">
        <v>50</v>
      </c>
      <c r="F596" s="151" t="inlineStr">
        <is>
          <t>grams</t>
        </is>
      </c>
      <c r="G596" s="151" t="inlineStr">
        <is>
          <t>BLAST CHILLER, OVEN</t>
        </is>
      </c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inlineStr">
        <is>
          <t>FA-DE Spice, Sea Salt /Gewürze, Meersalz</t>
        </is>
      </c>
      <c r="X596" s="151" t="inlineStr">
        <is>
          <t>SPI-00-139378-5</t>
        </is>
      </c>
      <c r="Y596" s="151" t="inlineStr">
        <is>
          <t>0,27</t>
        </is>
      </c>
      <c r="Z596" s="149" t="inlineStr">
        <is>
          <t>0,27</t>
        </is>
      </c>
      <c r="AA596" s="151" t="inlineStr">
        <is>
          <t>grams</t>
        </is>
      </c>
      <c r="AB596" s="151" t="n"/>
      <c r="AC596" s="151" t="n"/>
      <c r="AD596" s="150" t="n">
        <v>0.73433</v>
      </c>
      <c r="AE596" s="149" t="n">
        <v>0.27</v>
      </c>
      <c r="AF596" s="151" t="inlineStr">
        <is>
          <t>grams</t>
        </is>
      </c>
      <c r="AG596" s="151" t="n"/>
      <c r="AH596" s="151" t="n"/>
    </row>
    <row r="597">
      <c r="A597" s="151" t="inlineStr">
        <is>
          <t>FV0846A - Stroganoff-Style Beef Burger [BNL]</t>
        </is>
      </c>
      <c r="B597" s="151" t="inlineStr">
        <is>
          <t>REC-029854-4-003</t>
        </is>
      </c>
      <c r="C597" s="151" t="inlineStr">
        <is>
          <t>Green Beans CUT 1-1/2 - Fresh - Less Salt</t>
        </is>
      </c>
      <c r="D597" s="151" t="inlineStr">
        <is>
          <t>SUB-029004-4-001</t>
        </is>
      </c>
      <c r="E597" s="150" t="n">
        <v>50</v>
      </c>
      <c r="F597" s="151" t="inlineStr">
        <is>
          <t>grams</t>
        </is>
      </c>
      <c r="G597" s="151" t="inlineStr">
        <is>
          <t>BLAST CHILLER, OVEN</t>
        </is>
      </c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inlineStr">
        <is>
          <t>FA-DE Spice, Black Pepper, Ground /Gewürz, schwarzer Pfeffer, gemahlen</t>
        </is>
      </c>
      <c r="X597" s="151" t="inlineStr">
        <is>
          <t>SPI-00-139334-5</t>
        </is>
      </c>
      <c r="Y597" s="151" t="inlineStr">
        <is>
          <t>0,09</t>
        </is>
      </c>
      <c r="Z597" s="149" t="inlineStr">
        <is>
          <t>0,09</t>
        </is>
      </c>
      <c r="AA597" s="151" t="inlineStr">
        <is>
          <t>grams</t>
        </is>
      </c>
      <c r="AB597" s="151" t="n"/>
      <c r="AC597" s="151" t="n"/>
      <c r="AD597" s="150" t="n">
        <v>0.73433</v>
      </c>
      <c r="AE597" s="149" t="n">
        <v>0.09</v>
      </c>
      <c r="AF597" s="151" t="inlineStr">
        <is>
          <t>grams</t>
        </is>
      </c>
      <c r="AG597" s="151" t="n"/>
      <c r="AH597" s="151" t="n"/>
    </row>
    <row r="598">
      <c r="A598" s="151" t="inlineStr">
        <is>
          <t>FV0846A - Stroganoff-Style Beef Burger [BNL]</t>
        </is>
      </c>
      <c r="B598" s="151" t="inlineStr">
        <is>
          <t>REC-029854-4-003</t>
        </is>
      </c>
      <c r="C598" s="151" t="inlineStr">
        <is>
          <t>Green Beans CUT 1-1/2 - Fresh - Less Salt</t>
        </is>
      </c>
      <c r="D598" s="151" t="inlineStr">
        <is>
          <t>SUB-029004-4-001</t>
        </is>
      </c>
      <c r="E598" s="150" t="n">
        <v>50</v>
      </c>
      <c r="F598" s="151" t="inlineStr">
        <is>
          <t>grams</t>
        </is>
      </c>
      <c r="G598" s="151" t="inlineStr">
        <is>
          <t>BLAST CHILLER, OVEN</t>
        </is>
      </c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inlineStr">
        <is>
          <t>FA-DE Spice, Garlic Granulated /Gewürz, Knoblauch granuliert</t>
        </is>
      </c>
      <c r="X598" s="151" t="inlineStr">
        <is>
          <t>SPI-00-139353-5</t>
        </is>
      </c>
      <c r="Y598" s="151" t="inlineStr">
        <is>
          <t>0,27</t>
        </is>
      </c>
      <c r="Z598" s="149" t="inlineStr">
        <is>
          <t>0,27</t>
        </is>
      </c>
      <c r="AA598" s="151" t="inlineStr">
        <is>
          <t>grams</t>
        </is>
      </c>
      <c r="AB598" s="151" t="n"/>
      <c r="AC598" s="151" t="n"/>
      <c r="AD598" s="150" t="n">
        <v>0.73433</v>
      </c>
      <c r="AE598" s="149" t="n">
        <v>0.27</v>
      </c>
      <c r="AF598" s="151" t="inlineStr">
        <is>
          <t>grams</t>
        </is>
      </c>
      <c r="AG598" s="151" t="n"/>
      <c r="AH598" s="151" t="n"/>
    </row>
    <row r="599">
      <c r="A599" s="151" t="inlineStr">
        <is>
          <t>FV0846A - Stroganoff-Style Beef Burger [BNL]</t>
        </is>
      </c>
      <c r="B599" s="151" t="inlineStr">
        <is>
          <t>REC-029854-4-003</t>
        </is>
      </c>
      <c r="C599" s="151" t="inlineStr">
        <is>
          <t>Loaded Roasted Sliced Mushrooms 1/2 green onion</t>
        </is>
      </c>
      <c r="D599" s="151" t="inlineStr">
        <is>
          <t>SUB-029969-4-001</t>
        </is>
      </c>
      <c r="E599" s="150" t="n">
        <v>50</v>
      </c>
      <c r="F599" s="151" t="inlineStr">
        <is>
          <t>grams</t>
        </is>
      </c>
      <c r="G599" s="151" t="inlineStr">
        <is>
          <t>BLAST CHILLER, OVEN</t>
        </is>
      </c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inlineStr">
        <is>
          <t>FA-DE Mushroom, Button, Sliced, Washed /Pilz, Knopf, geschnitten, gewaschen</t>
        </is>
      </c>
      <c r="X599" s="151" t="inlineStr">
        <is>
          <t>PHF-00-139206-3</t>
        </is>
      </c>
      <c r="Y599" s="151" t="inlineStr">
        <is>
          <t>67,6</t>
        </is>
      </c>
      <c r="Z599" s="149" t="inlineStr">
        <is>
          <t>67,6</t>
        </is>
      </c>
      <c r="AA599" s="151" t="inlineStr">
        <is>
          <t>grams</t>
        </is>
      </c>
      <c r="AB599" s="151" t="n"/>
      <c r="AC599" s="151" t="n"/>
      <c r="AD599" s="150" t="n">
        <v>0.59865</v>
      </c>
      <c r="AE599" s="149" t="n">
        <v>67.59999999999999</v>
      </c>
      <c r="AF599" s="151" t="inlineStr">
        <is>
          <t>grams</t>
        </is>
      </c>
      <c r="AG599" s="151" t="n"/>
      <c r="AH599" s="151" t="n"/>
    </row>
    <row r="600">
      <c r="A600" s="151" t="inlineStr">
        <is>
          <t>FV0846A - Stroganoff-Style Beef Burger [BNL]</t>
        </is>
      </c>
      <c r="B600" s="151" t="inlineStr">
        <is>
          <t>REC-029854-4-003</t>
        </is>
      </c>
      <c r="C600" s="151" t="inlineStr">
        <is>
          <t>Loaded Roasted Sliced Mushrooms 1/2 green onion</t>
        </is>
      </c>
      <c r="D600" s="151" t="inlineStr">
        <is>
          <t>SUB-029969-4-001</t>
        </is>
      </c>
      <c r="E600" s="150" t="n">
        <v>50</v>
      </c>
      <c r="F600" s="151" t="inlineStr">
        <is>
          <t>grams</t>
        </is>
      </c>
      <c r="G600" s="151" t="inlineStr">
        <is>
          <t>BLAST CHILLER, OVEN</t>
        </is>
      </c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inlineStr">
        <is>
          <t>FA-DE Onion, Green, Sliced 5mm /Zwiebel, grün, in Scheiben geschnitten, 5 mm</t>
        </is>
      </c>
      <c r="X600" s="151" t="inlineStr">
        <is>
          <t>PHF-00-149803-3</t>
        </is>
      </c>
      <c r="Y600" s="151" t="inlineStr">
        <is>
          <t>1,69</t>
        </is>
      </c>
      <c r="Z600" s="149" t="inlineStr">
        <is>
          <t>1,69</t>
        </is>
      </c>
      <c r="AA600" s="151" t="inlineStr">
        <is>
          <t>grams</t>
        </is>
      </c>
      <c r="AB600" s="151" t="n"/>
      <c r="AC600" s="151" t="n"/>
      <c r="AD600" s="150" t="n">
        <v>0.59865</v>
      </c>
      <c r="AE600" s="149" t="n">
        <v>1.69</v>
      </c>
      <c r="AF600" s="151" t="inlineStr">
        <is>
          <t>grams</t>
        </is>
      </c>
      <c r="AG600" s="151" t="n"/>
      <c r="AH600" s="151" t="n"/>
    </row>
    <row r="601">
      <c r="A601" s="151" t="inlineStr">
        <is>
          <t>FV0846A - Stroganoff-Style Beef Burger [BNL]</t>
        </is>
      </c>
      <c r="B601" s="151" t="inlineStr">
        <is>
          <t>REC-029854-4-003</t>
        </is>
      </c>
      <c r="C601" s="151" t="inlineStr">
        <is>
          <t>Loaded Roasted Sliced Mushrooms 1/2 green onion</t>
        </is>
      </c>
      <c r="D601" s="151" t="inlineStr">
        <is>
          <t>SUB-029969-4-001</t>
        </is>
      </c>
      <c r="E601" s="150" t="n">
        <v>50</v>
      </c>
      <c r="F601" s="151" t="inlineStr">
        <is>
          <t>grams</t>
        </is>
      </c>
      <c r="G601" s="151" t="inlineStr">
        <is>
          <t>BLAST CHILLER, OVEN</t>
        </is>
      </c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inlineStr">
        <is>
          <t>FA-DE Garlic, IQF, Diced 4 mm /Knoblauch, IQF, gewürfelt 4 mm</t>
        </is>
      </c>
      <c r="X601" s="151" t="inlineStr">
        <is>
          <t>PHF-00-139237-1</t>
        </is>
      </c>
      <c r="Y601" s="151" t="inlineStr">
        <is>
          <t>3,16</t>
        </is>
      </c>
      <c r="Z601" s="149" t="inlineStr">
        <is>
          <t>3,16</t>
        </is>
      </c>
      <c r="AA601" s="151" t="inlineStr">
        <is>
          <t>grams</t>
        </is>
      </c>
      <c r="AB601" s="151" t="inlineStr">
        <is>
          <t>SCHWEFELDIOXIDE UND SULFITE</t>
        </is>
      </c>
      <c r="AC601" s="151" t="n"/>
      <c r="AD601" s="150" t="n">
        <v>0.59865</v>
      </c>
      <c r="AE601" s="149" t="n">
        <v>3.16</v>
      </c>
      <c r="AF601" s="151" t="inlineStr">
        <is>
          <t>grams</t>
        </is>
      </c>
      <c r="AG601" s="151" t="n"/>
      <c r="AH601" s="151" t="n"/>
    </row>
    <row r="602">
      <c r="A602" s="151" t="inlineStr">
        <is>
          <t>FV0846A - Stroganoff-Style Beef Burger [BNL]</t>
        </is>
      </c>
      <c r="B602" s="151" t="inlineStr">
        <is>
          <t>REC-029854-4-003</t>
        </is>
      </c>
      <c r="C602" s="151" t="inlineStr">
        <is>
          <t>Loaded Roasted Sliced Mushrooms 1/2 green onion</t>
        </is>
      </c>
      <c r="D602" s="151" t="inlineStr">
        <is>
          <t>SUB-029969-4-001</t>
        </is>
      </c>
      <c r="E602" s="150" t="n">
        <v>50</v>
      </c>
      <c r="F602" s="151" t="inlineStr">
        <is>
          <t>grams</t>
        </is>
      </c>
      <c r="G602" s="151" t="inlineStr">
        <is>
          <t>BLAST CHILLER, OVEN</t>
        </is>
      </c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inlineStr">
        <is>
          <t>FA-DE Oil, Olive /Öl, Olivenöl</t>
        </is>
      </c>
      <c r="X602" s="151" t="inlineStr">
        <is>
          <t>PRO-00-139277-5</t>
        </is>
      </c>
      <c r="Y602" s="151" t="inlineStr">
        <is>
          <t>10,56</t>
        </is>
      </c>
      <c r="Z602" s="149" t="inlineStr">
        <is>
          <t>10,56</t>
        </is>
      </c>
      <c r="AA602" s="151" t="inlineStr">
        <is>
          <t>grams</t>
        </is>
      </c>
      <c r="AB602" s="151" t="n"/>
      <c r="AC602" s="151" t="n"/>
      <c r="AD602" s="150" t="n">
        <v>0.59865</v>
      </c>
      <c r="AE602" s="149" t="n">
        <v>10.56</v>
      </c>
      <c r="AF602" s="151" t="inlineStr">
        <is>
          <t>grams</t>
        </is>
      </c>
      <c r="AG602" s="151" t="n"/>
      <c r="AH602" s="151" t="n"/>
    </row>
    <row r="603">
      <c r="A603" s="151" t="inlineStr">
        <is>
          <t>FV0846A - Stroganoff-Style Beef Burger [BNL]</t>
        </is>
      </c>
      <c r="B603" s="151" t="inlineStr">
        <is>
          <t>REC-029854-4-003</t>
        </is>
      </c>
      <c r="C603" s="151" t="inlineStr">
        <is>
          <t>Loaded Roasted Sliced Mushrooms 1/2 green onion</t>
        </is>
      </c>
      <c r="D603" s="151" t="inlineStr">
        <is>
          <t>SUB-029969-4-001</t>
        </is>
      </c>
      <c r="E603" s="150" t="n">
        <v>50</v>
      </c>
      <c r="F603" s="151" t="inlineStr">
        <is>
          <t>grams</t>
        </is>
      </c>
      <c r="G603" s="151" t="inlineStr">
        <is>
          <t>BLAST CHILLER, OVEN</t>
        </is>
      </c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inlineStr">
        <is>
          <t>FA-DE Spice, Sea Salt /Gewürze, Meersalz</t>
        </is>
      </c>
      <c r="X603" s="151" t="inlineStr">
        <is>
          <t>SPI-00-139378-5</t>
        </is>
      </c>
      <c r="Y603" s="151" t="inlineStr">
        <is>
          <t>0,26</t>
        </is>
      </c>
      <c r="Z603" s="149" t="inlineStr">
        <is>
          <t>0,26</t>
        </is>
      </c>
      <c r="AA603" s="151" t="inlineStr">
        <is>
          <t>grams</t>
        </is>
      </c>
      <c r="AB603" s="151" t="n"/>
      <c r="AC603" s="151" t="n"/>
      <c r="AD603" s="150" t="n">
        <v>0.59865</v>
      </c>
      <c r="AE603" s="149" t="n">
        <v>0.26</v>
      </c>
      <c r="AF603" s="151" t="inlineStr">
        <is>
          <t>grams</t>
        </is>
      </c>
      <c r="AG603" s="151" t="n"/>
      <c r="AH603" s="151" t="n"/>
    </row>
    <row r="604">
      <c r="A604" s="151" t="inlineStr">
        <is>
          <t>FV0846A - Stroganoff-Style Beef Burger [BNL]</t>
        </is>
      </c>
      <c r="B604" s="151" t="inlineStr">
        <is>
          <t>REC-029854-4-003</t>
        </is>
      </c>
      <c r="C604" s="151" t="inlineStr">
        <is>
          <t>Loaded Roasted Sliced Mushrooms 1/2 green onion</t>
        </is>
      </c>
      <c r="D604" s="151" t="inlineStr">
        <is>
          <t>SUB-029969-4-001</t>
        </is>
      </c>
      <c r="E604" s="150" t="n">
        <v>50</v>
      </c>
      <c r="F604" s="151" t="inlineStr">
        <is>
          <t>grams</t>
        </is>
      </c>
      <c r="G604" s="151" t="inlineStr">
        <is>
          <t>BLAST CHILLER, OVEN</t>
        </is>
      </c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inlineStr">
        <is>
          <t>FA-DE Thyme, IQF /Thymian, IQF</t>
        </is>
      </c>
      <c r="X604" s="151" t="inlineStr">
        <is>
          <t>PHF-00-139244-1</t>
        </is>
      </c>
      <c r="Y604" s="151" t="inlineStr">
        <is>
          <t>0,08</t>
        </is>
      </c>
      <c r="Z604" s="149" t="inlineStr">
        <is>
          <t>0,08</t>
        </is>
      </c>
      <c r="AA604" s="151" t="inlineStr">
        <is>
          <t>grams</t>
        </is>
      </c>
      <c r="AB604" s="151" t="n"/>
      <c r="AC604" s="151" t="n"/>
      <c r="AD604" s="150" t="n">
        <v>0.59865</v>
      </c>
      <c r="AE604" s="149" t="n">
        <v>0.08</v>
      </c>
      <c r="AF604" s="151" t="inlineStr">
        <is>
          <t>grams</t>
        </is>
      </c>
      <c r="AG604" s="151" t="n"/>
      <c r="AH604" s="151" t="n"/>
    </row>
    <row r="605">
      <c r="A605" s="151" t="inlineStr">
        <is>
          <t>FV0846A - Stroganoff-Style Beef Burger [BNL]</t>
        </is>
      </c>
      <c r="B605" s="151" t="inlineStr">
        <is>
          <t>REC-029854-4-003</t>
        </is>
      </c>
      <c r="C605" s="151" t="inlineStr">
        <is>
          <t>Loaded Roasted Sliced Mushrooms 1/2 green onion</t>
        </is>
      </c>
      <c r="D605" s="151" t="inlineStr">
        <is>
          <t>SUB-029969-4-001</t>
        </is>
      </c>
      <c r="E605" s="150" t="n">
        <v>50</v>
      </c>
      <c r="F605" s="151" t="inlineStr">
        <is>
          <t>grams</t>
        </is>
      </c>
      <c r="G605" s="151" t="inlineStr">
        <is>
          <t>BLAST CHILLER, OVEN</t>
        </is>
      </c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inlineStr">
        <is>
          <t>FA-DE Spice, Dill Dried /Gewürz, Dill getrocknet</t>
        </is>
      </c>
      <c r="X605" s="151" t="inlineStr">
        <is>
          <t>SPI-00-139349-5</t>
        </is>
      </c>
      <c r="Y605" s="151" t="inlineStr">
        <is>
          <t>0,1</t>
        </is>
      </c>
      <c r="Z605" s="149" t="inlineStr">
        <is>
          <t>0,1</t>
        </is>
      </c>
      <c r="AA605" s="151" t="inlineStr">
        <is>
          <t>grams</t>
        </is>
      </c>
      <c r="AB605" s="151" t="n"/>
      <c r="AC605" s="151" t="n"/>
      <c r="AD605" s="150" t="n">
        <v>0.59865</v>
      </c>
      <c r="AE605" s="149" t="n">
        <v>0.1</v>
      </c>
      <c r="AF605" s="151" t="inlineStr">
        <is>
          <t>grams</t>
        </is>
      </c>
      <c r="AG605" s="151" t="n"/>
      <c r="AH605" s="151" t="n"/>
    </row>
    <row r="606">
      <c r="A606" s="151" t="inlineStr">
        <is>
          <t>FV0846A - Stroganoff-Style Beef Burger [BNL]</t>
        </is>
      </c>
      <c r="B606" s="151" t="inlineStr">
        <is>
          <t>REC-029854-4-003</t>
        </is>
      </c>
      <c r="C606" s="151" t="inlineStr">
        <is>
          <t>Loaded Roasted Sliced Mushrooms 1/2 green onion</t>
        </is>
      </c>
      <c r="D606" s="151" t="inlineStr">
        <is>
          <t>SUB-029969-4-001</t>
        </is>
      </c>
      <c r="E606" s="150" t="n">
        <v>50</v>
      </c>
      <c r="F606" s="151" t="inlineStr">
        <is>
          <t>grams</t>
        </is>
      </c>
      <c r="G606" s="151" t="inlineStr">
        <is>
          <t>BLAST CHILLER, OVEN</t>
        </is>
      </c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inlineStr">
        <is>
          <t>FA-DE Spice, Black Pepper, Ground /Gewürz, schwarzer Pfeffer, gemahlen</t>
        </is>
      </c>
      <c r="X606" s="151" t="inlineStr">
        <is>
          <t>SPI-00-139334-5</t>
        </is>
      </c>
      <c r="Y606" s="151" t="inlineStr">
        <is>
          <t>0,06</t>
        </is>
      </c>
      <c r="Z606" s="149" t="inlineStr">
        <is>
          <t>0,06</t>
        </is>
      </c>
      <c r="AA606" s="151" t="inlineStr">
        <is>
          <t>grams</t>
        </is>
      </c>
      <c r="AB606" s="151" t="n"/>
      <c r="AC606" s="151" t="n"/>
      <c r="AD606" s="150" t="n">
        <v>0.59865</v>
      </c>
      <c r="AE606" s="149" t="n">
        <v>0.06</v>
      </c>
      <c r="AF606" s="151" t="inlineStr">
        <is>
          <t>grams</t>
        </is>
      </c>
      <c r="AG606" s="151" t="n"/>
      <c r="AH606" s="151" t="n"/>
    </row>
    <row r="607">
      <c r="A607" s="151" t="inlineStr">
        <is>
          <t>FV0846A - Stroganoff-Style Beef Burger [BNL]</t>
        </is>
      </c>
      <c r="B607" s="151" t="inlineStr">
        <is>
          <t>REC-029854-4-003</t>
        </is>
      </c>
      <c r="C607" s="151" t="inlineStr">
        <is>
          <t>Herb-Parmesan Butter</t>
        </is>
      </c>
      <c r="D607" s="151" t="inlineStr">
        <is>
          <t>SUB-029972-4-001</t>
        </is>
      </c>
      <c r="E607" s="150" t="n">
        <v>12</v>
      </c>
      <c r="F607" s="151" t="inlineStr">
        <is>
          <t>grams</t>
        </is>
      </c>
      <c r="G607" s="151" t="inlineStr">
        <is>
          <t>BLAST CHILLER, PLANETARY MIXER, SCOOPER (BUTTER)</t>
        </is>
      </c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inlineStr">
        <is>
          <t>FA-DE Butter, Unsalted /Butter, ungesalzen</t>
        </is>
      </c>
      <c r="X607" s="151" t="inlineStr">
        <is>
          <t>DAI-00-139146-3</t>
        </is>
      </c>
      <c r="Y607" s="151" t="inlineStr">
        <is>
          <t>11,56</t>
        </is>
      </c>
      <c r="Z607" s="149" t="inlineStr">
        <is>
          <t>11,56</t>
        </is>
      </c>
      <c r="AA607" s="151" t="inlineStr">
        <is>
          <t>grams</t>
        </is>
      </c>
      <c r="AB607" s="151" t="inlineStr">
        <is>
          <t>MILCH (EINSCHLIESSLICH LAKTOSE)</t>
        </is>
      </c>
      <c r="AC607" s="151" t="n"/>
      <c r="AD607" s="150" t="n">
        <v>0.9206299999999999</v>
      </c>
      <c r="AE607" s="149" t="n">
        <v>11.56</v>
      </c>
      <c r="AF607" s="151" t="inlineStr">
        <is>
          <t>grams</t>
        </is>
      </c>
      <c r="AG607" s="151" t="n"/>
      <c r="AH607" s="151" t="n"/>
    </row>
    <row r="608">
      <c r="A608" s="151" t="inlineStr">
        <is>
          <t>FV0846A - Stroganoff-Style Beef Burger [BNL]</t>
        </is>
      </c>
      <c r="B608" s="151" t="inlineStr">
        <is>
          <t>REC-029854-4-003</t>
        </is>
      </c>
      <c r="C608" s="151" t="inlineStr">
        <is>
          <t>Herb-Parmesan Butter</t>
        </is>
      </c>
      <c r="D608" s="151" t="inlineStr">
        <is>
          <t>SUB-029972-4-001</t>
        </is>
      </c>
      <c r="E608" s="150" t="n">
        <v>12</v>
      </c>
      <c r="F608" s="151" t="inlineStr">
        <is>
          <t>grams</t>
        </is>
      </c>
      <c r="G608" s="151" t="inlineStr">
        <is>
          <t>BLAST CHILLER, PLANETARY MIXER, SCOOPER (BUTTER)</t>
        </is>
      </c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inlineStr">
        <is>
          <t>FA-DE Cheese, Parmesan, Grated /Käse, Parmesan, gerieben</t>
        </is>
      </c>
      <c r="X608" s="151" t="inlineStr">
        <is>
          <t>DAI-00-139127-3</t>
        </is>
      </c>
      <c r="Y608" s="153" t="inlineStr">
        <is>
          <t>1,16</t>
        </is>
      </c>
      <c r="Z608" s="149" t="inlineStr">
        <is>
          <t>1,16</t>
        </is>
      </c>
      <c r="AA608" s="151" t="inlineStr">
        <is>
          <t>grams</t>
        </is>
      </c>
      <c r="AB608" s="151" t="inlineStr">
        <is>
          <t>MILCH (EINSCHLIESSLICH LAKTOSE)</t>
        </is>
      </c>
      <c r="AC608" s="151" t="n"/>
      <c r="AD608" s="150" t="n">
        <v>0.9206299999999999</v>
      </c>
      <c r="AE608" s="149" t="n">
        <v>1.16</v>
      </c>
      <c r="AF608" s="151" t="inlineStr">
        <is>
          <t>grams</t>
        </is>
      </c>
      <c r="AG608" s="151" t="n"/>
      <c r="AH608" s="151" t="n"/>
    </row>
    <row r="609">
      <c r="A609" s="151" t="inlineStr">
        <is>
          <t>FV0846A - Stroganoff-Style Beef Burger [BNL]</t>
        </is>
      </c>
      <c r="B609" s="151" t="inlineStr">
        <is>
          <t>REC-029854-4-003</t>
        </is>
      </c>
      <c r="C609" s="151" t="inlineStr">
        <is>
          <t>Herb-Parmesan Butter</t>
        </is>
      </c>
      <c r="D609" s="151" t="inlineStr">
        <is>
          <t>SUB-029972-4-001</t>
        </is>
      </c>
      <c r="E609" s="150" t="n">
        <v>12</v>
      </c>
      <c r="F609" s="151" t="inlineStr">
        <is>
          <t>grams</t>
        </is>
      </c>
      <c r="G609" s="151" t="inlineStr">
        <is>
          <t>BLAST CHILLER, PLANETARY MIXER, SCOOPER (BUTTER)</t>
        </is>
      </c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inlineStr">
        <is>
          <t>FA-DE Spice, White Pepper /Gewürz, weißer Pfeffer</t>
        </is>
      </c>
      <c r="X609" s="151" t="inlineStr">
        <is>
          <t>SPI-00-139387-5</t>
        </is>
      </c>
      <c r="Y609" s="151" t="inlineStr">
        <is>
          <t>0,11</t>
        </is>
      </c>
      <c r="Z609" s="149" t="inlineStr">
        <is>
          <t>0,11</t>
        </is>
      </c>
      <c r="AA609" s="151" t="inlineStr">
        <is>
          <t>grams</t>
        </is>
      </c>
      <c r="AB609" s="151" t="n"/>
      <c r="AC609" s="151" t="n"/>
      <c r="AD609" s="150" t="n">
        <v>0.9206299999999999</v>
      </c>
      <c r="AE609" s="149" t="n">
        <v>0.11</v>
      </c>
      <c r="AF609" s="151" t="inlineStr">
        <is>
          <t>grams</t>
        </is>
      </c>
      <c r="AG609" s="151" t="n"/>
      <c r="AH609" s="151" t="n"/>
    </row>
    <row r="610">
      <c r="A610" s="151" t="inlineStr">
        <is>
          <t>FV0846A - Stroganoff-Style Beef Burger [BNL]</t>
        </is>
      </c>
      <c r="B610" s="151" t="inlineStr">
        <is>
          <t>REC-029854-4-003</t>
        </is>
      </c>
      <c r="C610" s="151" t="inlineStr">
        <is>
          <t>Herb-Parmesan Butter</t>
        </is>
      </c>
      <c r="D610" s="151" t="inlineStr">
        <is>
          <t>SUB-029972-4-001</t>
        </is>
      </c>
      <c r="E610" s="150" t="n">
        <v>12</v>
      </c>
      <c r="F610" s="151" t="inlineStr">
        <is>
          <t>grams</t>
        </is>
      </c>
      <c r="G610" s="151" t="inlineStr">
        <is>
          <t>BLAST CHILLER, PLANETARY MIXER, SCOOPER (BUTTER)</t>
        </is>
      </c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inlineStr">
        <is>
          <t>FA-DE Spice, Parsley Dried /Gewürze, getrocknete Petersilie</t>
        </is>
      </c>
      <c r="X610" s="151" t="inlineStr">
        <is>
          <t>SPI-00-139374-5</t>
        </is>
      </c>
      <c r="Y610" s="151" t="inlineStr">
        <is>
          <t>0,09</t>
        </is>
      </c>
      <c r="Z610" s="149" t="inlineStr">
        <is>
          <t>0,09</t>
        </is>
      </c>
      <c r="AA610" s="151" t="inlineStr">
        <is>
          <t>grams</t>
        </is>
      </c>
      <c r="AB610" s="151" t="n"/>
      <c r="AC610" s="151" t="n"/>
      <c r="AD610" s="150" t="n">
        <v>0.9206299999999999</v>
      </c>
      <c r="AE610" s="149" t="n">
        <v>0.09</v>
      </c>
      <c r="AF610" s="151" t="inlineStr">
        <is>
          <t>grams</t>
        </is>
      </c>
      <c r="AG610" s="151" t="n"/>
      <c r="AH610" s="151" t="n"/>
    </row>
    <row r="611">
      <c r="A611" s="151" t="inlineStr">
        <is>
          <t>FV0846A - Stroganoff-Style Beef Burger [BNL]</t>
        </is>
      </c>
      <c r="B611" s="151" t="inlineStr">
        <is>
          <t>REC-029854-4-003</t>
        </is>
      </c>
      <c r="C611" s="151" t="inlineStr">
        <is>
          <t>Herb-Parmesan Butter</t>
        </is>
      </c>
      <c r="D611" s="151" t="inlineStr">
        <is>
          <t>SUB-029972-4-001</t>
        </is>
      </c>
      <c r="E611" s="150" t="n">
        <v>12</v>
      </c>
      <c r="F611" s="151" t="inlineStr">
        <is>
          <t>grams</t>
        </is>
      </c>
      <c r="G611" s="151" t="inlineStr">
        <is>
          <t>BLAST CHILLER, PLANETARY MIXER, SCOOPER (BUTTER)</t>
        </is>
      </c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inlineStr">
        <is>
          <t>FA-DE Spice, Black Pepper, Ground /Gewürz, schwarzer Pfeffer, gemahlen</t>
        </is>
      </c>
      <c r="X611" s="151" t="inlineStr">
        <is>
          <t>SPI-00-139334-5</t>
        </is>
      </c>
      <c r="Y611" s="151" t="inlineStr">
        <is>
          <t>0,11</t>
        </is>
      </c>
      <c r="Z611" s="149" t="inlineStr">
        <is>
          <t>0,11</t>
        </is>
      </c>
      <c r="AA611" s="151" t="inlineStr">
        <is>
          <t>grams</t>
        </is>
      </c>
      <c r="AB611" s="151" t="n"/>
      <c r="AC611" s="151" t="n"/>
      <c r="AD611" s="150" t="n">
        <v>0.9206299999999999</v>
      </c>
      <c r="AE611" s="149" t="n">
        <v>0.11</v>
      </c>
      <c r="AF611" s="151" t="inlineStr">
        <is>
          <t>grams</t>
        </is>
      </c>
      <c r="AG611" s="151" t="n"/>
      <c r="AH611" s="151" t="n"/>
    </row>
    <row r="612">
      <c r="A612" s="151" t="inlineStr">
        <is>
          <t>FV0846A - Stroganoff-Style Beef Burger [DE]</t>
        </is>
      </c>
      <c r="B612" s="151" t="inlineStr">
        <is>
          <t>REC-029854-4-001</t>
        </is>
      </c>
      <c r="C612" s="151" t="inlineStr">
        <is>
          <t>Sauce for Beef Stroganoff - 1/2 garlic- No wine</t>
        </is>
      </c>
      <c r="D612" s="151" t="inlineStr">
        <is>
          <t>SUB-029908-4-001</t>
        </is>
      </c>
      <c r="E612" s="150" t="n">
        <v>100</v>
      </c>
      <c r="F612" s="151" t="inlineStr">
        <is>
          <t>grams</t>
        </is>
      </c>
      <c r="G612" s="151" t="inlineStr">
        <is>
          <t>BLAST CHILLER, BRAISER, IMMERSION BLENDER, SPICE PORTIONING</t>
        </is>
      </c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inlineStr">
        <is>
          <t>FA-DE Oil, Olive /Öl, Olivenöl</t>
        </is>
      </c>
      <c r="X612" s="151" t="inlineStr">
        <is>
          <t>PRO-00-139277-5</t>
        </is>
      </c>
      <c r="Y612" s="151" t="inlineStr">
        <is>
          <t>5,79</t>
        </is>
      </c>
      <c r="Z612" s="149" t="inlineStr">
        <is>
          <t>5,79</t>
        </is>
      </c>
      <c r="AA612" s="151" t="inlineStr">
        <is>
          <t>grams</t>
        </is>
      </c>
      <c r="AB612" s="151" t="n"/>
      <c r="AC612" s="151" t="n"/>
      <c r="AD612" s="150" t="n">
        <v>0.91947</v>
      </c>
      <c r="AE612" s="149" t="n">
        <v>5.79</v>
      </c>
      <c r="AF612" s="151" t="inlineStr">
        <is>
          <t>grams</t>
        </is>
      </c>
      <c r="AG612" s="151" t="n"/>
      <c r="AH612" s="151" t="n"/>
    </row>
    <row r="613">
      <c r="A613" s="151" t="inlineStr">
        <is>
          <t>FV0846A - Stroganoff-Style Beef Burger [DE]</t>
        </is>
      </c>
      <c r="B613" s="151" t="inlineStr">
        <is>
          <t>REC-029854-4-001</t>
        </is>
      </c>
      <c r="C613" s="151" t="inlineStr">
        <is>
          <t>Sauce for Beef Stroganoff - 1/2 garlic- No wine</t>
        </is>
      </c>
      <c r="D613" s="151" t="inlineStr">
        <is>
          <t>SUB-029908-4-001</t>
        </is>
      </c>
      <c r="E613" s="150" t="n">
        <v>100</v>
      </c>
      <c r="F613" s="151" t="inlineStr">
        <is>
          <t>grams</t>
        </is>
      </c>
      <c r="G613" s="151" t="inlineStr">
        <is>
          <t>BLAST CHILLER, BRAISER, IMMERSION BLENDER, SPICE PORTIONING</t>
        </is>
      </c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inlineStr">
        <is>
          <t>FA-DE Onion, Spanish, Diced 5mm /Zwiebel, Spanisch, gewürfelt 5 mm</t>
        </is>
      </c>
      <c r="X613" s="151" t="inlineStr">
        <is>
          <t>PHF-00-139212-3</t>
        </is>
      </c>
      <c r="Y613" s="151" t="inlineStr">
        <is>
          <t>3,68</t>
        </is>
      </c>
      <c r="Z613" s="149" t="inlineStr">
        <is>
          <t>3,68</t>
        </is>
      </c>
      <c r="AA613" s="151" t="inlineStr">
        <is>
          <t>grams</t>
        </is>
      </c>
      <c r="AB613" s="151" t="n"/>
      <c r="AC613" s="151" t="n"/>
      <c r="AD613" s="150" t="n">
        <v>0.91947</v>
      </c>
      <c r="AE613" s="149" t="n">
        <v>3.68</v>
      </c>
      <c r="AF613" s="151" t="inlineStr">
        <is>
          <t>grams</t>
        </is>
      </c>
      <c r="AG613" s="151" t="n"/>
      <c r="AH613" s="151" t="n"/>
    </row>
    <row r="614">
      <c r="A614" s="151" t="inlineStr">
        <is>
          <t>FV0846A - Stroganoff-Style Beef Burger [DE]</t>
        </is>
      </c>
      <c r="B614" s="151" t="inlineStr">
        <is>
          <t>REC-029854-4-001</t>
        </is>
      </c>
      <c r="C614" s="151" t="inlineStr">
        <is>
          <t>Sauce for Beef Stroganoff - 1/2 garlic- No wine</t>
        </is>
      </c>
      <c r="D614" s="151" t="inlineStr">
        <is>
          <t>SUB-029908-4-001</t>
        </is>
      </c>
      <c r="E614" s="150" t="n">
        <v>100</v>
      </c>
      <c r="F614" s="151" t="inlineStr">
        <is>
          <t>grams</t>
        </is>
      </c>
      <c r="G614" s="151" t="inlineStr">
        <is>
          <t>BLAST CHILLER, BRAISER, IMMERSION BLENDER, SPICE PORTIONING</t>
        </is>
      </c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inlineStr">
        <is>
          <t>FA-DE Garlic, IQF, Diced 4 mm /Knoblauch, IQF, gewürfelt 4 mm</t>
        </is>
      </c>
      <c r="X614" s="151" t="inlineStr">
        <is>
          <t>PHF-00-139237-1</t>
        </is>
      </c>
      <c r="Y614" s="151" t="inlineStr">
        <is>
          <t>3,68</t>
        </is>
      </c>
      <c r="Z614" s="149" t="inlineStr">
        <is>
          <t>3,68</t>
        </is>
      </c>
      <c r="AA614" s="151" t="inlineStr">
        <is>
          <t>grams</t>
        </is>
      </c>
      <c r="AB614" s="151" t="inlineStr">
        <is>
          <t>SCHWEFELDIOXIDE UND SULFITE</t>
        </is>
      </c>
      <c r="AC614" s="151" t="n"/>
      <c r="AD614" s="150" t="n">
        <v>0.91947</v>
      </c>
      <c r="AE614" s="149" t="n">
        <v>3.68</v>
      </c>
      <c r="AF614" s="151" t="inlineStr">
        <is>
          <t>grams</t>
        </is>
      </c>
      <c r="AG614" s="151" t="n"/>
      <c r="AH614" s="151" t="n"/>
    </row>
    <row r="615">
      <c r="A615" s="151" t="inlineStr">
        <is>
          <t>FV0846A - Stroganoff-Style Beef Burger [DE]</t>
        </is>
      </c>
      <c r="B615" s="151" t="inlineStr">
        <is>
          <t>REC-029854-4-001</t>
        </is>
      </c>
      <c r="C615" s="151" t="inlineStr">
        <is>
          <t>Sauce for Beef Stroganoff - 1/2 garlic- No wine</t>
        </is>
      </c>
      <c r="D615" s="151" t="inlineStr">
        <is>
          <t>SUB-029908-4-001</t>
        </is>
      </c>
      <c r="E615" s="150" t="n">
        <v>100</v>
      </c>
      <c r="F615" s="151" t="inlineStr">
        <is>
          <t>grams</t>
        </is>
      </c>
      <c r="G615" s="151" t="inlineStr">
        <is>
          <t>BLAST CHILLER, BRAISER, IMMERSION BLENDER, SPICE PORTIONING</t>
        </is>
      </c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inlineStr">
        <is>
          <t>FA-DE Mushroom, Button, Sliced, Washed /Pilz, Knopf, geschnitten, gewaschen</t>
        </is>
      </c>
      <c r="X615" s="151" t="inlineStr">
        <is>
          <t>PHF-00-139206-3</t>
        </is>
      </c>
      <c r="Y615" s="151" t="inlineStr">
        <is>
          <t>46,56</t>
        </is>
      </c>
      <c r="Z615" s="149" t="inlineStr">
        <is>
          <t>46,56</t>
        </is>
      </c>
      <c r="AA615" s="151" t="inlineStr">
        <is>
          <t>grams</t>
        </is>
      </c>
      <c r="AB615" s="151" t="n"/>
      <c r="AC615" s="151" t="n"/>
      <c r="AD615" s="150" t="n">
        <v>0.91947</v>
      </c>
      <c r="AE615" s="149" t="n">
        <v>46.56</v>
      </c>
      <c r="AF615" s="151" t="inlineStr">
        <is>
          <t>grams</t>
        </is>
      </c>
      <c r="AG615" s="151" t="n"/>
      <c r="AH615" s="151" t="n"/>
    </row>
    <row r="616">
      <c r="A616" s="151" t="inlineStr">
        <is>
          <t>FV0846A - Stroganoff-Style Beef Burger [DE]</t>
        </is>
      </c>
      <c r="B616" s="151" t="inlineStr">
        <is>
          <t>REC-029854-4-001</t>
        </is>
      </c>
      <c r="C616" s="151" t="inlineStr">
        <is>
          <t>Sauce for Beef Stroganoff - 1/2 garlic- No wine</t>
        </is>
      </c>
      <c r="D616" s="151" t="inlineStr">
        <is>
          <t>SUB-029908-4-001</t>
        </is>
      </c>
      <c r="E616" s="150" t="n">
        <v>100</v>
      </c>
      <c r="F616" s="151" t="inlineStr">
        <is>
          <t>grams</t>
        </is>
      </c>
      <c r="G616" s="151" t="inlineStr">
        <is>
          <t>BLAST CHILLER, BRAISER, IMMERSION BLENDER, SPICE PORTIONING</t>
        </is>
      </c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inlineStr">
        <is>
          <t>FA-DE Thyme, IQF /Thymian, IQF</t>
        </is>
      </c>
      <c r="X616" s="151" t="inlineStr">
        <is>
          <t>PHF-00-139244-1</t>
        </is>
      </c>
      <c r="Y616" s="151" t="inlineStr">
        <is>
          <t>0,97</t>
        </is>
      </c>
      <c r="Z616" s="149" t="inlineStr">
        <is>
          <t>0,97</t>
        </is>
      </c>
      <c r="AA616" s="151" t="inlineStr">
        <is>
          <t>grams</t>
        </is>
      </c>
      <c r="AB616" s="151" t="n"/>
      <c r="AC616" s="151" t="n"/>
      <c r="AD616" s="150" t="n">
        <v>0.91947</v>
      </c>
      <c r="AE616" s="149" t="n">
        <v>0.97</v>
      </c>
      <c r="AF616" s="151" t="inlineStr">
        <is>
          <t>grams</t>
        </is>
      </c>
      <c r="AG616" s="151" t="n"/>
      <c r="AH616" s="151" t="n"/>
    </row>
    <row r="617">
      <c r="A617" s="151" t="inlineStr">
        <is>
          <t>FV0846A - Stroganoff-Style Beef Burger [DE]</t>
        </is>
      </c>
      <c r="B617" s="151" t="inlineStr">
        <is>
          <t>REC-029854-4-001</t>
        </is>
      </c>
      <c r="C617" s="151" t="inlineStr">
        <is>
          <t>Sauce for Beef Stroganoff - 1/2 garlic- No wine</t>
        </is>
      </c>
      <c r="D617" s="151" t="inlineStr">
        <is>
          <t>SUB-029908-4-001</t>
        </is>
      </c>
      <c r="E617" s="150" t="n">
        <v>100</v>
      </c>
      <c r="F617" s="151" t="inlineStr">
        <is>
          <t>grams</t>
        </is>
      </c>
      <c r="G617" s="151" t="inlineStr">
        <is>
          <t>BLAST CHILLER, BRAISER, IMMERSION BLENDER, SPICE PORTIONING</t>
        </is>
      </c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inlineStr">
        <is>
          <t>FA-DE Spice, Porcini Mushroom Powder /Gewürz, Steinpilzpulver</t>
        </is>
      </c>
      <c r="X617" s="151" t="inlineStr">
        <is>
          <t>SPI-00-139375-5</t>
        </is>
      </c>
      <c r="Y617" s="151" t="inlineStr">
        <is>
          <t>0,73</t>
        </is>
      </c>
      <c r="Z617" s="149" t="inlineStr">
        <is>
          <t>0,73</t>
        </is>
      </c>
      <c r="AA617" s="151" t="inlineStr">
        <is>
          <t>grams</t>
        </is>
      </c>
      <c r="AB617" s="151" t="n"/>
      <c r="AC617" s="151" t="n"/>
      <c r="AD617" s="150" t="n">
        <v>0.91947</v>
      </c>
      <c r="AE617" s="149" t="n">
        <v>0.73</v>
      </c>
      <c r="AF617" s="151" t="inlineStr">
        <is>
          <t>grams</t>
        </is>
      </c>
      <c r="AG617" s="151" t="n"/>
      <c r="AH617" s="151" t="n"/>
    </row>
    <row r="618">
      <c r="A618" s="151" t="inlineStr">
        <is>
          <t>FV0846A - Stroganoff-Style Beef Burger [DE]</t>
        </is>
      </c>
      <c r="B618" s="151" t="inlineStr">
        <is>
          <t>REC-029854-4-001</t>
        </is>
      </c>
      <c r="C618" s="151" t="inlineStr">
        <is>
          <t>Sauce for Beef Stroganoff - 1/2 garlic- No wine</t>
        </is>
      </c>
      <c r="D618" s="151" t="inlineStr">
        <is>
          <t>SUB-029908-4-001</t>
        </is>
      </c>
      <c r="E618" s="150" t="n">
        <v>100</v>
      </c>
      <c r="F618" s="151" t="inlineStr">
        <is>
          <t>grams</t>
        </is>
      </c>
      <c r="G618" s="151" t="inlineStr">
        <is>
          <t>BLAST CHILLER, BRAISER, IMMERSION BLENDER, SPICE PORTIONING</t>
        </is>
      </c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inlineStr">
        <is>
          <t>FA-DE Spice, Sea Salt /Gewürze, Meersalz</t>
        </is>
      </c>
      <c r="X618" s="151" t="inlineStr">
        <is>
          <t>SPI-00-139378-5</t>
        </is>
      </c>
      <c r="Y618" s="151" t="inlineStr">
        <is>
          <t>0,27</t>
        </is>
      </c>
      <c r="Z618" s="149" t="inlineStr">
        <is>
          <t>0,27</t>
        </is>
      </c>
      <c r="AA618" s="151" t="inlineStr">
        <is>
          <t>grams</t>
        </is>
      </c>
      <c r="AB618" s="151" t="n"/>
      <c r="AC618" s="151" t="n"/>
      <c r="AD618" s="150" t="n">
        <v>0.91947</v>
      </c>
      <c r="AE618" s="149" t="n">
        <v>0.27</v>
      </c>
      <c r="AF618" s="151" t="inlineStr">
        <is>
          <t>grams</t>
        </is>
      </c>
      <c r="AG618" s="151" t="n"/>
      <c r="AH618" s="151" t="n"/>
    </row>
    <row r="619">
      <c r="A619" s="151" t="inlineStr">
        <is>
          <t>FV0846A - Stroganoff-Style Beef Burger [DE]</t>
        </is>
      </c>
      <c r="B619" s="151" t="inlineStr">
        <is>
          <t>REC-029854-4-001</t>
        </is>
      </c>
      <c r="C619" s="151" t="inlineStr">
        <is>
          <t>Sauce for Beef Stroganoff - 1/2 garlic- No wine</t>
        </is>
      </c>
      <c r="D619" s="151" t="inlineStr">
        <is>
          <t>SUB-029908-4-001</t>
        </is>
      </c>
      <c r="E619" s="150" t="n">
        <v>100</v>
      </c>
      <c r="F619" s="151" t="inlineStr">
        <is>
          <t>grams</t>
        </is>
      </c>
      <c r="G619" s="151" t="inlineStr">
        <is>
          <t>BLAST CHILLER, BRAISER, IMMERSION BLENDER, SPICE PORTIONING</t>
        </is>
      </c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inlineStr">
        <is>
          <t>FA-DE Water / Wasser</t>
        </is>
      </c>
      <c r="X619" s="151" t="inlineStr">
        <is>
          <t>OTH-00-144038-5</t>
        </is>
      </c>
      <c r="Y619" s="151" t="inlineStr">
        <is>
          <t>2,46</t>
        </is>
      </c>
      <c r="Z619" s="149" t="inlineStr">
        <is>
          <t>2,46</t>
        </is>
      </c>
      <c r="AA619" s="151" t="inlineStr">
        <is>
          <t>grams</t>
        </is>
      </c>
      <c r="AB619" s="151" t="n"/>
      <c r="AC619" s="151" t="n"/>
      <c r="AD619" s="150" t="n">
        <v>0.91947</v>
      </c>
      <c r="AE619" s="149" t="n">
        <v>2.46</v>
      </c>
      <c r="AF619" s="151" t="inlineStr">
        <is>
          <t>grams</t>
        </is>
      </c>
      <c r="AG619" s="151" t="n"/>
      <c r="AH619" s="151" t="n"/>
    </row>
    <row r="620">
      <c r="A620" s="151" t="inlineStr">
        <is>
          <t>FV0846A - Stroganoff-Style Beef Burger [DE]</t>
        </is>
      </c>
      <c r="B620" s="151" t="inlineStr">
        <is>
          <t>REC-029854-4-001</t>
        </is>
      </c>
      <c r="C620" s="151" t="inlineStr">
        <is>
          <t>Sauce for Beef Stroganoff - 1/2 garlic- No wine</t>
        </is>
      </c>
      <c r="D620" s="151" t="inlineStr">
        <is>
          <t>SUB-029908-4-001</t>
        </is>
      </c>
      <c r="E620" s="150" t="n">
        <v>100</v>
      </c>
      <c r="F620" s="151" t="inlineStr">
        <is>
          <t>grams</t>
        </is>
      </c>
      <c r="G620" s="151" t="inlineStr">
        <is>
          <t>BLAST CHILLER, BRAISER, IMMERSION BLENDER, SPICE PORTIONING</t>
        </is>
      </c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inlineStr">
        <is>
          <t>FA-DE Heavy Cream 35% /Sahne 35%</t>
        </is>
      </c>
      <c r="X620" s="151" t="inlineStr">
        <is>
          <t>DAI-00-148167-3</t>
        </is>
      </c>
      <c r="Y620" s="151" t="inlineStr">
        <is>
          <t>1,96</t>
        </is>
      </c>
      <c r="Z620" s="149" t="inlineStr">
        <is>
          <t>1,96</t>
        </is>
      </c>
      <c r="AA620" s="151" t="inlineStr">
        <is>
          <t>grams</t>
        </is>
      </c>
      <c r="AB620" s="151" t="inlineStr">
        <is>
          <t>MILCH (EINSCHLIESSLICH LAKTOSE)</t>
        </is>
      </c>
      <c r="AC620" s="151" t="n"/>
      <c r="AD620" s="150" t="n">
        <v>0.91947</v>
      </c>
      <c r="AE620" s="149" t="n">
        <v>1.96</v>
      </c>
      <c r="AF620" s="151" t="inlineStr">
        <is>
          <t>grams</t>
        </is>
      </c>
      <c r="AG620" s="151" t="n"/>
      <c r="AH620" s="151" t="n"/>
    </row>
    <row r="621">
      <c r="A621" s="151" t="inlineStr">
        <is>
          <t>FV0846A - Stroganoff-Style Beef Burger [DE]</t>
        </is>
      </c>
      <c r="B621" s="151" t="inlineStr">
        <is>
          <t>REC-029854-4-001</t>
        </is>
      </c>
      <c r="C621" s="151" t="inlineStr">
        <is>
          <t>Sauce for Beef Stroganoff - 1/2 garlic- No wine</t>
        </is>
      </c>
      <c r="D621" s="151" t="inlineStr">
        <is>
          <t>SUB-029908-4-001</t>
        </is>
      </c>
      <c r="E621" s="150" t="n">
        <v>100</v>
      </c>
      <c r="F621" s="151" t="inlineStr">
        <is>
          <t>grams</t>
        </is>
      </c>
      <c r="G621" s="151" t="inlineStr">
        <is>
          <t>BLAST CHILLER, BRAISER, IMMERSION BLENDER, SPICE PORTIONING</t>
        </is>
      </c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inlineStr">
        <is>
          <t>FA-DE Stock Concentrate, Classic Reduced Brown /Stammkonzentrat, klassisches, reduziertes Braun</t>
        </is>
      </c>
      <c r="X621" s="151" t="inlineStr">
        <is>
          <t>PRO-00-139285-5</t>
        </is>
      </c>
      <c r="Y621" s="151" t="inlineStr">
        <is>
          <t>4,89</t>
        </is>
      </c>
      <c r="Z621" s="149" t="inlineStr">
        <is>
          <t>4,89</t>
        </is>
      </c>
      <c r="AA621" s="151" t="inlineStr">
        <is>
          <t>grams</t>
        </is>
      </c>
      <c r="AB621" s="151" t="inlineStr">
        <is>
          <t>SELLERIE</t>
        </is>
      </c>
      <c r="AC621" s="151" t="n"/>
      <c r="AD621" s="150" t="n">
        <v>0.91947</v>
      </c>
      <c r="AE621" s="149" t="n">
        <v>4.89</v>
      </c>
      <c r="AF621" s="151" t="inlineStr">
        <is>
          <t>grams</t>
        </is>
      </c>
      <c r="AG621" s="151" t="n"/>
      <c r="AH621" s="151" t="n"/>
    </row>
    <row r="622">
      <c r="A622" s="151" t="inlineStr">
        <is>
          <t>FV0846A - Stroganoff-Style Beef Burger [DE]</t>
        </is>
      </c>
      <c r="B622" s="151" t="inlineStr">
        <is>
          <t>REC-029854-4-001</t>
        </is>
      </c>
      <c r="C622" s="151" t="inlineStr">
        <is>
          <t>Sauce for Beef Stroganoff - 1/2 garlic- No wine</t>
        </is>
      </c>
      <c r="D622" s="151" t="inlineStr">
        <is>
          <t>SUB-029908-4-001</t>
        </is>
      </c>
      <c r="E622" s="150" t="n">
        <v>100</v>
      </c>
      <c r="F622" s="151" t="inlineStr">
        <is>
          <t>grams</t>
        </is>
      </c>
      <c r="G622" s="151" t="inlineStr">
        <is>
          <t>BLAST CHILLER, BRAISER, IMMERSION BLENDER, SPICE PORTIONING</t>
        </is>
      </c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inlineStr">
        <is>
          <t>FA-DE Cheese, Cream, 13% Fat (Milk) /Käse, Sahne, 13% Fett</t>
        </is>
      </c>
      <c r="X622" s="151" t="inlineStr">
        <is>
          <t>DAI-00-139122-3</t>
        </is>
      </c>
      <c r="Y622" s="151" t="inlineStr">
        <is>
          <t>14,69</t>
        </is>
      </c>
      <c r="Z622" s="149" t="inlineStr">
        <is>
          <t>14,69</t>
        </is>
      </c>
      <c r="AA622" s="151" t="inlineStr">
        <is>
          <t>grams</t>
        </is>
      </c>
      <c r="AB622" s="151" t="inlineStr">
        <is>
          <t>MILCH (EINSCHLIESSLICH LAKTOSE)</t>
        </is>
      </c>
      <c r="AC622" s="151" t="n"/>
      <c r="AD622" s="150" t="n">
        <v>0.91947</v>
      </c>
      <c r="AE622" s="149" t="n">
        <v>14.69</v>
      </c>
      <c r="AF622" s="151" t="inlineStr">
        <is>
          <t>grams</t>
        </is>
      </c>
      <c r="AG622" s="151" t="n"/>
      <c r="AH622" s="151" t="n"/>
    </row>
    <row r="623">
      <c r="A623" s="151" t="inlineStr">
        <is>
          <t>FV0846A - Stroganoff-Style Beef Burger [DE]</t>
        </is>
      </c>
      <c r="B623" s="151" t="inlineStr">
        <is>
          <t>REC-029854-4-001</t>
        </is>
      </c>
      <c r="C623" s="151" t="inlineStr">
        <is>
          <t>Sauce for Beef Stroganoff - 1/2 garlic- No wine</t>
        </is>
      </c>
      <c r="D623" s="151" t="inlineStr">
        <is>
          <t>SUB-029908-4-001</t>
        </is>
      </c>
      <c r="E623" s="150" t="n">
        <v>100</v>
      </c>
      <c r="F623" s="151" t="inlineStr">
        <is>
          <t>grams</t>
        </is>
      </c>
      <c r="G623" s="151" t="inlineStr">
        <is>
          <t>BLAST CHILLER, BRAISER, IMMERSION BLENDER, SPICE PORTIONING</t>
        </is>
      </c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inlineStr">
        <is>
          <t>FA-DE Sour Cream /Sauerrahm</t>
        </is>
      </c>
      <c r="X623" s="151" t="inlineStr">
        <is>
          <t>DAI-00-139141-3</t>
        </is>
      </c>
      <c r="Y623" s="151" t="inlineStr">
        <is>
          <t>14,69</t>
        </is>
      </c>
      <c r="Z623" s="149" t="inlineStr">
        <is>
          <t>14,69</t>
        </is>
      </c>
      <c r="AA623" s="151" t="inlineStr">
        <is>
          <t>grams</t>
        </is>
      </c>
      <c r="AB623" s="151" t="inlineStr">
        <is>
          <t>MILCH (EINSCHLIESSLICH LAKTOSE)</t>
        </is>
      </c>
      <c r="AC623" s="151" t="n"/>
      <c r="AD623" s="150" t="n">
        <v>0.91947</v>
      </c>
      <c r="AE623" s="149" t="n">
        <v>14.69</v>
      </c>
      <c r="AF623" s="151" t="inlineStr">
        <is>
          <t>grams</t>
        </is>
      </c>
      <c r="AG623" s="151" t="n"/>
      <c r="AH623" s="151" t="n"/>
    </row>
    <row r="624">
      <c r="A624" s="151" t="inlineStr">
        <is>
          <t>FV0846A - Stroganoff-Style Beef Burger [DE]</t>
        </is>
      </c>
      <c r="B624" s="151" t="inlineStr">
        <is>
          <t>REC-029854-4-001</t>
        </is>
      </c>
      <c r="C624" s="151" t="inlineStr">
        <is>
          <t>Sauce for Beef Stroganoff - 1/2 garlic- No wine</t>
        </is>
      </c>
      <c r="D624" s="151" t="inlineStr">
        <is>
          <t>SUB-029908-4-001</t>
        </is>
      </c>
      <c r="E624" s="150" t="n">
        <v>100</v>
      </c>
      <c r="F624" s="151" t="inlineStr">
        <is>
          <t>grams</t>
        </is>
      </c>
      <c r="G624" s="151" t="inlineStr">
        <is>
          <t>BLAST CHILLER, BRAISER, IMMERSION BLENDER, SPICE PORTIONING</t>
        </is>
      </c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inlineStr">
        <is>
          <t>FA-DE Mustard, Dijon /Senf, Dijon</t>
        </is>
      </c>
      <c r="X624" s="151" t="inlineStr">
        <is>
          <t>PRO-00-139276-5</t>
        </is>
      </c>
      <c r="Y624" s="151" t="inlineStr">
        <is>
          <t>3,19</t>
        </is>
      </c>
      <c r="Z624" s="149" t="inlineStr">
        <is>
          <t>3,19</t>
        </is>
      </c>
      <c r="AA624" s="151" t="inlineStr">
        <is>
          <t>grams</t>
        </is>
      </c>
      <c r="AB624" s="151" t="inlineStr">
        <is>
          <t>SENF</t>
        </is>
      </c>
      <c r="AC624" s="151" t="n"/>
      <c r="AD624" s="150" t="n">
        <v>0.91947</v>
      </c>
      <c r="AE624" s="149" t="n">
        <v>3.19</v>
      </c>
      <c r="AF624" s="151" t="inlineStr">
        <is>
          <t>grams</t>
        </is>
      </c>
      <c r="AG624" s="151" t="n"/>
      <c r="AH624" s="151" t="n"/>
    </row>
    <row r="625">
      <c r="A625" s="151" t="inlineStr">
        <is>
          <t>FV0846A - Stroganoff-Style Beef Burger [DE]</t>
        </is>
      </c>
      <c r="B625" s="151" t="inlineStr">
        <is>
          <t>REC-029854-4-001</t>
        </is>
      </c>
      <c r="C625" s="151" t="inlineStr">
        <is>
          <t>Sauce for Beef Stroganoff - 1/2 garlic- No wine</t>
        </is>
      </c>
      <c r="D625" s="151" t="inlineStr">
        <is>
          <t>SUB-029908-4-001</t>
        </is>
      </c>
      <c r="E625" s="150" t="n">
        <v>100</v>
      </c>
      <c r="F625" s="151" t="inlineStr">
        <is>
          <t>grams</t>
        </is>
      </c>
      <c r="G625" s="151" t="inlineStr">
        <is>
          <t>BLAST CHILLER, BRAISER, IMMERSION BLENDER, SPICE PORTIONING</t>
        </is>
      </c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inlineStr">
        <is>
          <t>FA-DE Onion, Green, Sliced 5mm /Zwiebel, grün, in Scheiben geschnitten, 5 mm</t>
        </is>
      </c>
      <c r="X625" s="151" t="inlineStr">
        <is>
          <t>PHF-00-149803-3</t>
        </is>
      </c>
      <c r="Y625" s="151" t="inlineStr">
        <is>
          <t>5,19</t>
        </is>
      </c>
      <c r="Z625" s="149" t="inlineStr">
        <is>
          <t>5,19</t>
        </is>
      </c>
      <c r="AA625" s="151" t="inlineStr">
        <is>
          <t>grams</t>
        </is>
      </c>
      <c r="AB625" s="151" t="n"/>
      <c r="AC625" s="151" t="n"/>
      <c r="AD625" s="150" t="n">
        <v>0.91947</v>
      </c>
      <c r="AE625" s="149" t="n">
        <v>5.19</v>
      </c>
      <c r="AF625" s="151" t="inlineStr">
        <is>
          <t>grams</t>
        </is>
      </c>
      <c r="AG625" s="151" t="n"/>
      <c r="AH625" s="151" t="n"/>
    </row>
    <row r="626">
      <c r="A626" s="151" t="inlineStr">
        <is>
          <t>FV0846A - Stroganoff-Style Beef Burger [DE]</t>
        </is>
      </c>
      <c r="B626" s="151" t="inlineStr">
        <is>
          <t>REC-029854-4-001</t>
        </is>
      </c>
      <c r="C626" s="151" t="inlineStr">
        <is>
          <t>Beef Burger Master EU</t>
        </is>
      </c>
      <c r="D626" s="151" t="inlineStr">
        <is>
          <t>SUB-031776-4-001</t>
        </is>
      </c>
      <c r="E626" s="150" t="n">
        <v>1</v>
      </c>
      <c r="F626" s="151" t="inlineStr">
        <is>
          <t>each</t>
        </is>
      </c>
      <c r="G626" s="151" t="inlineStr">
        <is>
          <t>BLAST CHILLER, HORIZONTAL MIXER, OVEN, PATTY MAKER</t>
        </is>
      </c>
      <c r="H626" s="151" t="inlineStr">
        <is>
          <t>Burger Patty</t>
        </is>
      </c>
      <c r="I626" s="151" t="inlineStr">
        <is>
          <t>SUB-031783-4-001</t>
        </is>
      </c>
      <c r="J626" s="150" t="n">
        <v>204</v>
      </c>
      <c r="K626" s="151" t="inlineStr">
        <is>
          <t>grams</t>
        </is>
      </c>
      <c r="L626" s="151" t="inlineStr">
        <is>
          <t>BLAST CHILLER, HORIZONTAL MIXER, OVEN, PATTY MAKER</t>
        </is>
      </c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inlineStr">
        <is>
          <t>FA-DE Beef, Ground, 80/20 /Rindfleisch, gemahlen, 80/20</t>
        </is>
      </c>
      <c r="X626" s="151" t="inlineStr">
        <is>
          <t>PTN-00-139319-3</t>
        </is>
      </c>
      <c r="Y626" s="151" t="inlineStr">
        <is>
          <t>169,76</t>
        </is>
      </c>
      <c r="Z626" s="149" t="inlineStr">
        <is>
          <t>169,76</t>
        </is>
      </c>
      <c r="AA626" s="151" t="inlineStr">
        <is>
          <t>grams</t>
        </is>
      </c>
      <c r="AB626" s="151" t="n"/>
      <c r="AC626" s="151" t="n"/>
      <c r="AD626" s="150" t="n">
        <v>0.97143</v>
      </c>
      <c r="AE626" s="149" t="n">
        <v>169.76</v>
      </c>
      <c r="AF626" s="151" t="inlineStr">
        <is>
          <t>grams</t>
        </is>
      </c>
      <c r="AG626" s="151" t="n"/>
      <c r="AH626" s="151" t="n"/>
    </row>
    <row r="627">
      <c r="A627" s="151" t="inlineStr">
        <is>
          <t>FV0846A - Stroganoff-Style Beef Burger [DE]</t>
        </is>
      </c>
      <c r="B627" s="151" t="inlineStr">
        <is>
          <t>REC-029854-4-001</t>
        </is>
      </c>
      <c r="C627" s="151" t="inlineStr">
        <is>
          <t>Beef Burger Master EU</t>
        </is>
      </c>
      <c r="D627" s="151" t="inlineStr">
        <is>
          <t>SUB-031776-4-001</t>
        </is>
      </c>
      <c r="E627" s="150" t="n">
        <v>1</v>
      </c>
      <c r="F627" s="151" t="inlineStr">
        <is>
          <t>each</t>
        </is>
      </c>
      <c r="G627" s="151" t="inlineStr">
        <is>
          <t>BLAST CHILLER, HORIZONTAL MIXER, OVEN, PATTY MAKER</t>
        </is>
      </c>
      <c r="H627" s="151" t="inlineStr">
        <is>
          <t>Burger Patty</t>
        </is>
      </c>
      <c r="I627" s="151" t="inlineStr">
        <is>
          <t>SUB-031783-4-001</t>
        </is>
      </c>
      <c r="J627" s="150" t="n">
        <v>204</v>
      </c>
      <c r="K627" s="151" t="inlineStr">
        <is>
          <t>grams</t>
        </is>
      </c>
      <c r="L627" s="151" t="inlineStr">
        <is>
          <t>BLAST CHILLER, HORIZONTAL MIXER, OVEN, PATTY MAKER</t>
        </is>
      </c>
      <c r="M627" s="151" t="inlineStr">
        <is>
          <t>Cooked Burger Veggies</t>
        </is>
      </c>
      <c r="N627" s="151" t="inlineStr">
        <is>
          <t>SUB-031784-4-001</t>
        </is>
      </c>
      <c r="O627" s="150" t="n">
        <v>22.63</v>
      </c>
      <c r="P627" s="151" t="inlineStr">
        <is>
          <t>grams</t>
        </is>
      </c>
      <c r="Q627" s="151" t="inlineStr">
        <is>
          <t>BLAST CHILLER, BRAISER, SPICE PORTIONING</t>
        </is>
      </c>
      <c r="R627" s="151" t="n"/>
      <c r="S627" s="151" t="n"/>
      <c r="T627" s="151" t="n"/>
      <c r="U627" s="151" t="n"/>
      <c r="V627" s="151" t="n"/>
      <c r="W627" s="151" t="inlineStr">
        <is>
          <t>FA-DE Onion, Spanish, Diced 5mm /Zwiebel, Spanisch, gewürfelt 5 mm</t>
        </is>
      </c>
      <c r="X627" s="151" t="inlineStr">
        <is>
          <t>PHF-00-139212-3</t>
        </is>
      </c>
      <c r="Y627" s="151" t="inlineStr">
        <is>
          <t>8,35</t>
        </is>
      </c>
      <c r="Z627" s="149" t="inlineStr">
        <is>
          <t>8,35</t>
        </is>
      </c>
      <c r="AA627" s="151" t="inlineStr">
        <is>
          <t>grams</t>
        </is>
      </c>
      <c r="AB627" s="151" t="n"/>
      <c r="AC627" s="151" t="n"/>
      <c r="AD627" s="150" t="n">
        <v>0.94991</v>
      </c>
      <c r="AE627" s="149" t="n">
        <v>8.35</v>
      </c>
      <c r="AF627" s="151" t="inlineStr">
        <is>
          <t>grams</t>
        </is>
      </c>
      <c r="AG627" s="151" t="n"/>
      <c r="AH627" s="151" t="n"/>
    </row>
    <row r="628">
      <c r="A628" s="151" t="inlineStr">
        <is>
          <t>FV0846A - Stroganoff-Style Beef Burger [DE]</t>
        </is>
      </c>
      <c r="B628" s="151" t="inlineStr">
        <is>
          <t>REC-029854-4-001</t>
        </is>
      </c>
      <c r="C628" s="151" t="inlineStr">
        <is>
          <t>Beef Burger Master EU</t>
        </is>
      </c>
      <c r="D628" s="151" t="inlineStr">
        <is>
          <t>SUB-031776-4-001</t>
        </is>
      </c>
      <c r="E628" s="150" t="n">
        <v>1</v>
      </c>
      <c r="F628" s="151" t="inlineStr">
        <is>
          <t>each</t>
        </is>
      </c>
      <c r="G628" s="151" t="inlineStr">
        <is>
          <t>BLAST CHILLER, HORIZONTAL MIXER, OVEN, PATTY MAKER</t>
        </is>
      </c>
      <c r="H628" s="151" t="inlineStr">
        <is>
          <t>Burger Patty</t>
        </is>
      </c>
      <c r="I628" s="151" t="inlineStr">
        <is>
          <t>SUB-031783-4-001</t>
        </is>
      </c>
      <c r="J628" s="150" t="n">
        <v>204</v>
      </c>
      <c r="K628" s="151" t="inlineStr">
        <is>
          <t>grams</t>
        </is>
      </c>
      <c r="L628" s="151" t="inlineStr">
        <is>
          <t>BLAST CHILLER, HORIZONTAL MIXER, OVEN, PATTY MAKER</t>
        </is>
      </c>
      <c r="M628" s="151" t="inlineStr">
        <is>
          <t>Cooked Burger Veggies</t>
        </is>
      </c>
      <c r="N628" s="151" t="inlineStr">
        <is>
          <t>SUB-031784-4-001</t>
        </is>
      </c>
      <c r="O628" s="150" t="n">
        <v>22.63</v>
      </c>
      <c r="P628" s="151" t="inlineStr">
        <is>
          <t>grams</t>
        </is>
      </c>
      <c r="Q628" s="151" t="inlineStr">
        <is>
          <t>BLAST CHILLER, BRAISER, SPICE PORTIONING</t>
        </is>
      </c>
      <c r="R628" s="151" t="n"/>
      <c r="S628" s="151" t="n"/>
      <c r="T628" s="151" t="n"/>
      <c r="U628" s="151" t="n"/>
      <c r="V628" s="151" t="n"/>
      <c r="W628" s="151" t="inlineStr">
        <is>
          <t>FA-DE Garlic, IQF, Diced 4 mm /Knoblauch, IQF, gewürfelt 4 mm</t>
        </is>
      </c>
      <c r="X628" s="151" t="inlineStr">
        <is>
          <t>PHF-00-139237-1</t>
        </is>
      </c>
      <c r="Y628" s="151" t="inlineStr">
        <is>
          <t>4,77</t>
        </is>
      </c>
      <c r="Z628" s="149" t="inlineStr">
        <is>
          <t>4,77</t>
        </is>
      </c>
      <c r="AA628" s="151" t="inlineStr">
        <is>
          <t>grams</t>
        </is>
      </c>
      <c r="AB628" s="151" t="inlineStr">
        <is>
          <t>SCHWEFELDIOXIDE UND SULFITE</t>
        </is>
      </c>
      <c r="AC628" s="151" t="n"/>
      <c r="AD628" s="150" t="n">
        <v>0.94991</v>
      </c>
      <c r="AE628" s="149" t="n">
        <v>4.77</v>
      </c>
      <c r="AF628" s="151" t="inlineStr">
        <is>
          <t>grams</t>
        </is>
      </c>
      <c r="AG628" s="151" t="n"/>
      <c r="AH628" s="151" t="n"/>
    </row>
    <row r="629">
      <c r="A629" s="151" t="inlineStr">
        <is>
          <t>FV0846A - Stroganoff-Style Beef Burger [DE]</t>
        </is>
      </c>
      <c r="B629" s="151" t="inlineStr">
        <is>
          <t>REC-029854-4-001</t>
        </is>
      </c>
      <c r="C629" s="151" t="inlineStr">
        <is>
          <t>Beef Burger Master EU</t>
        </is>
      </c>
      <c r="D629" s="151" t="inlineStr">
        <is>
          <t>SUB-031776-4-001</t>
        </is>
      </c>
      <c r="E629" s="150" t="n">
        <v>1</v>
      </c>
      <c r="F629" s="151" t="inlineStr">
        <is>
          <t>each</t>
        </is>
      </c>
      <c r="G629" s="151" t="inlineStr">
        <is>
          <t>BLAST CHILLER, HORIZONTAL MIXER, OVEN, PATTY MAKER</t>
        </is>
      </c>
      <c r="H629" s="151" t="inlineStr">
        <is>
          <t>Burger Patty</t>
        </is>
      </c>
      <c r="I629" s="151" t="inlineStr">
        <is>
          <t>SUB-031783-4-001</t>
        </is>
      </c>
      <c r="J629" s="150" t="n">
        <v>204</v>
      </c>
      <c r="K629" s="151" t="inlineStr">
        <is>
          <t>grams</t>
        </is>
      </c>
      <c r="L629" s="151" t="inlineStr">
        <is>
          <t>BLAST CHILLER, HORIZONTAL MIXER, OVEN, PATTY MAKER</t>
        </is>
      </c>
      <c r="M629" s="151" t="inlineStr">
        <is>
          <t>Cooked Burger Veggies</t>
        </is>
      </c>
      <c r="N629" s="151" t="inlineStr">
        <is>
          <t>SUB-031784-4-001</t>
        </is>
      </c>
      <c r="O629" s="150" t="n">
        <v>22.63</v>
      </c>
      <c r="P629" s="151" t="inlineStr">
        <is>
          <t>grams</t>
        </is>
      </c>
      <c r="Q629" s="151" t="inlineStr">
        <is>
          <t>BLAST CHILLER, BRAISER, SPICE PORTIONING</t>
        </is>
      </c>
      <c r="R629" s="151" t="n"/>
      <c r="S629" s="151" t="n"/>
      <c r="T629" s="151" t="n"/>
      <c r="U629" s="151" t="n"/>
      <c r="V629" s="151" t="n"/>
      <c r="W629" s="151" t="inlineStr">
        <is>
          <t>FA-DE Oil, Olive /Öl, Olivenöl</t>
        </is>
      </c>
      <c r="X629" s="151" t="inlineStr">
        <is>
          <t>PRO-00-139277-5</t>
        </is>
      </c>
      <c r="Y629" s="151" t="inlineStr">
        <is>
          <t>3,19</t>
        </is>
      </c>
      <c r="Z629" s="149" t="inlineStr">
        <is>
          <t>3,19</t>
        </is>
      </c>
      <c r="AA629" s="151" t="inlineStr">
        <is>
          <t>grams</t>
        </is>
      </c>
      <c r="AB629" s="151" t="n"/>
      <c r="AC629" s="151" t="n"/>
      <c r="AD629" s="150" t="n">
        <v>0.94991</v>
      </c>
      <c r="AE629" s="149" t="n">
        <v>3.19</v>
      </c>
      <c r="AF629" s="151" t="inlineStr">
        <is>
          <t>grams</t>
        </is>
      </c>
      <c r="AG629" s="151" t="n"/>
      <c r="AH629" s="151" t="n"/>
    </row>
    <row r="630">
      <c r="A630" s="151" t="inlineStr">
        <is>
          <t>FV0846A - Stroganoff-Style Beef Burger [DE]</t>
        </is>
      </c>
      <c r="B630" s="151" t="inlineStr">
        <is>
          <t>REC-029854-4-001</t>
        </is>
      </c>
      <c r="C630" s="151" t="inlineStr">
        <is>
          <t>Beef Burger Master EU</t>
        </is>
      </c>
      <c r="D630" s="151" t="inlineStr">
        <is>
          <t>SUB-031776-4-001</t>
        </is>
      </c>
      <c r="E630" s="150" t="n">
        <v>1</v>
      </c>
      <c r="F630" s="151" t="inlineStr">
        <is>
          <t>each</t>
        </is>
      </c>
      <c r="G630" s="151" t="inlineStr">
        <is>
          <t>BLAST CHILLER, HORIZONTAL MIXER, OVEN, PATTY MAKER</t>
        </is>
      </c>
      <c r="H630" s="151" t="inlineStr">
        <is>
          <t>Burger Patty</t>
        </is>
      </c>
      <c r="I630" s="151" t="inlineStr">
        <is>
          <t>SUB-031783-4-001</t>
        </is>
      </c>
      <c r="J630" s="150" t="n">
        <v>204</v>
      </c>
      <c r="K630" s="151" t="inlineStr">
        <is>
          <t>grams</t>
        </is>
      </c>
      <c r="L630" s="151" t="inlineStr">
        <is>
          <t>BLAST CHILLER, HORIZONTAL MIXER, OVEN, PATTY MAKER</t>
        </is>
      </c>
      <c r="M630" s="151" t="inlineStr">
        <is>
          <t>Cooked Burger Veggies</t>
        </is>
      </c>
      <c r="N630" s="151" t="inlineStr">
        <is>
          <t>SUB-031784-4-001</t>
        </is>
      </c>
      <c r="O630" s="150" t="n">
        <v>22.63</v>
      </c>
      <c r="P630" s="151" t="inlineStr">
        <is>
          <t>grams</t>
        </is>
      </c>
      <c r="Q630" s="151" t="inlineStr">
        <is>
          <t>BLAST CHILLER, BRAISER, SPICE PORTIONING</t>
        </is>
      </c>
      <c r="R630" s="151" t="n"/>
      <c r="S630" s="151" t="n"/>
      <c r="T630" s="151" t="n"/>
      <c r="U630" s="151" t="n"/>
      <c r="V630" s="151" t="n"/>
      <c r="W630" s="151" t="inlineStr">
        <is>
          <t>FA-DE Spice, Garlic Granulated /Gewürz, Knoblauch granuliert</t>
        </is>
      </c>
      <c r="X630" s="151" t="inlineStr">
        <is>
          <t>SPI-00-139353-5</t>
        </is>
      </c>
      <c r="Y630" s="151" t="inlineStr">
        <is>
          <t>2,39</t>
        </is>
      </c>
      <c r="Z630" s="149" t="inlineStr">
        <is>
          <t>2,39</t>
        </is>
      </c>
      <c r="AA630" s="151" t="inlineStr">
        <is>
          <t>grams</t>
        </is>
      </c>
      <c r="AB630" s="151" t="n"/>
      <c r="AC630" s="151" t="n"/>
      <c r="AD630" s="150" t="n">
        <v>0.94991</v>
      </c>
      <c r="AE630" s="149" t="n">
        <v>2.39</v>
      </c>
      <c r="AF630" s="151" t="inlineStr">
        <is>
          <t>grams</t>
        </is>
      </c>
      <c r="AG630" s="151" t="n"/>
      <c r="AH630" s="151" t="n"/>
    </row>
    <row r="631">
      <c r="A631" s="151" t="inlineStr">
        <is>
          <t>FV0846A - Stroganoff-Style Beef Burger [DE]</t>
        </is>
      </c>
      <c r="B631" s="151" t="inlineStr">
        <is>
          <t>REC-029854-4-001</t>
        </is>
      </c>
      <c r="C631" s="151" t="inlineStr">
        <is>
          <t>Beef Burger Master EU</t>
        </is>
      </c>
      <c r="D631" s="151" t="inlineStr">
        <is>
          <t>SUB-031776-4-001</t>
        </is>
      </c>
      <c r="E631" s="150" t="n">
        <v>1</v>
      </c>
      <c r="F631" s="151" t="inlineStr">
        <is>
          <t>each</t>
        </is>
      </c>
      <c r="G631" s="151" t="inlineStr">
        <is>
          <t>BLAST CHILLER, HORIZONTAL MIXER, OVEN, PATTY MAKER</t>
        </is>
      </c>
      <c r="H631" s="151" t="inlineStr">
        <is>
          <t>Burger Patty</t>
        </is>
      </c>
      <c r="I631" s="151" t="inlineStr">
        <is>
          <t>SUB-031783-4-001</t>
        </is>
      </c>
      <c r="J631" s="150" t="n">
        <v>204</v>
      </c>
      <c r="K631" s="151" t="inlineStr">
        <is>
          <t>grams</t>
        </is>
      </c>
      <c r="L631" s="151" t="inlineStr">
        <is>
          <t>BLAST CHILLER, HORIZONTAL MIXER, OVEN, PATTY MAKER</t>
        </is>
      </c>
      <c r="M631" s="151" t="inlineStr">
        <is>
          <t>Cooked Burger Veggies</t>
        </is>
      </c>
      <c r="N631" s="151" t="inlineStr">
        <is>
          <t>SUB-031784-4-001</t>
        </is>
      </c>
      <c r="O631" s="150" t="n">
        <v>22.63</v>
      </c>
      <c r="P631" s="151" t="inlineStr">
        <is>
          <t>grams</t>
        </is>
      </c>
      <c r="Q631" s="151" t="inlineStr">
        <is>
          <t>BLAST CHILLER, BRAISER, SPICE PORTIONING</t>
        </is>
      </c>
      <c r="R631" s="151" t="n"/>
      <c r="S631" s="151" t="n"/>
      <c r="T631" s="151" t="n"/>
      <c r="U631" s="151" t="n"/>
      <c r="V631" s="151" t="n"/>
      <c r="W631" s="151" t="inlineStr">
        <is>
          <t>FA-DE Spice, Onion Granulated /Gewürze, Zwiebeln granuliert</t>
        </is>
      </c>
      <c r="X631" s="151" t="inlineStr">
        <is>
          <t>SPI-00-139370-5</t>
        </is>
      </c>
      <c r="Y631" s="151" t="inlineStr">
        <is>
          <t>4,77</t>
        </is>
      </c>
      <c r="Z631" s="149" t="inlineStr">
        <is>
          <t>4,77</t>
        </is>
      </c>
      <c r="AA631" s="151" t="inlineStr">
        <is>
          <t>grams</t>
        </is>
      </c>
      <c r="AB631" s="151" t="n"/>
      <c r="AC631" s="151" t="n"/>
      <c r="AD631" s="150" t="n">
        <v>0.94991</v>
      </c>
      <c r="AE631" s="149" t="n">
        <v>4.77</v>
      </c>
      <c r="AF631" s="151" t="inlineStr">
        <is>
          <t>grams</t>
        </is>
      </c>
      <c r="AG631" s="151">
        <f>211*Average(AD626:AD634)</f>
        <v/>
      </c>
      <c r="AH631" s="151" t="n"/>
    </row>
    <row r="632">
      <c r="A632" s="151" t="inlineStr">
        <is>
          <t>FV0846A - Stroganoff-Style Beef Burger [DE]</t>
        </is>
      </c>
      <c r="B632" s="151" t="inlineStr">
        <is>
          <t>REC-029854-4-001</t>
        </is>
      </c>
      <c r="C632" s="151" t="inlineStr">
        <is>
          <t>Beef Burger Master EU</t>
        </is>
      </c>
      <c r="D632" s="151" t="inlineStr">
        <is>
          <t>SUB-031776-4-001</t>
        </is>
      </c>
      <c r="E632" s="150" t="n">
        <v>1</v>
      </c>
      <c r="F632" s="151" t="inlineStr">
        <is>
          <t>each</t>
        </is>
      </c>
      <c r="G632" s="151" t="inlineStr">
        <is>
          <t>BLAST CHILLER, HORIZONTAL MIXER, OVEN, PATTY MAKER</t>
        </is>
      </c>
      <c r="H632" s="151" t="inlineStr">
        <is>
          <t>Burger Patty</t>
        </is>
      </c>
      <c r="I632" s="151" t="inlineStr">
        <is>
          <t>SUB-031783-4-001</t>
        </is>
      </c>
      <c r="J632" s="150" t="n">
        <v>204</v>
      </c>
      <c r="K632" s="151" t="inlineStr">
        <is>
          <t>grams</t>
        </is>
      </c>
      <c r="L632" s="151" t="inlineStr">
        <is>
          <t>BLAST CHILLER, HORIZONTAL MIXER, OVEN, PATTY MAKER</t>
        </is>
      </c>
      <c r="M632" s="151" t="inlineStr">
        <is>
          <t>Cooked Burger Veggies</t>
        </is>
      </c>
      <c r="N632" s="151" t="inlineStr">
        <is>
          <t>SUB-031784-4-001</t>
        </is>
      </c>
      <c r="O632" s="150" t="n">
        <v>22.63</v>
      </c>
      <c r="P632" s="151" t="inlineStr">
        <is>
          <t>grams</t>
        </is>
      </c>
      <c r="Q632" s="151" t="inlineStr">
        <is>
          <t>BLAST CHILLER, BRAISER, SPICE PORTIONING</t>
        </is>
      </c>
      <c r="R632" s="151" t="n"/>
      <c r="S632" s="151" t="n"/>
      <c r="T632" s="151" t="n"/>
      <c r="U632" s="151" t="n"/>
      <c r="V632" s="151" t="n"/>
      <c r="W632" s="151" t="inlineStr">
        <is>
          <t>FA-DE Spice, Sea Salt /Gewürze, Meersalz</t>
        </is>
      </c>
      <c r="X632" s="151" t="inlineStr">
        <is>
          <t>SPI-00-139378-5</t>
        </is>
      </c>
      <c r="Y632" s="151" t="inlineStr">
        <is>
          <t>0,35</t>
        </is>
      </c>
      <c r="Z632" s="149" t="inlineStr">
        <is>
          <t>0,35</t>
        </is>
      </c>
      <c r="AA632" s="151" t="inlineStr">
        <is>
          <t>grams</t>
        </is>
      </c>
      <c r="AB632" s="151" t="n"/>
      <c r="AC632" s="151" t="n"/>
      <c r="AD632" s="150" t="n">
        <v>0.94991</v>
      </c>
      <c r="AE632" s="149" t="n">
        <v>0.35</v>
      </c>
      <c r="AF632" s="151" t="inlineStr">
        <is>
          <t>grams</t>
        </is>
      </c>
      <c r="AG632" s="151" t="n"/>
      <c r="AH632" s="151" t="n"/>
    </row>
    <row r="633">
      <c r="A633" s="151" t="inlineStr">
        <is>
          <t>FV0846A - Stroganoff-Style Beef Burger [DE]</t>
        </is>
      </c>
      <c r="B633" s="151" t="inlineStr">
        <is>
          <t>REC-029854-4-001</t>
        </is>
      </c>
      <c r="C633" s="151" t="inlineStr">
        <is>
          <t>Beef Burger Master EU</t>
        </is>
      </c>
      <c r="D633" s="151" t="inlineStr">
        <is>
          <t>SUB-031776-4-001</t>
        </is>
      </c>
      <c r="E633" s="150" t="n">
        <v>1</v>
      </c>
      <c r="F633" s="151" t="inlineStr">
        <is>
          <t>each</t>
        </is>
      </c>
      <c r="G633" s="151" t="inlineStr">
        <is>
          <t>BLAST CHILLER, HORIZONTAL MIXER, OVEN, PATTY MAKER</t>
        </is>
      </c>
      <c r="H633" s="151" t="inlineStr">
        <is>
          <t>Burger Patty</t>
        </is>
      </c>
      <c r="I633" s="151" t="inlineStr">
        <is>
          <t>SUB-031783-4-001</t>
        </is>
      </c>
      <c r="J633" s="150" t="n">
        <v>204</v>
      </c>
      <c r="K633" s="151" t="inlineStr">
        <is>
          <t>grams</t>
        </is>
      </c>
      <c r="L633" s="151" t="inlineStr">
        <is>
          <t>BLAST CHILLER, HORIZONTAL MIXER, OVEN, PATTY MAKER</t>
        </is>
      </c>
      <c r="M633" s="151" t="inlineStr">
        <is>
          <t>Burger Stock</t>
        </is>
      </c>
      <c r="N633" s="151" t="inlineStr">
        <is>
          <t>SUB-031810-4-001</t>
        </is>
      </c>
      <c r="O633" s="150" t="n">
        <v>17.61</v>
      </c>
      <c r="P633" s="151" t="inlineStr">
        <is>
          <t>grams</t>
        </is>
      </c>
      <c r="Q633" s="151" t="inlineStr">
        <is>
          <t>IMMERSION BLENDER</t>
        </is>
      </c>
      <c r="R633" s="151" t="n"/>
      <c r="S633" s="151" t="n"/>
      <c r="T633" s="151" t="n"/>
      <c r="U633" s="151" t="n"/>
      <c r="V633" s="151" t="n"/>
      <c r="W633" s="151" t="inlineStr">
        <is>
          <t>FA-DE Water / Wasser</t>
        </is>
      </c>
      <c r="X633" s="151" t="inlineStr">
        <is>
          <t>OTH-00-144038-5</t>
        </is>
      </c>
      <c r="Y633" s="155" t="inlineStr">
        <is>
          <t>16,07</t>
        </is>
      </c>
      <c r="Z633" s="149" t="inlineStr">
        <is>
          <t>16,07</t>
        </is>
      </c>
      <c r="AA633" s="151" t="inlineStr">
        <is>
          <t>grams</t>
        </is>
      </c>
      <c r="AB633" s="151" t="n"/>
      <c r="AC633" s="151" t="n"/>
      <c r="AD633" s="150" t="n">
        <v>0.98807</v>
      </c>
      <c r="AE633" s="149" t="n">
        <v>16.07</v>
      </c>
      <c r="AF633" s="151" t="inlineStr">
        <is>
          <t>grams</t>
        </is>
      </c>
      <c r="AG633" s="151" t="n"/>
      <c r="AH633" s="151" t="n"/>
    </row>
    <row r="634">
      <c r="A634" s="151" t="inlineStr">
        <is>
          <t>FV0846A - Stroganoff-Style Beef Burger [DE]</t>
        </is>
      </c>
      <c r="B634" s="151" t="inlineStr">
        <is>
          <t>REC-029854-4-001</t>
        </is>
      </c>
      <c r="C634" s="151" t="inlineStr">
        <is>
          <t>Beef Burger Master EU</t>
        </is>
      </c>
      <c r="D634" s="151" t="inlineStr">
        <is>
          <t>SUB-031776-4-001</t>
        </is>
      </c>
      <c r="E634" s="150" t="n">
        <v>1</v>
      </c>
      <c r="F634" s="151" t="inlineStr">
        <is>
          <t>each</t>
        </is>
      </c>
      <c r="G634" s="151" t="inlineStr">
        <is>
          <t>BLAST CHILLER, HORIZONTAL MIXER, OVEN, PATTY MAKER</t>
        </is>
      </c>
      <c r="H634" s="151" t="inlineStr">
        <is>
          <t>Burger Patty</t>
        </is>
      </c>
      <c r="I634" s="151" t="inlineStr">
        <is>
          <t>SUB-031783-4-001</t>
        </is>
      </c>
      <c r="J634" s="150" t="n">
        <v>204</v>
      </c>
      <c r="K634" s="151" t="inlineStr">
        <is>
          <t>grams</t>
        </is>
      </c>
      <c r="L634" s="151" t="inlineStr">
        <is>
          <t>BLAST CHILLER, HORIZONTAL MIXER, OVEN, PATTY MAKER</t>
        </is>
      </c>
      <c r="M634" s="151" t="inlineStr">
        <is>
          <t>Burger Stock</t>
        </is>
      </c>
      <c r="N634" s="151" t="inlineStr">
        <is>
          <t>SUB-031810-4-001</t>
        </is>
      </c>
      <c r="O634" s="150" t="n">
        <v>17.61</v>
      </c>
      <c r="P634" s="151" t="inlineStr">
        <is>
          <t>grams</t>
        </is>
      </c>
      <c r="Q634" s="151" t="inlineStr">
        <is>
          <t>IMMERSION BLENDER</t>
        </is>
      </c>
      <c r="R634" s="151" t="n"/>
      <c r="S634" s="151" t="n"/>
      <c r="T634" s="151" t="n"/>
      <c r="U634" s="151" t="n"/>
      <c r="V634" s="151" t="n"/>
      <c r="W634" s="151" t="inlineStr">
        <is>
          <t>FA-DE Stock, Chicken, Reduced/Brühe, Huhn, Reduziert</t>
        </is>
      </c>
      <c r="X634" s="151" t="inlineStr">
        <is>
          <t>PRO-00-139288-5</t>
        </is>
      </c>
      <c r="Y634" s="153" t="inlineStr">
        <is>
          <t>1,14</t>
        </is>
      </c>
      <c r="Z634" s="149" t="inlineStr">
        <is>
          <t>1,14</t>
        </is>
      </c>
      <c r="AA634" s="151" t="inlineStr">
        <is>
          <t>grams</t>
        </is>
      </c>
      <c r="AB634" s="151" t="n"/>
      <c r="AC634" s="151" t="n"/>
      <c r="AD634" s="150" t="n">
        <v>0.98807</v>
      </c>
      <c r="AE634" s="149" t="n">
        <v>1.14</v>
      </c>
      <c r="AF634" s="151" t="inlineStr">
        <is>
          <t>grams</t>
        </is>
      </c>
      <c r="AG634" s="151" t="n"/>
      <c r="AH634" s="151" t="n"/>
    </row>
    <row r="635">
      <c r="A635" s="151" t="inlineStr">
        <is>
          <t>FV0846A - Stroganoff-Style Beef Burger [DE]</t>
        </is>
      </c>
      <c r="B635" s="151" t="inlineStr">
        <is>
          <t>REC-029854-4-001</t>
        </is>
      </c>
      <c r="C635" s="151" t="inlineStr">
        <is>
          <t>Beef Burger Master EU</t>
        </is>
      </c>
      <c r="D635" s="151" t="inlineStr">
        <is>
          <t>SUB-031776-4-001</t>
        </is>
      </c>
      <c r="E635" s="150" t="n">
        <v>1</v>
      </c>
      <c r="F635" s="151" t="inlineStr">
        <is>
          <t>each</t>
        </is>
      </c>
      <c r="G635" s="151" t="inlineStr">
        <is>
          <t>BLAST CHILLER, HORIZONTAL MIXER, OVEN, PATTY MAKER</t>
        </is>
      </c>
      <c r="H635" s="151" t="inlineStr">
        <is>
          <t>Burger Patty</t>
        </is>
      </c>
      <c r="I635" s="151" t="inlineStr">
        <is>
          <t>SUB-031783-4-001</t>
        </is>
      </c>
      <c r="J635" s="150" t="n">
        <v>204</v>
      </c>
      <c r="K635" s="151" t="inlineStr">
        <is>
          <t>grams</t>
        </is>
      </c>
      <c r="L635" s="151" t="inlineStr">
        <is>
          <t>BLAST CHILLER, HORIZONTAL MIXER, OVEN, PATTY MAKER</t>
        </is>
      </c>
      <c r="M635" s="151" t="inlineStr">
        <is>
          <t>Burger Stock</t>
        </is>
      </c>
      <c r="N635" s="151" t="inlineStr">
        <is>
          <t>SUB-031810-4-001</t>
        </is>
      </c>
      <c r="O635" s="150" t="n">
        <v>17.61</v>
      </c>
      <c r="P635" s="151" t="inlineStr">
        <is>
          <t>grams</t>
        </is>
      </c>
      <c r="Q635" s="151" t="inlineStr">
        <is>
          <t>IMMERSION BLENDER</t>
        </is>
      </c>
      <c r="R635" s="151" t="n"/>
      <c r="S635" s="151" t="n"/>
      <c r="T635" s="151" t="n"/>
      <c r="U635" s="151" t="n"/>
      <c r="V635" s="151" t="n"/>
      <c r="W635" s="151" t="inlineStr">
        <is>
          <t>FA-DE Spice, Sea Salt /Gewürze, Meersalz</t>
        </is>
      </c>
      <c r="X635" s="151" t="inlineStr">
        <is>
          <t>SPI-00-139378-5</t>
        </is>
      </c>
      <c r="Y635" s="151" t="inlineStr">
        <is>
          <t>0,61</t>
        </is>
      </c>
      <c r="Z635" s="149" t="inlineStr">
        <is>
          <t>0,61</t>
        </is>
      </c>
      <c r="AA635" s="151" t="inlineStr">
        <is>
          <t>grams</t>
        </is>
      </c>
      <c r="AB635" s="151" t="n"/>
      <c r="AC635" s="151" t="n"/>
      <c r="AD635" s="150" t="n">
        <v>0.98807</v>
      </c>
      <c r="AE635" s="149" t="n">
        <v>0.61</v>
      </c>
      <c r="AF635" s="151" t="inlineStr">
        <is>
          <t>grams</t>
        </is>
      </c>
      <c r="AG635" s="151" t="n"/>
      <c r="AH635" s="151" t="n"/>
    </row>
    <row r="636">
      <c r="A636" s="151" t="inlineStr">
        <is>
          <t>FV0846A - Stroganoff-Style Beef Burger [DE]</t>
        </is>
      </c>
      <c r="B636" s="151" t="inlineStr">
        <is>
          <t>REC-029854-4-001</t>
        </is>
      </c>
      <c r="C636" s="151" t="inlineStr">
        <is>
          <t>Roasted Green Onions</t>
        </is>
      </c>
      <c r="D636" s="151" t="inlineStr">
        <is>
          <t>SUB-023370-4-001</t>
        </is>
      </c>
      <c r="E636" s="150" t="n">
        <v>5</v>
      </c>
      <c r="F636" s="151" t="inlineStr">
        <is>
          <t>grams</t>
        </is>
      </c>
      <c r="G636" s="151" t="inlineStr">
        <is>
          <t>BLAST CHILLER, OVEN</t>
        </is>
      </c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inlineStr">
        <is>
          <t>FA-DE Onion, Green, Sliced 5mm /Zwiebel, grün, in Scheiben geschnitten, 5 mm</t>
        </is>
      </c>
      <c r="X636" s="151" t="inlineStr">
        <is>
          <t>PHF-00-149803-3</t>
        </is>
      </c>
      <c r="Y636" s="151" t="inlineStr">
        <is>
          <t>5,88</t>
        </is>
      </c>
      <c r="Z636" s="149" t="inlineStr">
        <is>
          <t>5,88</t>
        </is>
      </c>
      <c r="AA636" s="151" t="inlineStr">
        <is>
          <t>grams</t>
        </is>
      </c>
      <c r="AB636" s="151" t="n"/>
      <c r="AC636" s="151" t="n"/>
      <c r="AD636" s="150" t="n">
        <v>0.85</v>
      </c>
      <c r="AE636" s="149" t="n">
        <v>5.88</v>
      </c>
      <c r="AF636" s="151" t="inlineStr">
        <is>
          <t>grams</t>
        </is>
      </c>
      <c r="AG636" s="151" t="n"/>
      <c r="AH636" s="151" t="n"/>
    </row>
    <row r="637">
      <c r="A637" s="151" t="inlineStr">
        <is>
          <t>FV0846A - Stroganoff-Style Beef Burger [DE]</t>
        </is>
      </c>
      <c r="B637" s="151" t="inlineStr">
        <is>
          <t>REC-029854-4-001</t>
        </is>
      </c>
      <c r="C637" s="151" t="inlineStr">
        <is>
          <t>Green Beans CUT 1-1/2 - Fresh - Less Salt</t>
        </is>
      </c>
      <c r="D637" s="151" t="inlineStr">
        <is>
          <t>SUB-029004-4-001</t>
        </is>
      </c>
      <c r="E637" s="150" t="n">
        <v>50</v>
      </c>
      <c r="F637" s="151" t="inlineStr">
        <is>
          <t>grams</t>
        </is>
      </c>
      <c r="G637" s="151" t="inlineStr">
        <is>
          <t>BLAST CHILLER, OVEN</t>
        </is>
      </c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inlineStr">
        <is>
          <t>FA-DE Green Beans, Fresh and Trimmed/Grüne Bohnen, frisch und geschnitten</t>
        </is>
      </c>
      <c r="X637" s="151" t="inlineStr">
        <is>
          <t>PHF-00-139198-3</t>
        </is>
      </c>
      <c r="Y637" s="151" t="inlineStr">
        <is>
          <t>64,19</t>
        </is>
      </c>
      <c r="Z637" s="149" t="inlineStr">
        <is>
          <t>64,19</t>
        </is>
      </c>
      <c r="AA637" s="151" t="inlineStr">
        <is>
          <t>grams</t>
        </is>
      </c>
      <c r="AB637" s="151" t="n"/>
      <c r="AC637" s="151" t="n"/>
      <c r="AD637" s="150" t="n">
        <v>0.73433</v>
      </c>
      <c r="AE637" s="149" t="n">
        <v>64.19</v>
      </c>
      <c r="AF637" s="151" t="inlineStr">
        <is>
          <t>grams</t>
        </is>
      </c>
      <c r="AG637" s="151" t="n"/>
      <c r="AH637" s="151" t="n"/>
    </row>
    <row r="638">
      <c r="A638" s="151" t="inlineStr">
        <is>
          <t>FV0846A - Stroganoff-Style Beef Burger [DE]</t>
        </is>
      </c>
      <c r="B638" s="151" t="inlineStr">
        <is>
          <t>REC-029854-4-001</t>
        </is>
      </c>
      <c r="C638" s="151" t="inlineStr">
        <is>
          <t>Green Beans CUT 1-1/2 - Fresh - Less Salt</t>
        </is>
      </c>
      <c r="D638" s="151" t="inlineStr">
        <is>
          <t>SUB-029004-4-001</t>
        </is>
      </c>
      <c r="E638" s="150" t="n">
        <v>50</v>
      </c>
      <c r="F638" s="151" t="inlineStr">
        <is>
          <t>grams</t>
        </is>
      </c>
      <c r="G638" s="151" t="inlineStr">
        <is>
          <t>BLAST CHILLER, OVEN</t>
        </is>
      </c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inlineStr">
        <is>
          <t>FA-DE Oil, Olive /Öl, Olivenöl</t>
        </is>
      </c>
      <c r="X638" s="151" t="inlineStr">
        <is>
          <t>PRO-00-139277-5</t>
        </is>
      </c>
      <c r="Y638" s="151" t="inlineStr">
        <is>
          <t>3,28</t>
        </is>
      </c>
      <c r="Z638" s="149" t="inlineStr">
        <is>
          <t>3,28</t>
        </is>
      </c>
      <c r="AA638" s="151" t="inlineStr">
        <is>
          <t>grams</t>
        </is>
      </c>
      <c r="AB638" s="151" t="n"/>
      <c r="AC638" s="151" t="n"/>
      <c r="AD638" s="150" t="n">
        <v>0.73433</v>
      </c>
      <c r="AE638" s="149" t="n">
        <v>3.28</v>
      </c>
      <c r="AF638" s="151" t="inlineStr">
        <is>
          <t>grams</t>
        </is>
      </c>
      <c r="AG638" s="151" t="n"/>
      <c r="AH638" s="151" t="n"/>
    </row>
    <row r="639">
      <c r="A639" s="151" t="inlineStr">
        <is>
          <t>FV0846A - Stroganoff-Style Beef Burger [DE]</t>
        </is>
      </c>
      <c r="B639" s="151" t="inlineStr">
        <is>
          <t>REC-029854-4-001</t>
        </is>
      </c>
      <c r="C639" s="151" t="inlineStr">
        <is>
          <t>Green Beans CUT 1-1/2 - Fresh - Less Salt</t>
        </is>
      </c>
      <c r="D639" s="151" t="inlineStr">
        <is>
          <t>SUB-029004-4-001</t>
        </is>
      </c>
      <c r="E639" s="150" t="n">
        <v>50</v>
      </c>
      <c r="F639" s="151" t="inlineStr">
        <is>
          <t>grams</t>
        </is>
      </c>
      <c r="G639" s="151" t="inlineStr">
        <is>
          <t>BLAST CHILLER, OVEN</t>
        </is>
      </c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inlineStr">
        <is>
          <t>FA-DE Spice, Sea Salt /Gewürze, Meersalz</t>
        </is>
      </c>
      <c r="X639" s="151" t="inlineStr">
        <is>
          <t>SPI-00-139378-5</t>
        </is>
      </c>
      <c r="Y639" s="151" t="inlineStr">
        <is>
          <t>0,27</t>
        </is>
      </c>
      <c r="Z639" s="149" t="inlineStr">
        <is>
          <t>0,27</t>
        </is>
      </c>
      <c r="AA639" s="151" t="inlineStr">
        <is>
          <t>grams</t>
        </is>
      </c>
      <c r="AB639" s="151" t="n"/>
      <c r="AC639" s="151" t="n"/>
      <c r="AD639" s="150" t="n">
        <v>0.73433</v>
      </c>
      <c r="AE639" s="149" t="n">
        <v>0.27</v>
      </c>
      <c r="AF639" s="151" t="inlineStr">
        <is>
          <t>grams</t>
        </is>
      </c>
      <c r="AG639" s="151" t="n"/>
      <c r="AH639" s="151" t="n"/>
    </row>
    <row r="640">
      <c r="A640" s="151" t="inlineStr">
        <is>
          <t>FV0846A - Stroganoff-Style Beef Burger [DE]</t>
        </is>
      </c>
      <c r="B640" s="151" t="inlineStr">
        <is>
          <t>REC-029854-4-001</t>
        </is>
      </c>
      <c r="C640" s="151" t="inlineStr">
        <is>
          <t>Green Beans CUT 1-1/2 - Fresh - Less Salt</t>
        </is>
      </c>
      <c r="D640" s="151" t="inlineStr">
        <is>
          <t>SUB-029004-4-001</t>
        </is>
      </c>
      <c r="E640" s="150" t="n">
        <v>50</v>
      </c>
      <c r="F640" s="151" t="inlineStr">
        <is>
          <t>grams</t>
        </is>
      </c>
      <c r="G640" s="151" t="inlineStr">
        <is>
          <t>BLAST CHILLER, OVEN</t>
        </is>
      </c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inlineStr">
        <is>
          <t>FA-DE Spice, Black Pepper, Ground /Gewürz, schwarzer Pfeffer, gemahlen</t>
        </is>
      </c>
      <c r="X640" s="151" t="inlineStr">
        <is>
          <t>SPI-00-139334-5</t>
        </is>
      </c>
      <c r="Y640" s="151" t="inlineStr">
        <is>
          <t>0,09</t>
        </is>
      </c>
      <c r="Z640" s="149" t="inlineStr">
        <is>
          <t>0,09</t>
        </is>
      </c>
      <c r="AA640" s="151" t="inlineStr">
        <is>
          <t>grams</t>
        </is>
      </c>
      <c r="AB640" s="151" t="n"/>
      <c r="AC640" s="151" t="n"/>
      <c r="AD640" s="150" t="n">
        <v>0.73433</v>
      </c>
      <c r="AE640" s="149" t="n">
        <v>0.09</v>
      </c>
      <c r="AF640" s="151" t="inlineStr">
        <is>
          <t>grams</t>
        </is>
      </c>
      <c r="AG640" s="151" t="n"/>
      <c r="AH640" s="151" t="n"/>
    </row>
    <row r="641">
      <c r="A641" s="151" t="inlineStr">
        <is>
          <t>FV0846A - Stroganoff-Style Beef Burger [DE]</t>
        </is>
      </c>
      <c r="B641" s="151" t="inlineStr">
        <is>
          <t>REC-029854-4-001</t>
        </is>
      </c>
      <c r="C641" s="151" t="inlineStr">
        <is>
          <t>Green Beans CUT 1-1/2 - Fresh - Less Salt</t>
        </is>
      </c>
      <c r="D641" s="151" t="inlineStr">
        <is>
          <t>SUB-029004-4-001</t>
        </is>
      </c>
      <c r="E641" s="150" t="n">
        <v>50</v>
      </c>
      <c r="F641" s="151" t="inlineStr">
        <is>
          <t>grams</t>
        </is>
      </c>
      <c r="G641" s="151" t="inlineStr">
        <is>
          <t>BLAST CHILLER, OVEN</t>
        </is>
      </c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inlineStr">
        <is>
          <t>FA-DE Spice, Garlic Granulated /Gewürz, Knoblauch granuliert</t>
        </is>
      </c>
      <c r="X641" s="151" t="inlineStr">
        <is>
          <t>SPI-00-139353-5</t>
        </is>
      </c>
      <c r="Y641" s="151" t="inlineStr">
        <is>
          <t>0,27</t>
        </is>
      </c>
      <c r="Z641" s="149" t="inlineStr">
        <is>
          <t>0,27</t>
        </is>
      </c>
      <c r="AA641" s="151" t="inlineStr">
        <is>
          <t>grams</t>
        </is>
      </c>
      <c r="AB641" s="151" t="n"/>
      <c r="AC641" s="151" t="n"/>
      <c r="AD641" s="150" t="n">
        <v>0.73433</v>
      </c>
      <c r="AE641" s="149" t="n">
        <v>0.27</v>
      </c>
      <c r="AF641" s="151" t="inlineStr">
        <is>
          <t>grams</t>
        </is>
      </c>
      <c r="AG641" s="151" t="n"/>
      <c r="AH641" s="151" t="n"/>
    </row>
    <row r="642">
      <c r="A642" s="151" t="inlineStr">
        <is>
          <t>FV0846A - Stroganoff-Style Beef Burger [DE]</t>
        </is>
      </c>
      <c r="B642" s="151" t="inlineStr">
        <is>
          <t>REC-029854-4-001</t>
        </is>
      </c>
      <c r="C642" s="151" t="inlineStr">
        <is>
          <t>Loaded Roasted Sliced Mushrooms 1/2 green onion</t>
        </is>
      </c>
      <c r="D642" s="151" t="inlineStr">
        <is>
          <t>SUB-029969-4-001</t>
        </is>
      </c>
      <c r="E642" s="150" t="n">
        <v>50</v>
      </c>
      <c r="F642" s="151" t="inlineStr">
        <is>
          <t>grams</t>
        </is>
      </c>
      <c r="G642" s="151" t="inlineStr">
        <is>
          <t>BLAST CHILLER, OVEN</t>
        </is>
      </c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inlineStr">
        <is>
          <t>FA-DE Mushroom, Button, Sliced, Washed /Pilz, Knopf, geschnitten, gewaschen</t>
        </is>
      </c>
      <c r="X642" s="151" t="inlineStr">
        <is>
          <t>PHF-00-139206-3</t>
        </is>
      </c>
      <c r="Y642" s="151" t="inlineStr">
        <is>
          <t>67,6</t>
        </is>
      </c>
      <c r="Z642" s="149" t="inlineStr">
        <is>
          <t>67,6</t>
        </is>
      </c>
      <c r="AA642" s="151" t="inlineStr">
        <is>
          <t>grams</t>
        </is>
      </c>
      <c r="AB642" s="151" t="n"/>
      <c r="AC642" s="151" t="n"/>
      <c r="AD642" s="150" t="n">
        <v>0.59865</v>
      </c>
      <c r="AE642" s="149" t="n">
        <v>67.59999999999999</v>
      </c>
      <c r="AF642" s="151" t="inlineStr">
        <is>
          <t>grams</t>
        </is>
      </c>
      <c r="AG642" s="151" t="n"/>
      <c r="AH642" s="151" t="n"/>
    </row>
    <row r="643">
      <c r="A643" s="151" t="inlineStr">
        <is>
          <t>FV0846A - Stroganoff-Style Beef Burger [DE]</t>
        </is>
      </c>
      <c r="B643" s="151" t="inlineStr">
        <is>
          <t>REC-029854-4-001</t>
        </is>
      </c>
      <c r="C643" s="151" t="inlineStr">
        <is>
          <t>Loaded Roasted Sliced Mushrooms 1/2 green onion</t>
        </is>
      </c>
      <c r="D643" s="151" t="inlineStr">
        <is>
          <t>SUB-029969-4-001</t>
        </is>
      </c>
      <c r="E643" s="150" t="n">
        <v>50</v>
      </c>
      <c r="F643" s="151" t="inlineStr">
        <is>
          <t>grams</t>
        </is>
      </c>
      <c r="G643" s="151" t="inlineStr">
        <is>
          <t>BLAST CHILLER, OVEN</t>
        </is>
      </c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inlineStr">
        <is>
          <t>FA-DE Onion, Green, Sliced 5mm /Zwiebel, grün, in Scheiben geschnitten, 5 mm</t>
        </is>
      </c>
      <c r="X643" s="151" t="inlineStr">
        <is>
          <t>PHF-00-149803-3</t>
        </is>
      </c>
      <c r="Y643" s="151" t="inlineStr">
        <is>
          <t>1,69</t>
        </is>
      </c>
      <c r="Z643" s="149" t="inlineStr">
        <is>
          <t>1,69</t>
        </is>
      </c>
      <c r="AA643" s="151" t="inlineStr">
        <is>
          <t>grams</t>
        </is>
      </c>
      <c r="AB643" s="151" t="n"/>
      <c r="AC643" s="151" t="n"/>
      <c r="AD643" s="150" t="n">
        <v>0.59865</v>
      </c>
      <c r="AE643" s="149" t="n">
        <v>1.69</v>
      </c>
      <c r="AF643" s="151" t="inlineStr">
        <is>
          <t>grams</t>
        </is>
      </c>
      <c r="AG643" s="151" t="n"/>
      <c r="AH643" s="151" t="n"/>
    </row>
    <row r="644">
      <c r="A644" s="151" t="inlineStr">
        <is>
          <t>FV0846A - Stroganoff-Style Beef Burger [DE]</t>
        </is>
      </c>
      <c r="B644" s="151" t="inlineStr">
        <is>
          <t>REC-029854-4-001</t>
        </is>
      </c>
      <c r="C644" s="151" t="inlineStr">
        <is>
          <t>Loaded Roasted Sliced Mushrooms 1/2 green onion</t>
        </is>
      </c>
      <c r="D644" s="151" t="inlineStr">
        <is>
          <t>SUB-029969-4-001</t>
        </is>
      </c>
      <c r="E644" s="150" t="n">
        <v>50</v>
      </c>
      <c r="F644" s="151" t="inlineStr">
        <is>
          <t>grams</t>
        </is>
      </c>
      <c r="G644" s="151" t="inlineStr">
        <is>
          <t>BLAST CHILLER, OVEN</t>
        </is>
      </c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inlineStr">
        <is>
          <t>FA-DE Garlic, IQF, Diced 4 mm /Knoblauch, IQF, gewürfelt 4 mm</t>
        </is>
      </c>
      <c r="X644" s="151" t="inlineStr">
        <is>
          <t>PHF-00-139237-1</t>
        </is>
      </c>
      <c r="Y644" s="151" t="inlineStr">
        <is>
          <t>3,16</t>
        </is>
      </c>
      <c r="Z644" s="149" t="inlineStr">
        <is>
          <t>3,16</t>
        </is>
      </c>
      <c r="AA644" s="151" t="inlineStr">
        <is>
          <t>grams</t>
        </is>
      </c>
      <c r="AB644" s="151" t="inlineStr">
        <is>
          <t>SCHWEFELDIOXIDE UND SULFITE</t>
        </is>
      </c>
      <c r="AC644" s="151" t="n"/>
      <c r="AD644" s="150" t="n">
        <v>0.59865</v>
      </c>
      <c r="AE644" s="149" t="n">
        <v>3.16</v>
      </c>
      <c r="AF644" s="151" t="inlineStr">
        <is>
          <t>grams</t>
        </is>
      </c>
      <c r="AG644" s="151" t="n"/>
      <c r="AH644" s="151" t="n"/>
    </row>
    <row r="645">
      <c r="A645" s="151" t="inlineStr">
        <is>
          <t>FV0846A - Stroganoff-Style Beef Burger [DE]</t>
        </is>
      </c>
      <c r="B645" s="151" t="inlineStr">
        <is>
          <t>REC-029854-4-001</t>
        </is>
      </c>
      <c r="C645" s="151" t="inlineStr">
        <is>
          <t>Loaded Roasted Sliced Mushrooms 1/2 green onion</t>
        </is>
      </c>
      <c r="D645" s="151" t="inlineStr">
        <is>
          <t>SUB-029969-4-001</t>
        </is>
      </c>
      <c r="E645" s="150" t="n">
        <v>50</v>
      </c>
      <c r="F645" s="151" t="inlineStr">
        <is>
          <t>grams</t>
        </is>
      </c>
      <c r="G645" s="151" t="inlineStr">
        <is>
          <t>BLAST CHILLER, OVEN</t>
        </is>
      </c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inlineStr">
        <is>
          <t>FA-DE Oil, Olive /Öl, Olivenöl</t>
        </is>
      </c>
      <c r="X645" s="151" t="inlineStr">
        <is>
          <t>PRO-00-139277-5</t>
        </is>
      </c>
      <c r="Y645" s="151" t="inlineStr">
        <is>
          <t>10,56</t>
        </is>
      </c>
      <c r="Z645" s="149" t="inlineStr">
        <is>
          <t>10,56</t>
        </is>
      </c>
      <c r="AA645" s="151" t="inlineStr">
        <is>
          <t>grams</t>
        </is>
      </c>
      <c r="AB645" s="151" t="n"/>
      <c r="AC645" s="151" t="n"/>
      <c r="AD645" s="150" t="n">
        <v>0.59865</v>
      </c>
      <c r="AE645" s="149" t="n">
        <v>10.56</v>
      </c>
      <c r="AF645" s="151" t="inlineStr">
        <is>
          <t>grams</t>
        </is>
      </c>
      <c r="AG645" s="151" t="n"/>
      <c r="AH645" s="151" t="n"/>
    </row>
    <row r="646">
      <c r="A646" s="151" t="inlineStr">
        <is>
          <t>FV0846A - Stroganoff-Style Beef Burger [DE]</t>
        </is>
      </c>
      <c r="B646" s="151" t="inlineStr">
        <is>
          <t>REC-029854-4-001</t>
        </is>
      </c>
      <c r="C646" s="151" t="inlineStr">
        <is>
          <t>Loaded Roasted Sliced Mushrooms 1/2 green onion</t>
        </is>
      </c>
      <c r="D646" s="151" t="inlineStr">
        <is>
          <t>SUB-029969-4-001</t>
        </is>
      </c>
      <c r="E646" s="150" t="n">
        <v>50</v>
      </c>
      <c r="F646" s="151" t="inlineStr">
        <is>
          <t>grams</t>
        </is>
      </c>
      <c r="G646" s="151" t="inlineStr">
        <is>
          <t>BLAST CHILLER, OVEN</t>
        </is>
      </c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inlineStr">
        <is>
          <t>FA-DE Spice, Sea Salt /Gewürze, Meersalz</t>
        </is>
      </c>
      <c r="X646" s="151" t="inlineStr">
        <is>
          <t>SPI-00-139378-5</t>
        </is>
      </c>
      <c r="Y646" s="151" t="inlineStr">
        <is>
          <t>0,26</t>
        </is>
      </c>
      <c r="Z646" s="149" t="inlineStr">
        <is>
          <t>0,26</t>
        </is>
      </c>
      <c r="AA646" s="151" t="inlineStr">
        <is>
          <t>grams</t>
        </is>
      </c>
      <c r="AB646" s="151" t="n"/>
      <c r="AC646" s="151" t="n"/>
      <c r="AD646" s="150" t="n">
        <v>0.59865</v>
      </c>
      <c r="AE646" s="149" t="n">
        <v>0.26</v>
      </c>
      <c r="AF646" s="151" t="inlineStr">
        <is>
          <t>grams</t>
        </is>
      </c>
      <c r="AG646" s="151" t="n"/>
      <c r="AH646" s="151" t="n"/>
    </row>
    <row r="647">
      <c r="A647" s="151" t="inlineStr">
        <is>
          <t>FV0846A - Stroganoff-Style Beef Burger [DE]</t>
        </is>
      </c>
      <c r="B647" s="151" t="inlineStr">
        <is>
          <t>REC-029854-4-001</t>
        </is>
      </c>
      <c r="C647" s="151" t="inlineStr">
        <is>
          <t>Loaded Roasted Sliced Mushrooms 1/2 green onion</t>
        </is>
      </c>
      <c r="D647" s="151" t="inlineStr">
        <is>
          <t>SUB-029969-4-001</t>
        </is>
      </c>
      <c r="E647" s="150" t="n">
        <v>50</v>
      </c>
      <c r="F647" s="151" t="inlineStr">
        <is>
          <t>grams</t>
        </is>
      </c>
      <c r="G647" s="151" t="inlineStr">
        <is>
          <t>BLAST CHILLER, OVEN</t>
        </is>
      </c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inlineStr">
        <is>
          <t>FA-DE Thyme, IQF /Thymian, IQF</t>
        </is>
      </c>
      <c r="X647" s="151" t="inlineStr">
        <is>
          <t>PHF-00-139244-1</t>
        </is>
      </c>
      <c r="Y647" s="151" t="inlineStr">
        <is>
          <t>0,08</t>
        </is>
      </c>
      <c r="Z647" s="149" t="inlineStr">
        <is>
          <t>0,08</t>
        </is>
      </c>
      <c r="AA647" s="151" t="inlineStr">
        <is>
          <t>grams</t>
        </is>
      </c>
      <c r="AB647" s="151" t="n"/>
      <c r="AC647" s="151" t="n"/>
      <c r="AD647" s="150" t="n">
        <v>0.59865</v>
      </c>
      <c r="AE647" s="149" t="n">
        <v>0.08</v>
      </c>
      <c r="AF647" s="151" t="inlineStr">
        <is>
          <t>grams</t>
        </is>
      </c>
      <c r="AG647" s="151" t="n"/>
      <c r="AH647" s="151" t="n"/>
    </row>
    <row r="648">
      <c r="A648" s="151" t="inlineStr">
        <is>
          <t>FV0846A - Stroganoff-Style Beef Burger [DE]</t>
        </is>
      </c>
      <c r="B648" s="151" t="inlineStr">
        <is>
          <t>REC-029854-4-001</t>
        </is>
      </c>
      <c r="C648" s="151" t="inlineStr">
        <is>
          <t>Loaded Roasted Sliced Mushrooms 1/2 green onion</t>
        </is>
      </c>
      <c r="D648" s="151" t="inlineStr">
        <is>
          <t>SUB-029969-4-001</t>
        </is>
      </c>
      <c r="E648" s="150" t="n">
        <v>50</v>
      </c>
      <c r="F648" s="151" t="inlineStr">
        <is>
          <t>grams</t>
        </is>
      </c>
      <c r="G648" s="151" t="inlineStr">
        <is>
          <t>BLAST CHILLER, OVEN</t>
        </is>
      </c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inlineStr">
        <is>
          <t>FA-DE Spice, Dill Dried /Gewürz, Dill getrocknet</t>
        </is>
      </c>
      <c r="X648" s="151" t="inlineStr">
        <is>
          <t>SPI-00-139349-5</t>
        </is>
      </c>
      <c r="Y648" s="151" t="inlineStr">
        <is>
          <t>0,1</t>
        </is>
      </c>
      <c r="Z648" s="149" t="inlineStr">
        <is>
          <t>0,1</t>
        </is>
      </c>
      <c r="AA648" s="151" t="inlineStr">
        <is>
          <t>grams</t>
        </is>
      </c>
      <c r="AB648" s="151" t="n"/>
      <c r="AC648" s="151" t="n"/>
      <c r="AD648" s="150" t="n">
        <v>0.59865</v>
      </c>
      <c r="AE648" s="149" t="n">
        <v>0.1</v>
      </c>
      <c r="AF648" s="151" t="inlineStr">
        <is>
          <t>grams</t>
        </is>
      </c>
      <c r="AG648" s="151" t="n"/>
      <c r="AH648" s="151" t="n"/>
    </row>
    <row r="649">
      <c r="A649" s="151" t="inlineStr">
        <is>
          <t>FV0846A - Stroganoff-Style Beef Burger [DE]</t>
        </is>
      </c>
      <c r="B649" s="151" t="inlineStr">
        <is>
          <t>REC-029854-4-001</t>
        </is>
      </c>
      <c r="C649" s="151" t="inlineStr">
        <is>
          <t>Loaded Roasted Sliced Mushrooms 1/2 green onion</t>
        </is>
      </c>
      <c r="D649" s="151" t="inlineStr">
        <is>
          <t>SUB-029969-4-001</t>
        </is>
      </c>
      <c r="E649" s="150" t="n">
        <v>50</v>
      </c>
      <c r="F649" s="151" t="inlineStr">
        <is>
          <t>grams</t>
        </is>
      </c>
      <c r="G649" s="151" t="inlineStr">
        <is>
          <t>BLAST CHILLER, OVEN</t>
        </is>
      </c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inlineStr">
        <is>
          <t>FA-DE Spice, Black Pepper, Ground /Gewürz, schwarzer Pfeffer, gemahlen</t>
        </is>
      </c>
      <c r="X649" s="151" t="inlineStr">
        <is>
          <t>SPI-00-139334-5</t>
        </is>
      </c>
      <c r="Y649" s="151" t="inlineStr">
        <is>
          <t>0,06</t>
        </is>
      </c>
      <c r="Z649" s="149" t="inlineStr">
        <is>
          <t>0,06</t>
        </is>
      </c>
      <c r="AA649" s="151" t="inlineStr">
        <is>
          <t>grams</t>
        </is>
      </c>
      <c r="AB649" s="151" t="n"/>
      <c r="AC649" s="151" t="n"/>
      <c r="AD649" s="150" t="n">
        <v>0.59865</v>
      </c>
      <c r="AE649" s="149" t="n">
        <v>0.06</v>
      </c>
      <c r="AF649" s="151" t="inlineStr">
        <is>
          <t>grams</t>
        </is>
      </c>
      <c r="AG649" s="151" t="n"/>
      <c r="AH649" s="151" t="n"/>
    </row>
    <row r="650">
      <c r="A650" s="151" t="inlineStr">
        <is>
          <t>FV0846A - Stroganoff-Style Beef Burger [DE]</t>
        </is>
      </c>
      <c r="B650" s="151" t="inlineStr">
        <is>
          <t>REC-029854-4-001</t>
        </is>
      </c>
      <c r="C650" s="151" t="inlineStr">
        <is>
          <t>Herb-Parmesan Butter</t>
        </is>
      </c>
      <c r="D650" s="151" t="inlineStr">
        <is>
          <t>SUB-029972-4-001</t>
        </is>
      </c>
      <c r="E650" s="150" t="n">
        <v>12</v>
      </c>
      <c r="F650" s="151" t="inlineStr">
        <is>
          <t>grams</t>
        </is>
      </c>
      <c r="G650" s="151" t="inlineStr">
        <is>
          <t>BLAST CHILLER, PLANETARY MIXER, SCOOPER (BUTTER)</t>
        </is>
      </c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inlineStr">
        <is>
          <t>FA-DE Butter, Unsalted /Butter, ungesalzen</t>
        </is>
      </c>
      <c r="X650" s="151" t="inlineStr">
        <is>
          <t>DAI-00-139146-3</t>
        </is>
      </c>
      <c r="Y650" s="151" t="inlineStr">
        <is>
          <t>11,56</t>
        </is>
      </c>
      <c r="Z650" s="149" t="inlineStr">
        <is>
          <t>11,56</t>
        </is>
      </c>
      <c r="AA650" s="151" t="inlineStr">
        <is>
          <t>grams</t>
        </is>
      </c>
      <c r="AB650" s="151" t="inlineStr">
        <is>
          <t>MILCH (EINSCHLIESSLICH LAKTOSE)</t>
        </is>
      </c>
      <c r="AC650" s="151" t="n"/>
      <c r="AD650" s="150" t="n">
        <v>0.9206299999999999</v>
      </c>
      <c r="AE650" s="149" t="n">
        <v>11.56</v>
      </c>
      <c r="AF650" s="151" t="inlineStr">
        <is>
          <t>grams</t>
        </is>
      </c>
      <c r="AG650" s="151" t="n"/>
      <c r="AH650" s="151" t="n"/>
    </row>
    <row r="651">
      <c r="A651" s="151" t="inlineStr">
        <is>
          <t>FV0846A - Stroganoff-Style Beef Burger [DE]</t>
        </is>
      </c>
      <c r="B651" s="151" t="inlineStr">
        <is>
          <t>REC-029854-4-001</t>
        </is>
      </c>
      <c r="C651" s="151" t="inlineStr">
        <is>
          <t>Herb-Parmesan Butter</t>
        </is>
      </c>
      <c r="D651" s="151" t="inlineStr">
        <is>
          <t>SUB-029972-4-001</t>
        </is>
      </c>
      <c r="E651" s="150" t="n">
        <v>12</v>
      </c>
      <c r="F651" s="151" t="inlineStr">
        <is>
          <t>grams</t>
        </is>
      </c>
      <c r="G651" s="151" t="inlineStr">
        <is>
          <t>BLAST CHILLER, PLANETARY MIXER, SCOOPER (BUTTER)</t>
        </is>
      </c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inlineStr">
        <is>
          <t>FA-DE Cheese, Parmesan, Grated /Käse, Parmesan, gerieben</t>
        </is>
      </c>
      <c r="X651" s="151" t="inlineStr">
        <is>
          <t>DAI-00-139127-3</t>
        </is>
      </c>
      <c r="Y651" s="153" t="inlineStr">
        <is>
          <t>1,16</t>
        </is>
      </c>
      <c r="Z651" s="149" t="inlineStr">
        <is>
          <t>1,16</t>
        </is>
      </c>
      <c r="AA651" s="151" t="inlineStr">
        <is>
          <t>grams</t>
        </is>
      </c>
      <c r="AB651" s="151" t="inlineStr">
        <is>
          <t>MILCH (EINSCHLIESSLICH LAKTOSE)</t>
        </is>
      </c>
      <c r="AC651" s="151" t="n"/>
      <c r="AD651" s="150" t="n">
        <v>0.9206299999999999</v>
      </c>
      <c r="AE651" s="149" t="n">
        <v>1.16</v>
      </c>
      <c r="AF651" s="151" t="inlineStr">
        <is>
          <t>grams</t>
        </is>
      </c>
      <c r="AG651" s="151" t="n"/>
      <c r="AH651" s="151" t="n"/>
    </row>
    <row r="652">
      <c r="A652" s="151" t="inlineStr">
        <is>
          <t>FV0846A - Stroganoff-Style Beef Burger [DE]</t>
        </is>
      </c>
      <c r="B652" s="151" t="inlineStr">
        <is>
          <t>REC-029854-4-001</t>
        </is>
      </c>
      <c r="C652" s="151" t="inlineStr">
        <is>
          <t>Herb-Parmesan Butter</t>
        </is>
      </c>
      <c r="D652" s="151" t="inlineStr">
        <is>
          <t>SUB-029972-4-001</t>
        </is>
      </c>
      <c r="E652" s="150" t="n">
        <v>12</v>
      </c>
      <c r="F652" s="151" t="inlineStr">
        <is>
          <t>grams</t>
        </is>
      </c>
      <c r="G652" s="151" t="inlineStr">
        <is>
          <t>BLAST CHILLER, PLANETARY MIXER, SCOOPER (BUTTER)</t>
        </is>
      </c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inlineStr">
        <is>
          <t>FA-DE Spice, White Pepper /Gewürz, weißer Pfeffer</t>
        </is>
      </c>
      <c r="X652" s="151" t="inlineStr">
        <is>
          <t>SPI-00-139387-5</t>
        </is>
      </c>
      <c r="Y652" s="151" t="inlineStr">
        <is>
          <t>0,11</t>
        </is>
      </c>
      <c r="Z652" s="149" t="inlineStr">
        <is>
          <t>0,11</t>
        </is>
      </c>
      <c r="AA652" s="151" t="inlineStr">
        <is>
          <t>grams</t>
        </is>
      </c>
      <c r="AB652" s="151" t="n"/>
      <c r="AC652" s="151" t="n"/>
      <c r="AD652" s="150" t="n">
        <v>0.9206299999999999</v>
      </c>
      <c r="AE652" s="149" t="n">
        <v>0.11</v>
      </c>
      <c r="AF652" s="151" t="inlineStr">
        <is>
          <t>grams</t>
        </is>
      </c>
      <c r="AG652" s="151" t="n"/>
      <c r="AH652" s="151" t="n"/>
    </row>
    <row r="653">
      <c r="A653" s="151" t="inlineStr">
        <is>
          <t>FV0846A - Stroganoff-Style Beef Burger [DE]</t>
        </is>
      </c>
      <c r="B653" s="151" t="inlineStr">
        <is>
          <t>REC-029854-4-001</t>
        </is>
      </c>
      <c r="C653" s="151" t="inlineStr">
        <is>
          <t>Herb-Parmesan Butter</t>
        </is>
      </c>
      <c r="D653" s="151" t="inlineStr">
        <is>
          <t>SUB-029972-4-001</t>
        </is>
      </c>
      <c r="E653" s="150" t="n">
        <v>12</v>
      </c>
      <c r="F653" s="151" t="inlineStr">
        <is>
          <t>grams</t>
        </is>
      </c>
      <c r="G653" s="151" t="inlineStr">
        <is>
          <t>BLAST CHILLER, PLANETARY MIXER, SCOOPER (BUTTER)</t>
        </is>
      </c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inlineStr">
        <is>
          <t>FA-DE Spice, Parsley Dried /Gewürze, getrocknete Petersilie</t>
        </is>
      </c>
      <c r="X653" s="151" t="inlineStr">
        <is>
          <t>SPI-00-139374-5</t>
        </is>
      </c>
      <c r="Y653" s="151" t="inlineStr">
        <is>
          <t>0,09</t>
        </is>
      </c>
      <c r="Z653" s="149" t="inlineStr">
        <is>
          <t>0,09</t>
        </is>
      </c>
      <c r="AA653" s="151" t="inlineStr">
        <is>
          <t>grams</t>
        </is>
      </c>
      <c r="AB653" s="151" t="n"/>
      <c r="AC653" s="151" t="n"/>
      <c r="AD653" s="150" t="n">
        <v>0.9206299999999999</v>
      </c>
      <c r="AE653" s="149" t="n">
        <v>0.09</v>
      </c>
      <c r="AF653" s="151" t="inlineStr">
        <is>
          <t>grams</t>
        </is>
      </c>
      <c r="AG653" s="151" t="n"/>
      <c r="AH653" s="151" t="n"/>
    </row>
    <row r="654">
      <c r="A654" s="151" t="inlineStr">
        <is>
          <t>FV0846A - Stroganoff-Style Beef Burger [DE]</t>
        </is>
      </c>
      <c r="B654" s="151" t="inlineStr">
        <is>
          <t>REC-029854-4-001</t>
        </is>
      </c>
      <c r="C654" s="151" t="inlineStr">
        <is>
          <t>Herb-Parmesan Butter</t>
        </is>
      </c>
      <c r="D654" s="151" t="inlineStr">
        <is>
          <t>SUB-029972-4-001</t>
        </is>
      </c>
      <c r="E654" s="150" t="n">
        <v>12</v>
      </c>
      <c r="F654" s="151" t="inlineStr">
        <is>
          <t>grams</t>
        </is>
      </c>
      <c r="G654" s="151" t="inlineStr">
        <is>
          <t>BLAST CHILLER, PLANETARY MIXER, SCOOPER (BUTTER)</t>
        </is>
      </c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inlineStr">
        <is>
          <t>FA-DE Spice, Black Pepper, Ground /Gewürz, schwarzer Pfeffer, gemahlen</t>
        </is>
      </c>
      <c r="X654" s="151" t="inlineStr">
        <is>
          <t>SPI-00-139334-5</t>
        </is>
      </c>
      <c r="Y654" s="151" t="inlineStr">
        <is>
          <t>0,11</t>
        </is>
      </c>
      <c r="Z654" s="149" t="inlineStr">
        <is>
          <t>0,11</t>
        </is>
      </c>
      <c r="AA654" s="151" t="inlineStr">
        <is>
          <t>grams</t>
        </is>
      </c>
      <c r="AB654" s="151" t="n"/>
      <c r="AC654" s="151" t="n"/>
      <c r="AD654" s="150" t="n">
        <v>0.9206299999999999</v>
      </c>
      <c r="AE654" s="149" t="n">
        <v>0.11</v>
      </c>
      <c r="AF654" s="151" t="inlineStr">
        <is>
          <t>grams</t>
        </is>
      </c>
      <c r="AG654" s="151" t="n"/>
      <c r="AH654" s="151" t="n"/>
    </row>
    <row r="655">
      <c r="A655" s="151" t="inlineStr">
        <is>
          <t>FV0846A - Stroganoff-Style Beef Burger [DKSE]</t>
        </is>
      </c>
      <c r="B655" s="151" t="inlineStr">
        <is>
          <t>REC-029854-4-002</t>
        </is>
      </c>
      <c r="C655" s="151" t="inlineStr">
        <is>
          <t>Sauce for Beef Stroganoff - 1/2 garlic- No wine</t>
        </is>
      </c>
      <c r="D655" s="151" t="inlineStr">
        <is>
          <t>SUB-029908-4-001</t>
        </is>
      </c>
      <c r="E655" s="150" t="n">
        <v>100</v>
      </c>
      <c r="F655" s="151" t="inlineStr">
        <is>
          <t>grams</t>
        </is>
      </c>
      <c r="G655" s="151" t="inlineStr">
        <is>
          <t>BLAST CHILLER, BRAISER, IMMERSION BLENDER, SPICE PORTIONING</t>
        </is>
      </c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inlineStr">
        <is>
          <t>FA-DE Oil, Olive /Öl, Olivenöl</t>
        </is>
      </c>
      <c r="X655" s="151" t="inlineStr">
        <is>
          <t>PRO-00-139277-5</t>
        </is>
      </c>
      <c r="Y655" s="151" t="inlineStr">
        <is>
          <t>5,79</t>
        </is>
      </c>
      <c r="Z655" s="149" t="inlineStr">
        <is>
          <t>5,79</t>
        </is>
      </c>
      <c r="AA655" s="151" t="inlineStr">
        <is>
          <t>grams</t>
        </is>
      </c>
      <c r="AB655" s="151" t="n"/>
      <c r="AC655" s="151" t="n"/>
      <c r="AD655" s="150" t="n">
        <v>0.91947</v>
      </c>
      <c r="AE655" s="149" t="n">
        <v>5.79</v>
      </c>
      <c r="AF655" s="151" t="inlineStr">
        <is>
          <t>grams</t>
        </is>
      </c>
      <c r="AG655" s="151" t="n"/>
      <c r="AH655" s="151" t="n"/>
    </row>
    <row r="656">
      <c r="A656" s="151" t="inlineStr">
        <is>
          <t>FV0846A - Stroganoff-Style Beef Burger [DKSE]</t>
        </is>
      </c>
      <c r="B656" s="151" t="inlineStr">
        <is>
          <t>REC-029854-4-002</t>
        </is>
      </c>
      <c r="C656" s="151" t="inlineStr">
        <is>
          <t>Sauce for Beef Stroganoff - 1/2 garlic- No wine</t>
        </is>
      </c>
      <c r="D656" s="151" t="inlineStr">
        <is>
          <t>SUB-029908-4-001</t>
        </is>
      </c>
      <c r="E656" s="150" t="n">
        <v>100</v>
      </c>
      <c r="F656" s="151" t="inlineStr">
        <is>
          <t>grams</t>
        </is>
      </c>
      <c r="G656" s="151" t="inlineStr">
        <is>
          <t>BLAST CHILLER, BRAISER, IMMERSION BLENDER, SPICE PORTIONING</t>
        </is>
      </c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inlineStr">
        <is>
          <t>FA-DE Onion, Spanish, Diced 5mm /Zwiebel, Spanisch, gewürfelt 5 mm</t>
        </is>
      </c>
      <c r="X656" s="151" t="inlineStr">
        <is>
          <t>PHF-00-139212-3</t>
        </is>
      </c>
      <c r="Y656" s="151" t="inlineStr">
        <is>
          <t>3,68</t>
        </is>
      </c>
      <c r="Z656" s="149" t="inlineStr">
        <is>
          <t>3,68</t>
        </is>
      </c>
      <c r="AA656" s="151" t="inlineStr">
        <is>
          <t>grams</t>
        </is>
      </c>
      <c r="AB656" s="151" t="n"/>
      <c r="AC656" s="151" t="n"/>
      <c r="AD656" s="150" t="n">
        <v>0.91947</v>
      </c>
      <c r="AE656" s="149" t="n">
        <v>3.68</v>
      </c>
      <c r="AF656" s="151" t="inlineStr">
        <is>
          <t>grams</t>
        </is>
      </c>
      <c r="AG656" s="151" t="n"/>
      <c r="AH656" s="151" t="n"/>
    </row>
    <row r="657">
      <c r="A657" s="151" t="inlineStr">
        <is>
          <t>FV0846A - Stroganoff-Style Beef Burger [DKSE]</t>
        </is>
      </c>
      <c r="B657" s="151" t="inlineStr">
        <is>
          <t>REC-029854-4-002</t>
        </is>
      </c>
      <c r="C657" s="151" t="inlineStr">
        <is>
          <t>Sauce for Beef Stroganoff - 1/2 garlic- No wine</t>
        </is>
      </c>
      <c r="D657" s="151" t="inlineStr">
        <is>
          <t>SUB-029908-4-001</t>
        </is>
      </c>
      <c r="E657" s="150" t="n">
        <v>100</v>
      </c>
      <c r="F657" s="151" t="inlineStr">
        <is>
          <t>grams</t>
        </is>
      </c>
      <c r="G657" s="151" t="inlineStr">
        <is>
          <t>BLAST CHILLER, BRAISER, IMMERSION BLENDER, SPICE PORTIONING</t>
        </is>
      </c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inlineStr">
        <is>
          <t>FA-DE Garlic, IQF, Diced 4 mm /Knoblauch, IQF, gewürfelt 4 mm</t>
        </is>
      </c>
      <c r="X657" s="151" t="inlineStr">
        <is>
          <t>PHF-00-139237-1</t>
        </is>
      </c>
      <c r="Y657" s="151" t="inlineStr">
        <is>
          <t>3,68</t>
        </is>
      </c>
      <c r="Z657" s="149" t="inlineStr">
        <is>
          <t>3,68</t>
        </is>
      </c>
      <c r="AA657" s="151" t="inlineStr">
        <is>
          <t>grams</t>
        </is>
      </c>
      <c r="AB657" s="151" t="inlineStr">
        <is>
          <t>SCHWEFELDIOXIDE UND SULFITE</t>
        </is>
      </c>
      <c r="AC657" s="151" t="n"/>
      <c r="AD657" s="150" t="n">
        <v>0.91947</v>
      </c>
      <c r="AE657" s="149" t="n">
        <v>3.68</v>
      </c>
      <c r="AF657" s="151" t="inlineStr">
        <is>
          <t>grams</t>
        </is>
      </c>
      <c r="AG657" s="151" t="n"/>
      <c r="AH657" s="151" t="n"/>
    </row>
    <row r="658">
      <c r="A658" s="151" t="inlineStr">
        <is>
          <t>FV0846A - Stroganoff-Style Beef Burger [DKSE]</t>
        </is>
      </c>
      <c r="B658" s="151" t="inlineStr">
        <is>
          <t>REC-029854-4-002</t>
        </is>
      </c>
      <c r="C658" s="151" t="inlineStr">
        <is>
          <t>Sauce for Beef Stroganoff - 1/2 garlic- No wine</t>
        </is>
      </c>
      <c r="D658" s="151" t="inlineStr">
        <is>
          <t>SUB-029908-4-001</t>
        </is>
      </c>
      <c r="E658" s="150" t="n">
        <v>100</v>
      </c>
      <c r="F658" s="151" t="inlineStr">
        <is>
          <t>grams</t>
        </is>
      </c>
      <c r="G658" s="151" t="inlineStr">
        <is>
          <t>BLAST CHILLER, BRAISER, IMMERSION BLENDER, SPICE PORTIONING</t>
        </is>
      </c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inlineStr">
        <is>
          <t>FA-DE Mushroom, Button, Sliced, Washed /Pilz, Knopf, geschnitten, gewaschen</t>
        </is>
      </c>
      <c r="X658" s="151" t="inlineStr">
        <is>
          <t>PHF-00-139206-3</t>
        </is>
      </c>
      <c r="Y658" s="151" t="inlineStr">
        <is>
          <t>46,56</t>
        </is>
      </c>
      <c r="Z658" s="149" t="inlineStr">
        <is>
          <t>46,56</t>
        </is>
      </c>
      <c r="AA658" s="151" t="inlineStr">
        <is>
          <t>grams</t>
        </is>
      </c>
      <c r="AB658" s="151" t="n"/>
      <c r="AC658" s="151" t="n"/>
      <c r="AD658" s="150" t="n">
        <v>0.91947</v>
      </c>
      <c r="AE658" s="149" t="n">
        <v>46.56</v>
      </c>
      <c r="AF658" s="151" t="inlineStr">
        <is>
          <t>grams</t>
        </is>
      </c>
      <c r="AG658" s="151" t="n"/>
      <c r="AH658" s="151" t="n"/>
    </row>
    <row r="659">
      <c r="A659" s="151" t="inlineStr">
        <is>
          <t>FV0846A - Stroganoff-Style Beef Burger [DKSE]</t>
        </is>
      </c>
      <c r="B659" s="151" t="inlineStr">
        <is>
          <t>REC-029854-4-002</t>
        </is>
      </c>
      <c r="C659" s="151" t="inlineStr">
        <is>
          <t>Sauce for Beef Stroganoff - 1/2 garlic- No wine</t>
        </is>
      </c>
      <c r="D659" s="151" t="inlineStr">
        <is>
          <t>SUB-029908-4-001</t>
        </is>
      </c>
      <c r="E659" s="150" t="n">
        <v>100</v>
      </c>
      <c r="F659" s="151" t="inlineStr">
        <is>
          <t>grams</t>
        </is>
      </c>
      <c r="G659" s="151" t="inlineStr">
        <is>
          <t>BLAST CHILLER, BRAISER, IMMERSION BLENDER, SPICE PORTIONING</t>
        </is>
      </c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inlineStr">
        <is>
          <t>FA-DE Thyme, IQF /Thymian, IQF</t>
        </is>
      </c>
      <c r="X659" s="151" t="inlineStr">
        <is>
          <t>PHF-00-139244-1</t>
        </is>
      </c>
      <c r="Y659" s="151" t="inlineStr">
        <is>
          <t>0,97</t>
        </is>
      </c>
      <c r="Z659" s="149" t="inlineStr">
        <is>
          <t>0,97</t>
        </is>
      </c>
      <c r="AA659" s="151" t="inlineStr">
        <is>
          <t>grams</t>
        </is>
      </c>
      <c r="AB659" s="151" t="n"/>
      <c r="AC659" s="151" t="n"/>
      <c r="AD659" s="150" t="n">
        <v>0.91947</v>
      </c>
      <c r="AE659" s="149" t="n">
        <v>0.97</v>
      </c>
      <c r="AF659" s="151" t="inlineStr">
        <is>
          <t>grams</t>
        </is>
      </c>
      <c r="AG659" s="151" t="n"/>
      <c r="AH659" s="151" t="n"/>
    </row>
    <row r="660">
      <c r="A660" s="151" t="inlineStr">
        <is>
          <t>FV0846A - Stroganoff-Style Beef Burger [DKSE]</t>
        </is>
      </c>
      <c r="B660" s="151" t="inlineStr">
        <is>
          <t>REC-029854-4-002</t>
        </is>
      </c>
      <c r="C660" s="151" t="inlineStr">
        <is>
          <t>Sauce for Beef Stroganoff - 1/2 garlic- No wine</t>
        </is>
      </c>
      <c r="D660" s="151" t="inlineStr">
        <is>
          <t>SUB-029908-4-001</t>
        </is>
      </c>
      <c r="E660" s="150" t="n">
        <v>100</v>
      </c>
      <c r="F660" s="151" t="inlineStr">
        <is>
          <t>grams</t>
        </is>
      </c>
      <c r="G660" s="151" t="inlineStr">
        <is>
          <t>BLAST CHILLER, BRAISER, IMMERSION BLENDER, SPICE PORTIONING</t>
        </is>
      </c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inlineStr">
        <is>
          <t>FA-DE Spice, Porcini Mushroom Powder /Gewürz, Steinpilzpulver</t>
        </is>
      </c>
      <c r="X660" s="151" t="inlineStr">
        <is>
          <t>SPI-00-139375-5</t>
        </is>
      </c>
      <c r="Y660" s="151" t="inlineStr">
        <is>
          <t>0,73</t>
        </is>
      </c>
      <c r="Z660" s="149" t="inlineStr">
        <is>
          <t>0,73</t>
        </is>
      </c>
      <c r="AA660" s="151" t="inlineStr">
        <is>
          <t>grams</t>
        </is>
      </c>
      <c r="AB660" s="151" t="n"/>
      <c r="AC660" s="151" t="n"/>
      <c r="AD660" s="150" t="n">
        <v>0.91947</v>
      </c>
      <c r="AE660" s="149" t="n">
        <v>0.73</v>
      </c>
      <c r="AF660" s="151" t="inlineStr">
        <is>
          <t>grams</t>
        </is>
      </c>
      <c r="AG660" s="151" t="n"/>
      <c r="AH660" s="151" t="n"/>
    </row>
    <row r="661">
      <c r="A661" s="151" t="inlineStr">
        <is>
          <t>FV0846A - Stroganoff-Style Beef Burger [DKSE]</t>
        </is>
      </c>
      <c r="B661" s="151" t="inlineStr">
        <is>
          <t>REC-029854-4-002</t>
        </is>
      </c>
      <c r="C661" s="151" t="inlineStr">
        <is>
          <t>Sauce for Beef Stroganoff - 1/2 garlic- No wine</t>
        </is>
      </c>
      <c r="D661" s="151" t="inlineStr">
        <is>
          <t>SUB-029908-4-001</t>
        </is>
      </c>
      <c r="E661" s="150" t="n">
        <v>100</v>
      </c>
      <c r="F661" s="151" t="inlineStr">
        <is>
          <t>grams</t>
        </is>
      </c>
      <c r="G661" s="151" t="inlineStr">
        <is>
          <t>BLAST CHILLER, BRAISER, IMMERSION BLENDER, SPICE PORTIONING</t>
        </is>
      </c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inlineStr">
        <is>
          <t>FA-DE Spice, Sea Salt /Gewürze, Meersalz</t>
        </is>
      </c>
      <c r="X661" s="151" t="inlineStr">
        <is>
          <t>SPI-00-139378-5</t>
        </is>
      </c>
      <c r="Y661" s="151" t="inlineStr">
        <is>
          <t>0,27</t>
        </is>
      </c>
      <c r="Z661" s="149" t="inlineStr">
        <is>
          <t>0,27</t>
        </is>
      </c>
      <c r="AA661" s="151" t="inlineStr">
        <is>
          <t>grams</t>
        </is>
      </c>
      <c r="AB661" s="151" t="n"/>
      <c r="AC661" s="151" t="n"/>
      <c r="AD661" s="150" t="n">
        <v>0.91947</v>
      </c>
      <c r="AE661" s="149" t="n">
        <v>0.27</v>
      </c>
      <c r="AF661" s="151" t="inlineStr">
        <is>
          <t>grams</t>
        </is>
      </c>
      <c r="AG661" s="151" t="n"/>
      <c r="AH661" s="151" t="n"/>
    </row>
    <row r="662">
      <c r="A662" s="151" t="inlineStr">
        <is>
          <t>FV0846A - Stroganoff-Style Beef Burger [DKSE]</t>
        </is>
      </c>
      <c r="B662" s="151" t="inlineStr">
        <is>
          <t>REC-029854-4-002</t>
        </is>
      </c>
      <c r="C662" s="151" t="inlineStr">
        <is>
          <t>Sauce for Beef Stroganoff - 1/2 garlic- No wine</t>
        </is>
      </c>
      <c r="D662" s="151" t="inlineStr">
        <is>
          <t>SUB-029908-4-001</t>
        </is>
      </c>
      <c r="E662" s="150" t="n">
        <v>100</v>
      </c>
      <c r="F662" s="151" t="inlineStr">
        <is>
          <t>grams</t>
        </is>
      </c>
      <c r="G662" s="151" t="inlineStr">
        <is>
          <t>BLAST CHILLER, BRAISER, IMMERSION BLENDER, SPICE PORTIONING</t>
        </is>
      </c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inlineStr">
        <is>
          <t>FA-DE Water / Wasser</t>
        </is>
      </c>
      <c r="X662" s="151" t="inlineStr">
        <is>
          <t>OTH-00-144038-5</t>
        </is>
      </c>
      <c r="Y662" s="151" t="inlineStr">
        <is>
          <t>2,46</t>
        </is>
      </c>
      <c r="Z662" s="149" t="inlineStr">
        <is>
          <t>2,46</t>
        </is>
      </c>
      <c r="AA662" s="151" t="inlineStr">
        <is>
          <t>grams</t>
        </is>
      </c>
      <c r="AB662" s="151" t="n"/>
      <c r="AC662" s="151" t="n"/>
      <c r="AD662" s="150" t="n">
        <v>0.91947</v>
      </c>
      <c r="AE662" s="149" t="n">
        <v>2.46</v>
      </c>
      <c r="AF662" s="151" t="inlineStr">
        <is>
          <t>grams</t>
        </is>
      </c>
      <c r="AG662" s="151" t="n"/>
      <c r="AH662" s="151" t="n"/>
    </row>
    <row r="663">
      <c r="A663" s="151" t="inlineStr">
        <is>
          <t>FV0846A - Stroganoff-Style Beef Burger [DKSE]</t>
        </is>
      </c>
      <c r="B663" s="151" t="inlineStr">
        <is>
          <t>REC-029854-4-002</t>
        </is>
      </c>
      <c r="C663" s="151" t="inlineStr">
        <is>
          <t>Sauce for Beef Stroganoff - 1/2 garlic- No wine</t>
        </is>
      </c>
      <c r="D663" s="151" t="inlineStr">
        <is>
          <t>SUB-029908-4-001</t>
        </is>
      </c>
      <c r="E663" s="150" t="n">
        <v>100</v>
      </c>
      <c r="F663" s="151" t="inlineStr">
        <is>
          <t>grams</t>
        </is>
      </c>
      <c r="G663" s="151" t="inlineStr">
        <is>
          <t>BLAST CHILLER, BRAISER, IMMERSION BLENDER, SPICE PORTIONING</t>
        </is>
      </c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inlineStr">
        <is>
          <t>FA-DE Heavy Cream 35% /Sahne 35%</t>
        </is>
      </c>
      <c r="X663" s="151" t="inlineStr">
        <is>
          <t>DAI-00-148167-3</t>
        </is>
      </c>
      <c r="Y663" s="151" t="inlineStr">
        <is>
          <t>1,96</t>
        </is>
      </c>
      <c r="Z663" s="149" t="inlineStr">
        <is>
          <t>1,96</t>
        </is>
      </c>
      <c r="AA663" s="151" t="inlineStr">
        <is>
          <t>grams</t>
        </is>
      </c>
      <c r="AB663" s="151" t="inlineStr">
        <is>
          <t>MILCH (EINSCHLIESSLICH LAKTOSE)</t>
        </is>
      </c>
      <c r="AC663" s="151" t="n"/>
      <c r="AD663" s="150" t="n">
        <v>0.91947</v>
      </c>
      <c r="AE663" s="149" t="n">
        <v>1.96</v>
      </c>
      <c r="AF663" s="151" t="inlineStr">
        <is>
          <t>grams</t>
        </is>
      </c>
      <c r="AG663" s="151" t="n"/>
      <c r="AH663" s="151" t="n"/>
    </row>
    <row r="664">
      <c r="A664" s="151" t="inlineStr">
        <is>
          <t>FV0846A - Stroganoff-Style Beef Burger [DKSE]</t>
        </is>
      </c>
      <c r="B664" s="151" t="inlineStr">
        <is>
          <t>REC-029854-4-002</t>
        </is>
      </c>
      <c r="C664" s="151" t="inlineStr">
        <is>
          <t>Sauce for Beef Stroganoff - 1/2 garlic- No wine</t>
        </is>
      </c>
      <c r="D664" s="151" t="inlineStr">
        <is>
          <t>SUB-029908-4-001</t>
        </is>
      </c>
      <c r="E664" s="150" t="n">
        <v>100</v>
      </c>
      <c r="F664" s="151" t="inlineStr">
        <is>
          <t>grams</t>
        </is>
      </c>
      <c r="G664" s="151" t="inlineStr">
        <is>
          <t>BLAST CHILLER, BRAISER, IMMERSION BLENDER, SPICE PORTIONING</t>
        </is>
      </c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inlineStr">
        <is>
          <t>FA-DE Stock Concentrate, Classic Reduced Brown /Stammkonzentrat, klassisches, reduziertes Braun</t>
        </is>
      </c>
      <c r="X664" s="151" t="inlineStr">
        <is>
          <t>PRO-00-139285-5</t>
        </is>
      </c>
      <c r="Y664" s="151" t="inlineStr">
        <is>
          <t>4,89</t>
        </is>
      </c>
      <c r="Z664" s="149" t="inlineStr">
        <is>
          <t>4,89</t>
        </is>
      </c>
      <c r="AA664" s="151" t="inlineStr">
        <is>
          <t>grams</t>
        </is>
      </c>
      <c r="AB664" s="151" t="inlineStr">
        <is>
          <t>SELLERIE</t>
        </is>
      </c>
      <c r="AC664" s="151" t="n"/>
      <c r="AD664" s="150" t="n">
        <v>0.91947</v>
      </c>
      <c r="AE664" s="149" t="n">
        <v>4.89</v>
      </c>
      <c r="AF664" s="151" t="inlineStr">
        <is>
          <t>grams</t>
        </is>
      </c>
      <c r="AG664" s="151" t="n"/>
      <c r="AH664" s="151" t="n"/>
    </row>
    <row r="665">
      <c r="A665" s="151" t="inlineStr">
        <is>
          <t>FV0846A - Stroganoff-Style Beef Burger [DKSE]</t>
        </is>
      </c>
      <c r="B665" s="151" t="inlineStr">
        <is>
          <t>REC-029854-4-002</t>
        </is>
      </c>
      <c r="C665" s="151" t="inlineStr">
        <is>
          <t>Sauce for Beef Stroganoff - 1/2 garlic- No wine</t>
        </is>
      </c>
      <c r="D665" s="151" t="inlineStr">
        <is>
          <t>SUB-029908-4-001</t>
        </is>
      </c>
      <c r="E665" s="150" t="n">
        <v>100</v>
      </c>
      <c r="F665" s="151" t="inlineStr">
        <is>
          <t>grams</t>
        </is>
      </c>
      <c r="G665" s="151" t="inlineStr">
        <is>
          <t>BLAST CHILLER, BRAISER, IMMERSION BLENDER, SPICE PORTIONING</t>
        </is>
      </c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inlineStr">
        <is>
          <t>FA-DE Cheese, Cream, 13% Fat (Milk) /Käse, Sahne, 13% Fett</t>
        </is>
      </c>
      <c r="X665" s="151" t="inlineStr">
        <is>
          <t>DAI-00-139122-3</t>
        </is>
      </c>
      <c r="Y665" s="151" t="inlineStr">
        <is>
          <t>14,69</t>
        </is>
      </c>
      <c r="Z665" s="149" t="inlineStr">
        <is>
          <t>14,69</t>
        </is>
      </c>
      <c r="AA665" s="151" t="inlineStr">
        <is>
          <t>grams</t>
        </is>
      </c>
      <c r="AB665" s="151" t="inlineStr">
        <is>
          <t>MILCH (EINSCHLIESSLICH LAKTOSE)</t>
        </is>
      </c>
      <c r="AC665" s="151" t="n"/>
      <c r="AD665" s="150" t="n">
        <v>0.91947</v>
      </c>
      <c r="AE665" s="149" t="n">
        <v>14.69</v>
      </c>
      <c r="AF665" s="151" t="inlineStr">
        <is>
          <t>grams</t>
        </is>
      </c>
      <c r="AG665" s="151" t="n"/>
      <c r="AH665" s="151" t="n"/>
    </row>
    <row r="666">
      <c r="A666" s="151" t="inlineStr">
        <is>
          <t>FV0846A - Stroganoff-Style Beef Burger [DKSE]</t>
        </is>
      </c>
      <c r="B666" s="151" t="inlineStr">
        <is>
          <t>REC-029854-4-002</t>
        </is>
      </c>
      <c r="C666" s="151" t="inlineStr">
        <is>
          <t>Sauce for Beef Stroganoff - 1/2 garlic- No wine</t>
        </is>
      </c>
      <c r="D666" s="151" t="inlineStr">
        <is>
          <t>SUB-029908-4-001</t>
        </is>
      </c>
      <c r="E666" s="150" t="n">
        <v>100</v>
      </c>
      <c r="F666" s="151" t="inlineStr">
        <is>
          <t>grams</t>
        </is>
      </c>
      <c r="G666" s="151" t="inlineStr">
        <is>
          <t>BLAST CHILLER, BRAISER, IMMERSION BLENDER, SPICE PORTIONING</t>
        </is>
      </c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inlineStr">
        <is>
          <t>FA-DE Sour Cream /Sauerrahm</t>
        </is>
      </c>
      <c r="X666" s="151" t="inlineStr">
        <is>
          <t>DAI-00-139141-3</t>
        </is>
      </c>
      <c r="Y666" s="151" t="inlineStr">
        <is>
          <t>14,69</t>
        </is>
      </c>
      <c r="Z666" s="149" t="inlineStr">
        <is>
          <t>14,69</t>
        </is>
      </c>
      <c r="AA666" s="151" t="inlineStr">
        <is>
          <t>grams</t>
        </is>
      </c>
      <c r="AB666" s="151" t="inlineStr">
        <is>
          <t>MILCH (EINSCHLIESSLICH LAKTOSE)</t>
        </is>
      </c>
      <c r="AC666" s="151" t="n"/>
      <c r="AD666" s="150" t="n">
        <v>0.91947</v>
      </c>
      <c r="AE666" s="149" t="n">
        <v>14.69</v>
      </c>
      <c r="AF666" s="151" t="inlineStr">
        <is>
          <t>grams</t>
        </is>
      </c>
      <c r="AG666" s="151" t="n"/>
      <c r="AH666" s="151" t="n"/>
    </row>
    <row r="667">
      <c r="A667" s="151" t="inlineStr">
        <is>
          <t>FV0846A - Stroganoff-Style Beef Burger [DKSE]</t>
        </is>
      </c>
      <c r="B667" s="151" t="inlineStr">
        <is>
          <t>REC-029854-4-002</t>
        </is>
      </c>
      <c r="C667" s="151" t="inlineStr">
        <is>
          <t>Sauce for Beef Stroganoff - 1/2 garlic- No wine</t>
        </is>
      </c>
      <c r="D667" s="151" t="inlineStr">
        <is>
          <t>SUB-029908-4-001</t>
        </is>
      </c>
      <c r="E667" s="150" t="n">
        <v>100</v>
      </c>
      <c r="F667" s="151" t="inlineStr">
        <is>
          <t>grams</t>
        </is>
      </c>
      <c r="G667" s="151" t="inlineStr">
        <is>
          <t>BLAST CHILLER, BRAISER, IMMERSION BLENDER, SPICE PORTIONING</t>
        </is>
      </c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inlineStr">
        <is>
          <t>FA-DE Mustard, Dijon /Senf, Dijon</t>
        </is>
      </c>
      <c r="X667" s="151" t="inlineStr">
        <is>
          <t>PRO-00-139276-5</t>
        </is>
      </c>
      <c r="Y667" s="151" t="inlineStr">
        <is>
          <t>3,19</t>
        </is>
      </c>
      <c r="Z667" s="149" t="inlineStr">
        <is>
          <t>3,19</t>
        </is>
      </c>
      <c r="AA667" s="151" t="inlineStr">
        <is>
          <t>grams</t>
        </is>
      </c>
      <c r="AB667" s="151" t="inlineStr">
        <is>
          <t>SENF</t>
        </is>
      </c>
      <c r="AC667" s="151" t="n"/>
      <c r="AD667" s="150" t="n">
        <v>0.91947</v>
      </c>
      <c r="AE667" s="149" t="n">
        <v>3.19</v>
      </c>
      <c r="AF667" s="151" t="inlineStr">
        <is>
          <t>grams</t>
        </is>
      </c>
      <c r="AG667" s="151" t="n"/>
      <c r="AH667" s="151" t="n"/>
    </row>
    <row r="668">
      <c r="A668" s="151" t="inlineStr">
        <is>
          <t>FV0846A - Stroganoff-Style Beef Burger [DKSE]</t>
        </is>
      </c>
      <c r="B668" s="151" t="inlineStr">
        <is>
          <t>REC-029854-4-002</t>
        </is>
      </c>
      <c r="C668" s="151" t="inlineStr">
        <is>
          <t>Sauce for Beef Stroganoff - 1/2 garlic- No wine</t>
        </is>
      </c>
      <c r="D668" s="151" t="inlineStr">
        <is>
          <t>SUB-029908-4-001</t>
        </is>
      </c>
      <c r="E668" s="150" t="n">
        <v>100</v>
      </c>
      <c r="F668" s="151" t="inlineStr">
        <is>
          <t>grams</t>
        </is>
      </c>
      <c r="G668" s="151" t="inlineStr">
        <is>
          <t>BLAST CHILLER, BRAISER, IMMERSION BLENDER, SPICE PORTIONING</t>
        </is>
      </c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inlineStr">
        <is>
          <t>FA-DE Onion, Green, Sliced 5mm /Zwiebel, grün, in Scheiben geschnitten, 5 mm</t>
        </is>
      </c>
      <c r="X668" s="151" t="inlineStr">
        <is>
          <t>PHF-00-149803-3</t>
        </is>
      </c>
      <c r="Y668" s="151" t="inlineStr">
        <is>
          <t>5,19</t>
        </is>
      </c>
      <c r="Z668" s="149" t="inlineStr">
        <is>
          <t>5,19</t>
        </is>
      </c>
      <c r="AA668" s="151" t="inlineStr">
        <is>
          <t>grams</t>
        </is>
      </c>
      <c r="AB668" s="151" t="n"/>
      <c r="AC668" s="151" t="n"/>
      <c r="AD668" s="150" t="n">
        <v>0.91947</v>
      </c>
      <c r="AE668" s="149" t="n">
        <v>5.19</v>
      </c>
      <c r="AF668" s="151" t="inlineStr">
        <is>
          <t>grams</t>
        </is>
      </c>
      <c r="AG668" s="151" t="n"/>
      <c r="AH668" s="151" t="n"/>
    </row>
    <row r="669">
      <c r="A669" s="151" t="inlineStr">
        <is>
          <t>FV0846A - Stroganoff-Style Beef Burger [DKSE]</t>
        </is>
      </c>
      <c r="B669" s="151" t="inlineStr">
        <is>
          <t>REC-029854-4-002</t>
        </is>
      </c>
      <c r="C669" s="151" t="inlineStr">
        <is>
          <t>Beef Burger Master EU</t>
        </is>
      </c>
      <c r="D669" s="151" t="inlineStr">
        <is>
          <t>SUB-031776-4-001</t>
        </is>
      </c>
      <c r="E669" s="150" t="n">
        <v>1</v>
      </c>
      <c r="F669" s="151" t="inlineStr">
        <is>
          <t>each</t>
        </is>
      </c>
      <c r="G669" s="151" t="inlineStr">
        <is>
          <t>BLAST CHILLER, HORIZONTAL MIXER, OVEN, PATTY MAKER</t>
        </is>
      </c>
      <c r="H669" s="151" t="inlineStr">
        <is>
          <t>Burger Patty</t>
        </is>
      </c>
      <c r="I669" s="151" t="inlineStr">
        <is>
          <t>SUB-031783-4-001</t>
        </is>
      </c>
      <c r="J669" s="150" t="n">
        <v>204</v>
      </c>
      <c r="K669" s="151" t="inlineStr">
        <is>
          <t>grams</t>
        </is>
      </c>
      <c r="L669" s="151" t="inlineStr">
        <is>
          <t>BLAST CHILLER, HORIZONTAL MIXER, OVEN, PATTY MAKER</t>
        </is>
      </c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inlineStr">
        <is>
          <t>FA-DE Beef, Ground, 80/20 /Rindfleisch, gemahlen, 80/20</t>
        </is>
      </c>
      <c r="X669" s="151" t="inlineStr">
        <is>
          <t>PTN-00-139319-3</t>
        </is>
      </c>
      <c r="Y669" s="151" t="inlineStr">
        <is>
          <t>169,76</t>
        </is>
      </c>
      <c r="Z669" s="149" t="inlineStr">
        <is>
          <t>169,76</t>
        </is>
      </c>
      <c r="AA669" s="151" t="inlineStr">
        <is>
          <t>grams</t>
        </is>
      </c>
      <c r="AB669" s="151" t="n"/>
      <c r="AC669" s="151" t="n"/>
      <c r="AD669" s="150" t="n">
        <v>0.97143</v>
      </c>
      <c r="AE669" s="149" t="n">
        <v>169.76</v>
      </c>
      <c r="AF669" s="151" t="inlineStr">
        <is>
          <t>grams</t>
        </is>
      </c>
      <c r="AG669" s="151" t="n"/>
      <c r="AH669" s="151" t="n"/>
    </row>
    <row r="670">
      <c r="A670" s="151" t="inlineStr">
        <is>
          <t>FV0846A - Stroganoff-Style Beef Burger [DKSE]</t>
        </is>
      </c>
      <c r="B670" s="151" t="inlineStr">
        <is>
          <t>REC-029854-4-002</t>
        </is>
      </c>
      <c r="C670" s="151" t="inlineStr">
        <is>
          <t>Beef Burger Master EU</t>
        </is>
      </c>
      <c r="D670" s="151" t="inlineStr">
        <is>
          <t>SUB-031776-4-001</t>
        </is>
      </c>
      <c r="E670" s="150" t="n">
        <v>1</v>
      </c>
      <c r="F670" s="151" t="inlineStr">
        <is>
          <t>each</t>
        </is>
      </c>
      <c r="G670" s="151" t="inlineStr">
        <is>
          <t>BLAST CHILLER, HORIZONTAL MIXER, OVEN, PATTY MAKER</t>
        </is>
      </c>
      <c r="H670" s="151" t="inlineStr">
        <is>
          <t>Burger Patty</t>
        </is>
      </c>
      <c r="I670" s="151" t="inlineStr">
        <is>
          <t>SUB-031783-4-001</t>
        </is>
      </c>
      <c r="J670" s="150" t="n">
        <v>204</v>
      </c>
      <c r="K670" s="151" t="inlineStr">
        <is>
          <t>grams</t>
        </is>
      </c>
      <c r="L670" s="151" t="inlineStr">
        <is>
          <t>BLAST CHILLER, HORIZONTAL MIXER, OVEN, PATTY MAKER</t>
        </is>
      </c>
      <c r="M670" s="151" t="inlineStr">
        <is>
          <t>Cooked Burger Veggies</t>
        </is>
      </c>
      <c r="N670" s="151" t="inlineStr">
        <is>
          <t>SUB-031784-4-001</t>
        </is>
      </c>
      <c r="O670" s="150" t="n">
        <v>22.63</v>
      </c>
      <c r="P670" s="151" t="inlineStr">
        <is>
          <t>grams</t>
        </is>
      </c>
      <c r="Q670" s="151" t="inlineStr">
        <is>
          <t>BLAST CHILLER, BRAISER, SPICE PORTIONING</t>
        </is>
      </c>
      <c r="R670" s="151" t="n"/>
      <c r="S670" s="151" t="n"/>
      <c r="T670" s="151" t="n"/>
      <c r="U670" s="151" t="n"/>
      <c r="V670" s="151" t="n"/>
      <c r="W670" s="151" t="inlineStr">
        <is>
          <t>FA-DE Onion, Spanish, Diced 5mm /Zwiebel, Spanisch, gewürfelt 5 mm</t>
        </is>
      </c>
      <c r="X670" s="151" t="inlineStr">
        <is>
          <t>PHF-00-139212-3</t>
        </is>
      </c>
      <c r="Y670" s="151" t="inlineStr">
        <is>
          <t>8,35</t>
        </is>
      </c>
      <c r="Z670" s="149" t="inlineStr">
        <is>
          <t>8,35</t>
        </is>
      </c>
      <c r="AA670" s="151" t="inlineStr">
        <is>
          <t>grams</t>
        </is>
      </c>
      <c r="AB670" s="151" t="n"/>
      <c r="AC670" s="151" t="n"/>
      <c r="AD670" s="150" t="n">
        <v>0.94991</v>
      </c>
      <c r="AE670" s="149" t="n">
        <v>8.35</v>
      </c>
      <c r="AF670" s="151" t="inlineStr">
        <is>
          <t>grams</t>
        </is>
      </c>
      <c r="AG670" s="151" t="n"/>
      <c r="AH670" s="151" t="n"/>
    </row>
    <row r="671">
      <c r="A671" s="151" t="inlineStr">
        <is>
          <t>FV0846A - Stroganoff-Style Beef Burger [DKSE]</t>
        </is>
      </c>
      <c r="B671" s="151" t="inlineStr">
        <is>
          <t>REC-029854-4-002</t>
        </is>
      </c>
      <c r="C671" s="151" t="inlineStr">
        <is>
          <t>Beef Burger Master EU</t>
        </is>
      </c>
      <c r="D671" s="151" t="inlineStr">
        <is>
          <t>SUB-031776-4-001</t>
        </is>
      </c>
      <c r="E671" s="150" t="n">
        <v>1</v>
      </c>
      <c r="F671" s="151" t="inlineStr">
        <is>
          <t>each</t>
        </is>
      </c>
      <c r="G671" s="151" t="inlineStr">
        <is>
          <t>BLAST CHILLER, HORIZONTAL MIXER, OVEN, PATTY MAKER</t>
        </is>
      </c>
      <c r="H671" s="151" t="inlineStr">
        <is>
          <t>Burger Patty</t>
        </is>
      </c>
      <c r="I671" s="151" t="inlineStr">
        <is>
          <t>SUB-031783-4-001</t>
        </is>
      </c>
      <c r="J671" s="150" t="n">
        <v>204</v>
      </c>
      <c r="K671" s="151" t="inlineStr">
        <is>
          <t>grams</t>
        </is>
      </c>
      <c r="L671" s="151" t="inlineStr">
        <is>
          <t>BLAST CHILLER, HORIZONTAL MIXER, OVEN, PATTY MAKER</t>
        </is>
      </c>
      <c r="M671" s="151" t="inlineStr">
        <is>
          <t>Cooked Burger Veggies</t>
        </is>
      </c>
      <c r="N671" s="151" t="inlineStr">
        <is>
          <t>SUB-031784-4-001</t>
        </is>
      </c>
      <c r="O671" s="150" t="n">
        <v>22.63</v>
      </c>
      <c r="P671" s="151" t="inlineStr">
        <is>
          <t>grams</t>
        </is>
      </c>
      <c r="Q671" s="151" t="inlineStr">
        <is>
          <t>BLAST CHILLER, BRAISER, SPICE PORTIONING</t>
        </is>
      </c>
      <c r="R671" s="151" t="n"/>
      <c r="S671" s="151" t="n"/>
      <c r="T671" s="151" t="n"/>
      <c r="U671" s="151" t="n"/>
      <c r="V671" s="151" t="n"/>
      <c r="W671" s="151" t="inlineStr">
        <is>
          <t>FA-DE Garlic, IQF, Diced 4 mm /Knoblauch, IQF, gewürfelt 4 mm</t>
        </is>
      </c>
      <c r="X671" s="151" t="inlineStr">
        <is>
          <t>PHF-00-139237-1</t>
        </is>
      </c>
      <c r="Y671" s="151" t="inlineStr">
        <is>
          <t>4,77</t>
        </is>
      </c>
      <c r="Z671" s="149" t="inlineStr">
        <is>
          <t>4,77</t>
        </is>
      </c>
      <c r="AA671" s="151" t="inlineStr">
        <is>
          <t>grams</t>
        </is>
      </c>
      <c r="AB671" s="151" t="inlineStr">
        <is>
          <t>SCHWEFELDIOXIDE UND SULFITE</t>
        </is>
      </c>
      <c r="AC671" s="151" t="n"/>
      <c r="AD671" s="150" t="n">
        <v>0.94991</v>
      </c>
      <c r="AE671" s="149" t="n">
        <v>4.77</v>
      </c>
      <c r="AF671" s="151" t="inlineStr">
        <is>
          <t>grams</t>
        </is>
      </c>
      <c r="AG671" s="151" t="n"/>
      <c r="AH671" s="151" t="n"/>
    </row>
    <row r="672">
      <c r="A672" s="151" t="inlineStr">
        <is>
          <t>FV0846A - Stroganoff-Style Beef Burger [DKSE]</t>
        </is>
      </c>
      <c r="B672" s="151" t="inlineStr">
        <is>
          <t>REC-029854-4-002</t>
        </is>
      </c>
      <c r="C672" s="151" t="inlineStr">
        <is>
          <t>Beef Burger Master EU</t>
        </is>
      </c>
      <c r="D672" s="151" t="inlineStr">
        <is>
          <t>SUB-031776-4-001</t>
        </is>
      </c>
      <c r="E672" s="150" t="n">
        <v>1</v>
      </c>
      <c r="F672" s="151" t="inlineStr">
        <is>
          <t>each</t>
        </is>
      </c>
      <c r="G672" s="151" t="inlineStr">
        <is>
          <t>BLAST CHILLER, HORIZONTAL MIXER, OVEN, PATTY MAKER</t>
        </is>
      </c>
      <c r="H672" s="151" t="inlineStr">
        <is>
          <t>Burger Patty</t>
        </is>
      </c>
      <c r="I672" s="151" t="inlineStr">
        <is>
          <t>SUB-031783-4-001</t>
        </is>
      </c>
      <c r="J672" s="150" t="n">
        <v>204</v>
      </c>
      <c r="K672" s="151" t="inlineStr">
        <is>
          <t>grams</t>
        </is>
      </c>
      <c r="L672" s="151" t="inlineStr">
        <is>
          <t>BLAST CHILLER, HORIZONTAL MIXER, OVEN, PATTY MAKER</t>
        </is>
      </c>
      <c r="M672" s="151" t="inlineStr">
        <is>
          <t>Cooked Burger Veggies</t>
        </is>
      </c>
      <c r="N672" s="151" t="inlineStr">
        <is>
          <t>SUB-031784-4-001</t>
        </is>
      </c>
      <c r="O672" s="150" t="n">
        <v>22.63</v>
      </c>
      <c r="P672" s="151" t="inlineStr">
        <is>
          <t>grams</t>
        </is>
      </c>
      <c r="Q672" s="151" t="inlineStr">
        <is>
          <t>BLAST CHILLER, BRAISER, SPICE PORTIONING</t>
        </is>
      </c>
      <c r="R672" s="151" t="n"/>
      <c r="S672" s="151" t="n"/>
      <c r="T672" s="151" t="n"/>
      <c r="U672" s="151" t="n"/>
      <c r="V672" s="151" t="n"/>
      <c r="W672" s="151" t="inlineStr">
        <is>
          <t>FA-DE Oil, Olive /Öl, Olivenöl</t>
        </is>
      </c>
      <c r="X672" s="151" t="inlineStr">
        <is>
          <t>PRO-00-139277-5</t>
        </is>
      </c>
      <c r="Y672" s="151" t="inlineStr">
        <is>
          <t>3,19</t>
        </is>
      </c>
      <c r="Z672" s="149" t="inlineStr">
        <is>
          <t>3,19</t>
        </is>
      </c>
      <c r="AA672" s="151" t="inlineStr">
        <is>
          <t>grams</t>
        </is>
      </c>
      <c r="AB672" s="151" t="n"/>
      <c r="AC672" s="151" t="n"/>
      <c r="AD672" s="150" t="n">
        <v>0.94991</v>
      </c>
      <c r="AE672" s="149" t="n">
        <v>3.19</v>
      </c>
      <c r="AF672" s="151" t="inlineStr">
        <is>
          <t>grams</t>
        </is>
      </c>
      <c r="AG672" s="151" t="n"/>
      <c r="AH672" s="151" t="n"/>
    </row>
    <row r="673">
      <c r="A673" s="151" t="inlineStr">
        <is>
          <t>FV0846A - Stroganoff-Style Beef Burger [DKSE]</t>
        </is>
      </c>
      <c r="B673" s="151" t="inlineStr">
        <is>
          <t>REC-029854-4-002</t>
        </is>
      </c>
      <c r="C673" s="151" t="inlineStr">
        <is>
          <t>Beef Burger Master EU</t>
        </is>
      </c>
      <c r="D673" s="151" t="inlineStr">
        <is>
          <t>SUB-031776-4-001</t>
        </is>
      </c>
      <c r="E673" s="150" t="n">
        <v>1</v>
      </c>
      <c r="F673" s="151" t="inlineStr">
        <is>
          <t>each</t>
        </is>
      </c>
      <c r="G673" s="151" t="inlineStr">
        <is>
          <t>BLAST CHILLER, HORIZONTAL MIXER, OVEN, PATTY MAKER</t>
        </is>
      </c>
      <c r="H673" s="151" t="inlineStr">
        <is>
          <t>Burger Patty</t>
        </is>
      </c>
      <c r="I673" s="151" t="inlineStr">
        <is>
          <t>SUB-031783-4-001</t>
        </is>
      </c>
      <c r="J673" s="150" t="n">
        <v>204</v>
      </c>
      <c r="K673" s="151" t="inlineStr">
        <is>
          <t>grams</t>
        </is>
      </c>
      <c r="L673" s="151" t="inlineStr">
        <is>
          <t>BLAST CHILLER, HORIZONTAL MIXER, OVEN, PATTY MAKER</t>
        </is>
      </c>
      <c r="M673" s="151" t="inlineStr">
        <is>
          <t>Cooked Burger Veggies</t>
        </is>
      </c>
      <c r="N673" s="151" t="inlineStr">
        <is>
          <t>SUB-031784-4-001</t>
        </is>
      </c>
      <c r="O673" s="150" t="n">
        <v>22.63</v>
      </c>
      <c r="P673" s="151" t="inlineStr">
        <is>
          <t>grams</t>
        </is>
      </c>
      <c r="Q673" s="151" t="inlineStr">
        <is>
          <t>BLAST CHILLER, BRAISER, SPICE PORTIONING</t>
        </is>
      </c>
      <c r="R673" s="151" t="n"/>
      <c r="S673" s="151" t="n"/>
      <c r="T673" s="151" t="n"/>
      <c r="U673" s="151" t="n"/>
      <c r="V673" s="151" t="n"/>
      <c r="W673" s="151" t="inlineStr">
        <is>
          <t>FA-DE Spice, Garlic Granulated /Gewürz, Knoblauch granuliert</t>
        </is>
      </c>
      <c r="X673" s="151" t="inlineStr">
        <is>
          <t>SPI-00-139353-5</t>
        </is>
      </c>
      <c r="Y673" s="151" t="inlineStr">
        <is>
          <t>2,39</t>
        </is>
      </c>
      <c r="Z673" s="149" t="inlineStr">
        <is>
          <t>2,39</t>
        </is>
      </c>
      <c r="AA673" s="151" t="inlineStr">
        <is>
          <t>grams</t>
        </is>
      </c>
      <c r="AB673" s="151" t="n"/>
      <c r="AC673" s="151" t="n"/>
      <c r="AD673" s="150" t="n">
        <v>0.94991</v>
      </c>
      <c r="AE673" s="149" t="n">
        <v>2.39</v>
      </c>
      <c r="AF673" s="151" t="inlineStr">
        <is>
          <t>grams</t>
        </is>
      </c>
      <c r="AG673" s="151" t="n"/>
      <c r="AH673" s="151" t="n"/>
    </row>
    <row r="674">
      <c r="A674" s="151" t="inlineStr">
        <is>
          <t>FV0846A - Stroganoff-Style Beef Burger [DKSE]</t>
        </is>
      </c>
      <c r="B674" s="151" t="inlineStr">
        <is>
          <t>REC-029854-4-002</t>
        </is>
      </c>
      <c r="C674" s="151" t="inlineStr">
        <is>
          <t>Beef Burger Master EU</t>
        </is>
      </c>
      <c r="D674" s="151" t="inlineStr">
        <is>
          <t>SUB-031776-4-001</t>
        </is>
      </c>
      <c r="E674" s="150" t="n">
        <v>1</v>
      </c>
      <c r="F674" s="151" t="inlineStr">
        <is>
          <t>each</t>
        </is>
      </c>
      <c r="G674" s="151" t="inlineStr">
        <is>
          <t>BLAST CHILLER, HORIZONTAL MIXER, OVEN, PATTY MAKER</t>
        </is>
      </c>
      <c r="H674" s="151" t="inlineStr">
        <is>
          <t>Burger Patty</t>
        </is>
      </c>
      <c r="I674" s="151" t="inlineStr">
        <is>
          <t>SUB-031783-4-001</t>
        </is>
      </c>
      <c r="J674" s="150" t="n">
        <v>204</v>
      </c>
      <c r="K674" s="151" t="inlineStr">
        <is>
          <t>grams</t>
        </is>
      </c>
      <c r="L674" s="151" t="inlineStr">
        <is>
          <t>BLAST CHILLER, HORIZONTAL MIXER, OVEN, PATTY MAKER</t>
        </is>
      </c>
      <c r="M674" s="151" t="inlineStr">
        <is>
          <t>Cooked Burger Veggies</t>
        </is>
      </c>
      <c r="N674" s="151" t="inlineStr">
        <is>
          <t>SUB-031784-4-001</t>
        </is>
      </c>
      <c r="O674" s="150" t="n">
        <v>22.63</v>
      </c>
      <c r="P674" s="151" t="inlineStr">
        <is>
          <t>grams</t>
        </is>
      </c>
      <c r="Q674" s="151" t="inlineStr">
        <is>
          <t>BLAST CHILLER, BRAISER, SPICE PORTIONING</t>
        </is>
      </c>
      <c r="R674" s="151" t="n"/>
      <c r="S674" s="151" t="n"/>
      <c r="T674" s="151" t="n"/>
      <c r="U674" s="151" t="n"/>
      <c r="V674" s="151" t="n"/>
      <c r="W674" s="151" t="inlineStr">
        <is>
          <t>FA-DE Spice, Onion Granulated /Gewürze, Zwiebeln granuliert</t>
        </is>
      </c>
      <c r="X674" s="151" t="inlineStr">
        <is>
          <t>SPI-00-139370-5</t>
        </is>
      </c>
      <c r="Y674" s="151" t="inlineStr">
        <is>
          <t>4,77</t>
        </is>
      </c>
      <c r="Z674" s="149" t="inlineStr">
        <is>
          <t>4,77</t>
        </is>
      </c>
      <c r="AA674" s="151" t="inlineStr">
        <is>
          <t>grams</t>
        </is>
      </c>
      <c r="AB674" s="151" t="n"/>
      <c r="AC674" s="151" t="n"/>
      <c r="AD674" s="150" t="n">
        <v>0.94991</v>
      </c>
      <c r="AE674" s="149" t="n">
        <v>4.77</v>
      </c>
      <c r="AF674" s="151" t="inlineStr">
        <is>
          <t>grams</t>
        </is>
      </c>
      <c r="AG674" s="151" t="n"/>
      <c r="AH674" s="151" t="n"/>
    </row>
    <row r="675">
      <c r="A675" s="151" t="inlineStr">
        <is>
          <t>FV0846A - Stroganoff-Style Beef Burger [DKSE]</t>
        </is>
      </c>
      <c r="B675" s="151" t="inlineStr">
        <is>
          <t>REC-029854-4-002</t>
        </is>
      </c>
      <c r="C675" s="151" t="inlineStr">
        <is>
          <t>Beef Burger Master EU</t>
        </is>
      </c>
      <c r="D675" s="151" t="inlineStr">
        <is>
          <t>SUB-031776-4-001</t>
        </is>
      </c>
      <c r="E675" s="150" t="n">
        <v>1</v>
      </c>
      <c r="F675" s="151" t="inlineStr">
        <is>
          <t>each</t>
        </is>
      </c>
      <c r="G675" s="151" t="inlineStr">
        <is>
          <t>BLAST CHILLER, HORIZONTAL MIXER, OVEN, PATTY MAKER</t>
        </is>
      </c>
      <c r="H675" s="151" t="inlineStr">
        <is>
          <t>Burger Patty</t>
        </is>
      </c>
      <c r="I675" s="151" t="inlineStr">
        <is>
          <t>SUB-031783-4-001</t>
        </is>
      </c>
      <c r="J675" s="150" t="n">
        <v>204</v>
      </c>
      <c r="K675" s="151" t="inlineStr">
        <is>
          <t>grams</t>
        </is>
      </c>
      <c r="L675" s="151" t="inlineStr">
        <is>
          <t>BLAST CHILLER, HORIZONTAL MIXER, OVEN, PATTY MAKER</t>
        </is>
      </c>
      <c r="M675" s="151" t="inlineStr">
        <is>
          <t>Cooked Burger Veggies</t>
        </is>
      </c>
      <c r="N675" s="151" t="inlineStr">
        <is>
          <t>SUB-031784-4-001</t>
        </is>
      </c>
      <c r="O675" s="150" t="n">
        <v>22.63</v>
      </c>
      <c r="P675" s="151" t="inlineStr">
        <is>
          <t>grams</t>
        </is>
      </c>
      <c r="Q675" s="151" t="inlineStr">
        <is>
          <t>BLAST CHILLER, BRAISER, SPICE PORTIONING</t>
        </is>
      </c>
      <c r="R675" s="151" t="n"/>
      <c r="S675" s="151" t="n"/>
      <c r="T675" s="151" t="n"/>
      <c r="U675" s="151" t="n"/>
      <c r="V675" s="151" t="n"/>
      <c r="W675" s="151" t="inlineStr">
        <is>
          <t>FA-DE Spice, Sea Salt /Gewürze, Meersalz</t>
        </is>
      </c>
      <c r="X675" s="151" t="inlineStr">
        <is>
          <t>SPI-00-139378-5</t>
        </is>
      </c>
      <c r="Y675" s="151" t="inlineStr">
        <is>
          <t>0,35</t>
        </is>
      </c>
      <c r="Z675" s="149" t="inlineStr">
        <is>
          <t>0,35</t>
        </is>
      </c>
      <c r="AA675" s="151" t="inlineStr">
        <is>
          <t>grams</t>
        </is>
      </c>
      <c r="AB675" s="151" t="n"/>
      <c r="AC675" s="151" t="n"/>
      <c r="AD675" s="150" t="n">
        <v>0.94991</v>
      </c>
      <c r="AE675" s="149" t="n">
        <v>0.35</v>
      </c>
      <c r="AF675" s="151" t="inlineStr">
        <is>
          <t>grams</t>
        </is>
      </c>
      <c r="AG675" s="151" t="n"/>
      <c r="AH675" s="151" t="n"/>
    </row>
    <row r="676">
      <c r="A676" s="151" t="inlineStr">
        <is>
          <t>FV0846A - Stroganoff-Style Beef Burger [DKSE]</t>
        </is>
      </c>
      <c r="B676" s="151" t="inlineStr">
        <is>
          <t>REC-029854-4-002</t>
        </is>
      </c>
      <c r="C676" s="151" t="inlineStr">
        <is>
          <t>Beef Burger Master EU</t>
        </is>
      </c>
      <c r="D676" s="151" t="inlineStr">
        <is>
          <t>SUB-031776-4-001</t>
        </is>
      </c>
      <c r="E676" s="150" t="n">
        <v>1</v>
      </c>
      <c r="F676" s="151" t="inlineStr">
        <is>
          <t>each</t>
        </is>
      </c>
      <c r="G676" s="151" t="inlineStr">
        <is>
          <t>BLAST CHILLER, HORIZONTAL MIXER, OVEN, PATTY MAKER</t>
        </is>
      </c>
      <c r="H676" s="151" t="inlineStr">
        <is>
          <t>Burger Patty</t>
        </is>
      </c>
      <c r="I676" s="151" t="inlineStr">
        <is>
          <t>SUB-031783-4-001</t>
        </is>
      </c>
      <c r="J676" s="150" t="n">
        <v>204</v>
      </c>
      <c r="K676" s="151" t="inlineStr">
        <is>
          <t>grams</t>
        </is>
      </c>
      <c r="L676" s="151" t="inlineStr">
        <is>
          <t>BLAST CHILLER, HORIZONTAL MIXER, OVEN, PATTY MAKER</t>
        </is>
      </c>
      <c r="M676" s="151" t="inlineStr">
        <is>
          <t>Burger Stock</t>
        </is>
      </c>
      <c r="N676" s="151" t="inlineStr">
        <is>
          <t>SUB-031810-4-001</t>
        </is>
      </c>
      <c r="O676" s="150" t="n">
        <v>17.61</v>
      </c>
      <c r="P676" s="151" t="inlineStr">
        <is>
          <t>grams</t>
        </is>
      </c>
      <c r="Q676" s="151" t="inlineStr">
        <is>
          <t>IMMERSION BLENDER</t>
        </is>
      </c>
      <c r="R676" s="151" t="n"/>
      <c r="S676" s="151" t="n"/>
      <c r="T676" s="151" t="n"/>
      <c r="U676" s="151" t="n"/>
      <c r="V676" s="151" t="n"/>
      <c r="W676" s="151" t="inlineStr">
        <is>
          <t>FA-DE Water / Wasser</t>
        </is>
      </c>
      <c r="X676" s="151" t="inlineStr">
        <is>
          <t>OTH-00-144038-5</t>
        </is>
      </c>
      <c r="Y676" s="155" t="inlineStr">
        <is>
          <t>16,07</t>
        </is>
      </c>
      <c r="Z676" s="149" t="inlineStr">
        <is>
          <t>16,07</t>
        </is>
      </c>
      <c r="AA676" s="151" t="inlineStr">
        <is>
          <t>grams</t>
        </is>
      </c>
      <c r="AB676" s="151" t="n"/>
      <c r="AC676" s="151" t="n"/>
      <c r="AD676" s="150" t="n">
        <v>0.98807</v>
      </c>
      <c r="AE676" s="149" t="n">
        <v>16.07</v>
      </c>
      <c r="AF676" s="151" t="inlineStr">
        <is>
          <t>grams</t>
        </is>
      </c>
      <c r="AG676" s="151" t="n"/>
      <c r="AH676" s="151" t="n"/>
    </row>
    <row r="677">
      <c r="A677" s="151" t="inlineStr">
        <is>
          <t>FV0846A - Stroganoff-Style Beef Burger [DKSE]</t>
        </is>
      </c>
      <c r="B677" s="151" t="inlineStr">
        <is>
          <t>REC-029854-4-002</t>
        </is>
      </c>
      <c r="C677" s="151" t="inlineStr">
        <is>
          <t>Beef Burger Master EU</t>
        </is>
      </c>
      <c r="D677" s="151" t="inlineStr">
        <is>
          <t>SUB-031776-4-001</t>
        </is>
      </c>
      <c r="E677" s="150" t="n">
        <v>1</v>
      </c>
      <c r="F677" s="151" t="inlineStr">
        <is>
          <t>each</t>
        </is>
      </c>
      <c r="G677" s="151" t="inlineStr">
        <is>
          <t>BLAST CHILLER, HORIZONTAL MIXER, OVEN, PATTY MAKER</t>
        </is>
      </c>
      <c r="H677" s="151" t="inlineStr">
        <is>
          <t>Burger Patty</t>
        </is>
      </c>
      <c r="I677" s="151" t="inlineStr">
        <is>
          <t>SUB-031783-4-001</t>
        </is>
      </c>
      <c r="J677" s="150" t="n">
        <v>204</v>
      </c>
      <c r="K677" s="151" t="inlineStr">
        <is>
          <t>grams</t>
        </is>
      </c>
      <c r="L677" s="151" t="inlineStr">
        <is>
          <t>BLAST CHILLER, HORIZONTAL MIXER, OVEN, PATTY MAKER</t>
        </is>
      </c>
      <c r="M677" s="151" t="inlineStr">
        <is>
          <t>Burger Stock</t>
        </is>
      </c>
      <c r="N677" s="151" t="inlineStr">
        <is>
          <t>SUB-031810-4-001</t>
        </is>
      </c>
      <c r="O677" s="150" t="n">
        <v>17.61</v>
      </c>
      <c r="P677" s="151" t="inlineStr">
        <is>
          <t>grams</t>
        </is>
      </c>
      <c r="Q677" s="151" t="inlineStr">
        <is>
          <t>IMMERSION BLENDER</t>
        </is>
      </c>
      <c r="R677" s="151" t="n"/>
      <c r="S677" s="151" t="n"/>
      <c r="T677" s="151" t="n"/>
      <c r="U677" s="151" t="n"/>
      <c r="V677" s="151" t="n"/>
      <c r="W677" s="151" t="inlineStr">
        <is>
          <t>FA-DE Stock, Chicken, Reduced/Brühe, Huhn, Reduziert</t>
        </is>
      </c>
      <c r="X677" s="151" t="inlineStr">
        <is>
          <t>PRO-00-139288-5</t>
        </is>
      </c>
      <c r="Y677" s="153" t="inlineStr">
        <is>
          <t>1,14</t>
        </is>
      </c>
      <c r="Z677" s="149" t="inlineStr">
        <is>
          <t>1,14</t>
        </is>
      </c>
      <c r="AA677" s="151" t="inlineStr">
        <is>
          <t>grams</t>
        </is>
      </c>
      <c r="AB677" s="151" t="n"/>
      <c r="AC677" s="151" t="n"/>
      <c r="AD677" s="150" t="n">
        <v>0.98807</v>
      </c>
      <c r="AE677" s="149" t="n">
        <v>1.14</v>
      </c>
      <c r="AF677" s="151" t="inlineStr">
        <is>
          <t>grams</t>
        </is>
      </c>
      <c r="AG677" s="151" t="n"/>
      <c r="AH677" s="151" t="n"/>
    </row>
    <row r="678">
      <c r="A678" s="151" t="inlineStr">
        <is>
          <t>FV0846A - Stroganoff-Style Beef Burger [DKSE]</t>
        </is>
      </c>
      <c r="B678" s="151" t="inlineStr">
        <is>
          <t>REC-029854-4-002</t>
        </is>
      </c>
      <c r="C678" s="151" t="inlineStr">
        <is>
          <t>Beef Burger Master EU</t>
        </is>
      </c>
      <c r="D678" s="151" t="inlineStr">
        <is>
          <t>SUB-031776-4-001</t>
        </is>
      </c>
      <c r="E678" s="150" t="n">
        <v>1</v>
      </c>
      <c r="F678" s="151" t="inlineStr">
        <is>
          <t>each</t>
        </is>
      </c>
      <c r="G678" s="151" t="inlineStr">
        <is>
          <t>BLAST CHILLER, HORIZONTAL MIXER, OVEN, PATTY MAKER</t>
        </is>
      </c>
      <c r="H678" s="151" t="inlineStr">
        <is>
          <t>Burger Patty</t>
        </is>
      </c>
      <c r="I678" s="151" t="inlineStr">
        <is>
          <t>SUB-031783-4-001</t>
        </is>
      </c>
      <c r="J678" s="150" t="n">
        <v>204</v>
      </c>
      <c r="K678" s="151" t="inlineStr">
        <is>
          <t>grams</t>
        </is>
      </c>
      <c r="L678" s="151" t="inlineStr">
        <is>
          <t>BLAST CHILLER, HORIZONTAL MIXER, OVEN, PATTY MAKER</t>
        </is>
      </c>
      <c r="M678" s="151" t="inlineStr">
        <is>
          <t>Burger Stock</t>
        </is>
      </c>
      <c r="N678" s="151" t="inlineStr">
        <is>
          <t>SUB-031810-4-001</t>
        </is>
      </c>
      <c r="O678" s="150" t="n">
        <v>17.61</v>
      </c>
      <c r="P678" s="151" t="inlineStr">
        <is>
          <t>grams</t>
        </is>
      </c>
      <c r="Q678" s="151" t="inlineStr">
        <is>
          <t>IMMERSION BLENDER</t>
        </is>
      </c>
      <c r="R678" s="151" t="n"/>
      <c r="S678" s="151" t="n"/>
      <c r="T678" s="151" t="n"/>
      <c r="U678" s="151" t="n"/>
      <c r="V678" s="151" t="n"/>
      <c r="W678" s="151" t="inlineStr">
        <is>
          <t>FA-DE Spice, Sea Salt /Gewürze, Meersalz</t>
        </is>
      </c>
      <c r="X678" s="151" t="inlineStr">
        <is>
          <t>SPI-00-139378-5</t>
        </is>
      </c>
      <c r="Y678" s="151" t="inlineStr">
        <is>
          <t>0,61</t>
        </is>
      </c>
      <c r="Z678" s="149" t="inlineStr">
        <is>
          <t>0,61</t>
        </is>
      </c>
      <c r="AA678" s="151" t="inlineStr">
        <is>
          <t>grams</t>
        </is>
      </c>
      <c r="AB678" s="151" t="n"/>
      <c r="AC678" s="151" t="n"/>
      <c r="AD678" s="150" t="n">
        <v>0.98807</v>
      </c>
      <c r="AE678" s="149" t="n">
        <v>0.61</v>
      </c>
      <c r="AF678" s="151" t="inlineStr">
        <is>
          <t>grams</t>
        </is>
      </c>
      <c r="AG678" s="151" t="n"/>
      <c r="AH678" s="151" t="n"/>
    </row>
    <row r="679">
      <c r="A679" s="151" t="inlineStr">
        <is>
          <t>FV0846A - Stroganoff-Style Beef Burger [DKSE]</t>
        </is>
      </c>
      <c r="B679" s="151" t="inlineStr">
        <is>
          <t>REC-029854-4-002</t>
        </is>
      </c>
      <c r="C679" s="151" t="inlineStr">
        <is>
          <t>Roasted Green Onions</t>
        </is>
      </c>
      <c r="D679" s="151" t="inlineStr">
        <is>
          <t>SUB-023370-4-001</t>
        </is>
      </c>
      <c r="E679" s="150" t="n">
        <v>5</v>
      </c>
      <c r="F679" s="151" t="inlineStr">
        <is>
          <t>grams</t>
        </is>
      </c>
      <c r="G679" s="151" t="inlineStr">
        <is>
          <t>BLAST CHILLER, OVEN</t>
        </is>
      </c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inlineStr">
        <is>
          <t>FA-DE Onion, Green, Sliced 5mm /Zwiebel, grün, in Scheiben geschnitten, 5 mm</t>
        </is>
      </c>
      <c r="X679" s="151" t="inlineStr">
        <is>
          <t>PHF-00-149803-3</t>
        </is>
      </c>
      <c r="Y679" s="151" t="inlineStr">
        <is>
          <t>5,88</t>
        </is>
      </c>
      <c r="Z679" s="149" t="inlineStr">
        <is>
          <t>5,88</t>
        </is>
      </c>
      <c r="AA679" s="151" t="inlineStr">
        <is>
          <t>grams</t>
        </is>
      </c>
      <c r="AB679" s="151" t="n"/>
      <c r="AC679" s="151" t="n"/>
      <c r="AD679" s="150" t="n">
        <v>0.85</v>
      </c>
      <c r="AE679" s="149" t="n">
        <v>5.88</v>
      </c>
      <c r="AF679" s="151" t="inlineStr">
        <is>
          <t>grams</t>
        </is>
      </c>
      <c r="AG679" s="151" t="n"/>
      <c r="AH679" s="151" t="n"/>
    </row>
    <row r="680">
      <c r="A680" s="151" t="inlineStr">
        <is>
          <t>FV0846A - Stroganoff-Style Beef Burger [DKSE]</t>
        </is>
      </c>
      <c r="B680" s="151" t="inlineStr">
        <is>
          <t>REC-029854-4-002</t>
        </is>
      </c>
      <c r="C680" s="151" t="inlineStr">
        <is>
          <t>Green Beans CUT 1-1/2 - Fresh - Less Salt</t>
        </is>
      </c>
      <c r="D680" s="151" t="inlineStr">
        <is>
          <t>SUB-029004-4-001</t>
        </is>
      </c>
      <c r="E680" s="150" t="n">
        <v>50</v>
      </c>
      <c r="F680" s="151" t="inlineStr">
        <is>
          <t>grams</t>
        </is>
      </c>
      <c r="G680" s="151" t="inlineStr">
        <is>
          <t>BLAST CHILLER, OVEN</t>
        </is>
      </c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inlineStr">
        <is>
          <t>FA-DE Green Beans, Fresh and Trimmed/Grüne Bohnen, frisch und geschnitten</t>
        </is>
      </c>
      <c r="X680" s="151" t="inlineStr">
        <is>
          <t>PHF-00-139198-3</t>
        </is>
      </c>
      <c r="Y680" s="151" t="inlineStr">
        <is>
          <t>64,19</t>
        </is>
      </c>
      <c r="Z680" s="149" t="inlineStr">
        <is>
          <t>64,19</t>
        </is>
      </c>
      <c r="AA680" s="151" t="inlineStr">
        <is>
          <t>grams</t>
        </is>
      </c>
      <c r="AB680" s="151" t="n"/>
      <c r="AC680" s="151" t="n"/>
      <c r="AD680" s="150" t="n">
        <v>0.73433</v>
      </c>
      <c r="AE680" s="149" t="n">
        <v>64.19</v>
      </c>
      <c r="AF680" s="151" t="inlineStr">
        <is>
          <t>grams</t>
        </is>
      </c>
      <c r="AG680" s="151" t="n"/>
      <c r="AH680" s="151" t="n"/>
    </row>
    <row r="681">
      <c r="A681" s="151" t="inlineStr">
        <is>
          <t>FV0846A - Stroganoff-Style Beef Burger [DKSE]</t>
        </is>
      </c>
      <c r="B681" s="151" t="inlineStr">
        <is>
          <t>REC-029854-4-002</t>
        </is>
      </c>
      <c r="C681" s="151" t="inlineStr">
        <is>
          <t>Green Beans CUT 1-1/2 - Fresh - Less Salt</t>
        </is>
      </c>
      <c r="D681" s="151" t="inlineStr">
        <is>
          <t>SUB-029004-4-001</t>
        </is>
      </c>
      <c r="E681" s="150" t="n">
        <v>50</v>
      </c>
      <c r="F681" s="151" t="inlineStr">
        <is>
          <t>grams</t>
        </is>
      </c>
      <c r="G681" s="151" t="inlineStr">
        <is>
          <t>BLAST CHILLER, OVEN</t>
        </is>
      </c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inlineStr">
        <is>
          <t>FA-DE Oil, Olive /Öl, Olivenöl</t>
        </is>
      </c>
      <c r="X681" s="151" t="inlineStr">
        <is>
          <t>PRO-00-139277-5</t>
        </is>
      </c>
      <c r="Y681" s="151" t="inlineStr">
        <is>
          <t>3,28</t>
        </is>
      </c>
      <c r="Z681" s="149" t="inlineStr">
        <is>
          <t>3,28</t>
        </is>
      </c>
      <c r="AA681" s="151" t="inlineStr">
        <is>
          <t>grams</t>
        </is>
      </c>
      <c r="AB681" s="151" t="n"/>
      <c r="AC681" s="151" t="n"/>
      <c r="AD681" s="150" t="n">
        <v>0.73433</v>
      </c>
      <c r="AE681" s="149" t="n">
        <v>3.28</v>
      </c>
      <c r="AF681" s="151" t="inlineStr">
        <is>
          <t>grams</t>
        </is>
      </c>
      <c r="AG681" s="151" t="n"/>
      <c r="AH681" s="151" t="n"/>
    </row>
    <row r="682">
      <c r="A682" s="151" t="inlineStr">
        <is>
          <t>FV0846A - Stroganoff-Style Beef Burger [DKSE]</t>
        </is>
      </c>
      <c r="B682" s="151" t="inlineStr">
        <is>
          <t>REC-029854-4-002</t>
        </is>
      </c>
      <c r="C682" s="151" t="inlineStr">
        <is>
          <t>Green Beans CUT 1-1/2 - Fresh - Less Salt</t>
        </is>
      </c>
      <c r="D682" s="151" t="inlineStr">
        <is>
          <t>SUB-029004-4-001</t>
        </is>
      </c>
      <c r="E682" s="150" t="n">
        <v>50</v>
      </c>
      <c r="F682" s="151" t="inlineStr">
        <is>
          <t>grams</t>
        </is>
      </c>
      <c r="G682" s="151" t="inlineStr">
        <is>
          <t>BLAST CHILLER, OVEN</t>
        </is>
      </c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inlineStr">
        <is>
          <t>FA-DE Spice, Sea Salt /Gewürze, Meersalz</t>
        </is>
      </c>
      <c r="X682" s="151" t="inlineStr">
        <is>
          <t>SPI-00-139378-5</t>
        </is>
      </c>
      <c r="Y682" s="151" t="inlineStr">
        <is>
          <t>0,27</t>
        </is>
      </c>
      <c r="Z682" s="149" t="inlineStr">
        <is>
          <t>0,27</t>
        </is>
      </c>
      <c r="AA682" s="151" t="inlineStr">
        <is>
          <t>grams</t>
        </is>
      </c>
      <c r="AB682" s="151" t="n"/>
      <c r="AC682" s="151" t="n"/>
      <c r="AD682" s="150" t="n">
        <v>0.73433</v>
      </c>
      <c r="AE682" s="149" t="n">
        <v>0.27</v>
      </c>
      <c r="AF682" s="151" t="inlineStr">
        <is>
          <t>grams</t>
        </is>
      </c>
      <c r="AG682" s="151" t="n"/>
      <c r="AH682" s="151" t="n"/>
    </row>
    <row r="683">
      <c r="A683" s="151" t="inlineStr">
        <is>
          <t>FV0846A - Stroganoff-Style Beef Burger [DKSE]</t>
        </is>
      </c>
      <c r="B683" s="151" t="inlineStr">
        <is>
          <t>REC-029854-4-002</t>
        </is>
      </c>
      <c r="C683" s="151" t="inlineStr">
        <is>
          <t>Green Beans CUT 1-1/2 - Fresh - Less Salt</t>
        </is>
      </c>
      <c r="D683" s="151" t="inlineStr">
        <is>
          <t>SUB-029004-4-001</t>
        </is>
      </c>
      <c r="E683" s="150" t="n">
        <v>50</v>
      </c>
      <c r="F683" s="151" t="inlineStr">
        <is>
          <t>grams</t>
        </is>
      </c>
      <c r="G683" s="151" t="inlineStr">
        <is>
          <t>BLAST CHILLER, OVEN</t>
        </is>
      </c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inlineStr">
        <is>
          <t>FA-DE Spice, Black Pepper, Ground /Gewürz, schwarzer Pfeffer, gemahlen</t>
        </is>
      </c>
      <c r="X683" s="151" t="inlineStr">
        <is>
          <t>SPI-00-139334-5</t>
        </is>
      </c>
      <c r="Y683" s="151" t="inlineStr">
        <is>
          <t>0,09</t>
        </is>
      </c>
      <c r="Z683" s="149" t="inlineStr">
        <is>
          <t>0,09</t>
        </is>
      </c>
      <c r="AA683" s="151" t="inlineStr">
        <is>
          <t>grams</t>
        </is>
      </c>
      <c r="AB683" s="151" t="n"/>
      <c r="AC683" s="151" t="n"/>
      <c r="AD683" s="150" t="n">
        <v>0.73433</v>
      </c>
      <c r="AE683" s="149" t="n">
        <v>0.09</v>
      </c>
      <c r="AF683" s="151" t="inlineStr">
        <is>
          <t>grams</t>
        </is>
      </c>
      <c r="AG683" s="151" t="n"/>
      <c r="AH683" s="151" t="n"/>
    </row>
    <row r="684">
      <c r="A684" s="151" t="inlineStr">
        <is>
          <t>FV0846A - Stroganoff-Style Beef Burger [DKSE]</t>
        </is>
      </c>
      <c r="B684" s="151" t="inlineStr">
        <is>
          <t>REC-029854-4-002</t>
        </is>
      </c>
      <c r="C684" s="151" t="inlineStr">
        <is>
          <t>Green Beans CUT 1-1/2 - Fresh - Less Salt</t>
        </is>
      </c>
      <c r="D684" s="151" t="inlineStr">
        <is>
          <t>SUB-029004-4-001</t>
        </is>
      </c>
      <c r="E684" s="150" t="n">
        <v>50</v>
      </c>
      <c r="F684" s="151" t="inlineStr">
        <is>
          <t>grams</t>
        </is>
      </c>
      <c r="G684" s="151" t="inlineStr">
        <is>
          <t>BLAST CHILLER, OVEN</t>
        </is>
      </c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inlineStr">
        <is>
          <t>FA-DE Spice, Garlic Granulated /Gewürz, Knoblauch granuliert</t>
        </is>
      </c>
      <c r="X684" s="151" t="inlineStr">
        <is>
          <t>SPI-00-139353-5</t>
        </is>
      </c>
      <c r="Y684" s="151" t="inlineStr">
        <is>
          <t>0,27</t>
        </is>
      </c>
      <c r="Z684" s="149" t="inlineStr">
        <is>
          <t>0,27</t>
        </is>
      </c>
      <c r="AA684" s="151" t="inlineStr">
        <is>
          <t>grams</t>
        </is>
      </c>
      <c r="AB684" s="151" t="n"/>
      <c r="AC684" s="151" t="n"/>
      <c r="AD684" s="150" t="n">
        <v>0.73433</v>
      </c>
      <c r="AE684" s="149" t="n">
        <v>0.27</v>
      </c>
      <c r="AF684" s="151" t="inlineStr">
        <is>
          <t>grams</t>
        </is>
      </c>
      <c r="AG684" s="151" t="n"/>
      <c r="AH684" s="151" t="n"/>
    </row>
    <row r="685">
      <c r="A685" s="151" t="inlineStr">
        <is>
          <t>FV0846A - Stroganoff-Style Beef Burger [DKSE]</t>
        </is>
      </c>
      <c r="B685" s="151" t="inlineStr">
        <is>
          <t>REC-029854-4-002</t>
        </is>
      </c>
      <c r="C685" s="151" t="inlineStr">
        <is>
          <t>Loaded Roasted Sliced Mushrooms 1/2 green onion</t>
        </is>
      </c>
      <c r="D685" s="151" t="inlineStr">
        <is>
          <t>SUB-029969-4-001</t>
        </is>
      </c>
      <c r="E685" s="150" t="n">
        <v>50</v>
      </c>
      <c r="F685" s="151" t="inlineStr">
        <is>
          <t>grams</t>
        </is>
      </c>
      <c r="G685" s="151" t="inlineStr">
        <is>
          <t>BLAST CHILLER, OVEN</t>
        </is>
      </c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inlineStr">
        <is>
          <t>FA-DE Mushroom, Button, Sliced, Washed /Pilz, Knopf, geschnitten, gewaschen</t>
        </is>
      </c>
      <c r="X685" s="151" t="inlineStr">
        <is>
          <t>PHF-00-139206-3</t>
        </is>
      </c>
      <c r="Y685" s="151" t="inlineStr">
        <is>
          <t>67,6</t>
        </is>
      </c>
      <c r="Z685" s="149" t="inlineStr">
        <is>
          <t>67,6</t>
        </is>
      </c>
      <c r="AA685" s="151" t="inlineStr">
        <is>
          <t>grams</t>
        </is>
      </c>
      <c r="AB685" s="151" t="n"/>
      <c r="AC685" s="151" t="n"/>
      <c r="AD685" s="150" t="n">
        <v>0.59865</v>
      </c>
      <c r="AE685" s="149" t="n">
        <v>67.59999999999999</v>
      </c>
      <c r="AF685" s="151" t="inlineStr">
        <is>
          <t>grams</t>
        </is>
      </c>
      <c r="AG685" s="151" t="n"/>
      <c r="AH685" s="151" t="n"/>
    </row>
    <row r="686">
      <c r="A686" s="151" t="inlineStr">
        <is>
          <t>FV0846A - Stroganoff-Style Beef Burger [DKSE]</t>
        </is>
      </c>
      <c r="B686" s="151" t="inlineStr">
        <is>
          <t>REC-029854-4-002</t>
        </is>
      </c>
      <c r="C686" s="151" t="inlineStr">
        <is>
          <t>Loaded Roasted Sliced Mushrooms 1/2 green onion</t>
        </is>
      </c>
      <c r="D686" s="151" t="inlineStr">
        <is>
          <t>SUB-029969-4-001</t>
        </is>
      </c>
      <c r="E686" s="150" t="n">
        <v>50</v>
      </c>
      <c r="F686" s="151" t="inlineStr">
        <is>
          <t>grams</t>
        </is>
      </c>
      <c r="G686" s="151" t="inlineStr">
        <is>
          <t>BLAST CHILLER, OVEN</t>
        </is>
      </c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inlineStr">
        <is>
          <t>FA-DE Onion, Green, Sliced 5mm /Zwiebel, grün, in Scheiben geschnitten, 5 mm</t>
        </is>
      </c>
      <c r="X686" s="151" t="inlineStr">
        <is>
          <t>PHF-00-149803-3</t>
        </is>
      </c>
      <c r="Y686" s="151" t="inlineStr">
        <is>
          <t>1,69</t>
        </is>
      </c>
      <c r="Z686" s="149" t="inlineStr">
        <is>
          <t>1,69</t>
        </is>
      </c>
      <c r="AA686" s="151" t="inlineStr">
        <is>
          <t>grams</t>
        </is>
      </c>
      <c r="AB686" s="151" t="n"/>
      <c r="AC686" s="151" t="n"/>
      <c r="AD686" s="150" t="n">
        <v>0.59865</v>
      </c>
      <c r="AE686" s="149" t="n">
        <v>1.69</v>
      </c>
      <c r="AF686" s="151" t="inlineStr">
        <is>
          <t>grams</t>
        </is>
      </c>
      <c r="AG686" s="151" t="n"/>
      <c r="AH686" s="151" t="n"/>
    </row>
    <row r="687">
      <c r="A687" s="151" t="inlineStr">
        <is>
          <t>FV0846A - Stroganoff-Style Beef Burger [DKSE]</t>
        </is>
      </c>
      <c r="B687" s="151" t="inlineStr">
        <is>
          <t>REC-029854-4-002</t>
        </is>
      </c>
      <c r="C687" s="151" t="inlineStr">
        <is>
          <t>Loaded Roasted Sliced Mushrooms 1/2 green onion</t>
        </is>
      </c>
      <c r="D687" s="151" t="inlineStr">
        <is>
          <t>SUB-029969-4-001</t>
        </is>
      </c>
      <c r="E687" s="150" t="n">
        <v>50</v>
      </c>
      <c r="F687" s="151" t="inlineStr">
        <is>
          <t>grams</t>
        </is>
      </c>
      <c r="G687" s="151" t="inlineStr">
        <is>
          <t>BLAST CHILLER, OVEN</t>
        </is>
      </c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inlineStr">
        <is>
          <t>FA-DE Garlic, IQF, Diced 4 mm /Knoblauch, IQF, gewürfelt 4 mm</t>
        </is>
      </c>
      <c r="X687" s="151" t="inlineStr">
        <is>
          <t>PHF-00-139237-1</t>
        </is>
      </c>
      <c r="Y687" s="151" t="inlineStr">
        <is>
          <t>3,16</t>
        </is>
      </c>
      <c r="Z687" s="149" t="inlineStr">
        <is>
          <t>3,16</t>
        </is>
      </c>
      <c r="AA687" s="151" t="inlineStr">
        <is>
          <t>grams</t>
        </is>
      </c>
      <c r="AB687" s="151" t="inlineStr">
        <is>
          <t>SCHWEFELDIOXIDE UND SULFITE</t>
        </is>
      </c>
      <c r="AC687" s="151" t="n"/>
      <c r="AD687" s="150" t="n">
        <v>0.59865</v>
      </c>
      <c r="AE687" s="149" t="n">
        <v>3.16</v>
      </c>
      <c r="AF687" s="151" t="inlineStr">
        <is>
          <t>grams</t>
        </is>
      </c>
      <c r="AG687" s="151" t="n"/>
      <c r="AH687" s="151" t="n"/>
    </row>
    <row r="688">
      <c r="A688" s="151" t="inlineStr">
        <is>
          <t>FV0846A - Stroganoff-Style Beef Burger [DKSE]</t>
        </is>
      </c>
      <c r="B688" s="151" t="inlineStr">
        <is>
          <t>REC-029854-4-002</t>
        </is>
      </c>
      <c r="C688" s="151" t="inlineStr">
        <is>
          <t>Loaded Roasted Sliced Mushrooms 1/2 green onion</t>
        </is>
      </c>
      <c r="D688" s="151" t="inlineStr">
        <is>
          <t>SUB-029969-4-001</t>
        </is>
      </c>
      <c r="E688" s="150" t="n">
        <v>50</v>
      </c>
      <c r="F688" s="151" t="inlineStr">
        <is>
          <t>grams</t>
        </is>
      </c>
      <c r="G688" s="151" t="inlineStr">
        <is>
          <t>BLAST CHILLER, OVEN</t>
        </is>
      </c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inlineStr">
        <is>
          <t>FA-DE Oil, Olive /Öl, Olivenöl</t>
        </is>
      </c>
      <c r="X688" s="151" t="inlineStr">
        <is>
          <t>PRO-00-139277-5</t>
        </is>
      </c>
      <c r="Y688" s="151" t="inlineStr">
        <is>
          <t>10,56</t>
        </is>
      </c>
      <c r="Z688" s="149" t="inlineStr">
        <is>
          <t>10,56</t>
        </is>
      </c>
      <c r="AA688" s="151" t="inlineStr">
        <is>
          <t>grams</t>
        </is>
      </c>
      <c r="AB688" s="151" t="n"/>
      <c r="AC688" s="151" t="n"/>
      <c r="AD688" s="150" t="n">
        <v>0.59865</v>
      </c>
      <c r="AE688" s="149" t="n">
        <v>10.56</v>
      </c>
      <c r="AF688" s="151" t="inlineStr">
        <is>
          <t>grams</t>
        </is>
      </c>
      <c r="AG688" s="151" t="n"/>
      <c r="AH688" s="151" t="n"/>
    </row>
    <row r="689">
      <c r="A689" s="151" t="inlineStr">
        <is>
          <t>FV0846A - Stroganoff-Style Beef Burger [DKSE]</t>
        </is>
      </c>
      <c r="B689" s="151" t="inlineStr">
        <is>
          <t>REC-029854-4-002</t>
        </is>
      </c>
      <c r="C689" s="151" t="inlineStr">
        <is>
          <t>Loaded Roasted Sliced Mushrooms 1/2 green onion</t>
        </is>
      </c>
      <c r="D689" s="151" t="inlineStr">
        <is>
          <t>SUB-029969-4-001</t>
        </is>
      </c>
      <c r="E689" s="150" t="n">
        <v>50</v>
      </c>
      <c r="F689" s="151" t="inlineStr">
        <is>
          <t>grams</t>
        </is>
      </c>
      <c r="G689" s="151" t="inlineStr">
        <is>
          <t>BLAST CHILLER, OVEN</t>
        </is>
      </c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inlineStr">
        <is>
          <t>FA-DE Spice, Sea Salt /Gewürze, Meersalz</t>
        </is>
      </c>
      <c r="X689" s="151" t="inlineStr">
        <is>
          <t>SPI-00-139378-5</t>
        </is>
      </c>
      <c r="Y689" s="151" t="inlineStr">
        <is>
          <t>0,26</t>
        </is>
      </c>
      <c r="Z689" s="149" t="inlineStr">
        <is>
          <t>0,26</t>
        </is>
      </c>
      <c r="AA689" s="151" t="inlineStr">
        <is>
          <t>grams</t>
        </is>
      </c>
      <c r="AB689" s="151" t="n"/>
      <c r="AC689" s="151" t="n"/>
      <c r="AD689" s="150" t="n">
        <v>0.59865</v>
      </c>
      <c r="AE689" s="149" t="n">
        <v>0.26</v>
      </c>
      <c r="AF689" s="151" t="inlineStr">
        <is>
          <t>grams</t>
        </is>
      </c>
      <c r="AG689" s="151" t="n"/>
      <c r="AH689" s="151" t="n"/>
    </row>
    <row r="690">
      <c r="A690" s="151" t="inlineStr">
        <is>
          <t>FV0846A - Stroganoff-Style Beef Burger [DKSE]</t>
        </is>
      </c>
      <c r="B690" s="151" t="inlineStr">
        <is>
          <t>REC-029854-4-002</t>
        </is>
      </c>
      <c r="C690" s="151" t="inlineStr">
        <is>
          <t>Loaded Roasted Sliced Mushrooms 1/2 green onion</t>
        </is>
      </c>
      <c r="D690" s="151" t="inlineStr">
        <is>
          <t>SUB-029969-4-001</t>
        </is>
      </c>
      <c r="E690" s="150" t="n">
        <v>50</v>
      </c>
      <c r="F690" s="151" t="inlineStr">
        <is>
          <t>grams</t>
        </is>
      </c>
      <c r="G690" s="151" t="inlineStr">
        <is>
          <t>BLAST CHILLER, OVEN</t>
        </is>
      </c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inlineStr">
        <is>
          <t>FA-DE Thyme, IQF /Thymian, IQF</t>
        </is>
      </c>
      <c r="X690" s="151" t="inlineStr">
        <is>
          <t>PHF-00-139244-1</t>
        </is>
      </c>
      <c r="Y690" s="151" t="inlineStr">
        <is>
          <t>0,08</t>
        </is>
      </c>
      <c r="Z690" s="149" t="inlineStr">
        <is>
          <t>0,08</t>
        </is>
      </c>
      <c r="AA690" s="151" t="inlineStr">
        <is>
          <t>grams</t>
        </is>
      </c>
      <c r="AB690" s="151" t="n"/>
      <c r="AC690" s="151" t="n"/>
      <c r="AD690" s="150" t="n">
        <v>0.59865</v>
      </c>
      <c r="AE690" s="149" t="n">
        <v>0.08</v>
      </c>
      <c r="AF690" s="151" t="inlineStr">
        <is>
          <t>grams</t>
        </is>
      </c>
      <c r="AG690" s="151" t="n"/>
      <c r="AH690" s="151" t="n"/>
    </row>
    <row r="691">
      <c r="A691" s="151" t="inlineStr">
        <is>
          <t>FV0846A - Stroganoff-Style Beef Burger [DKSE]</t>
        </is>
      </c>
      <c r="B691" s="151" t="inlineStr">
        <is>
          <t>REC-029854-4-002</t>
        </is>
      </c>
      <c r="C691" s="151" t="inlineStr">
        <is>
          <t>Loaded Roasted Sliced Mushrooms 1/2 green onion</t>
        </is>
      </c>
      <c r="D691" s="151" t="inlineStr">
        <is>
          <t>SUB-029969-4-001</t>
        </is>
      </c>
      <c r="E691" s="150" t="n">
        <v>50</v>
      </c>
      <c r="F691" s="151" t="inlineStr">
        <is>
          <t>grams</t>
        </is>
      </c>
      <c r="G691" s="151" t="inlineStr">
        <is>
          <t>BLAST CHILLER, OVEN</t>
        </is>
      </c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inlineStr">
        <is>
          <t>FA-DE Spice, Dill Dried /Gewürz, Dill getrocknet</t>
        </is>
      </c>
      <c r="X691" s="151" t="inlineStr">
        <is>
          <t>SPI-00-139349-5</t>
        </is>
      </c>
      <c r="Y691" s="151" t="inlineStr">
        <is>
          <t>0,1</t>
        </is>
      </c>
      <c r="Z691" s="149" t="inlineStr">
        <is>
          <t>0,1</t>
        </is>
      </c>
      <c r="AA691" s="151" t="inlineStr">
        <is>
          <t>grams</t>
        </is>
      </c>
      <c r="AB691" s="151" t="n"/>
      <c r="AC691" s="151" t="n"/>
      <c r="AD691" s="150" t="n">
        <v>0.59865</v>
      </c>
      <c r="AE691" s="149" t="n">
        <v>0.1</v>
      </c>
      <c r="AF691" s="151" t="inlineStr">
        <is>
          <t>grams</t>
        </is>
      </c>
      <c r="AG691" s="151" t="n"/>
      <c r="AH691" s="151" t="n"/>
    </row>
    <row r="692">
      <c r="A692" s="151" t="inlineStr">
        <is>
          <t>FV0846A - Stroganoff-Style Beef Burger [DKSE]</t>
        </is>
      </c>
      <c r="B692" s="151" t="inlineStr">
        <is>
          <t>REC-029854-4-002</t>
        </is>
      </c>
      <c r="C692" s="151" t="inlineStr">
        <is>
          <t>Loaded Roasted Sliced Mushrooms 1/2 green onion</t>
        </is>
      </c>
      <c r="D692" s="151" t="inlineStr">
        <is>
          <t>SUB-029969-4-001</t>
        </is>
      </c>
      <c r="E692" s="150" t="n">
        <v>50</v>
      </c>
      <c r="F692" s="151" t="inlineStr">
        <is>
          <t>grams</t>
        </is>
      </c>
      <c r="G692" s="151" t="inlineStr">
        <is>
          <t>BLAST CHILLER, OVEN</t>
        </is>
      </c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inlineStr">
        <is>
          <t>FA-DE Spice, Black Pepper, Ground /Gewürz, schwarzer Pfeffer, gemahlen</t>
        </is>
      </c>
      <c r="X692" s="151" t="inlineStr">
        <is>
          <t>SPI-00-139334-5</t>
        </is>
      </c>
      <c r="Y692" s="151" t="inlineStr">
        <is>
          <t>0,06</t>
        </is>
      </c>
      <c r="Z692" s="149" t="inlineStr">
        <is>
          <t>0,06</t>
        </is>
      </c>
      <c r="AA692" s="151" t="inlineStr">
        <is>
          <t>grams</t>
        </is>
      </c>
      <c r="AB692" s="151" t="n"/>
      <c r="AC692" s="151" t="n"/>
      <c r="AD692" s="150" t="n">
        <v>0.59865</v>
      </c>
      <c r="AE692" s="149" t="n">
        <v>0.06</v>
      </c>
      <c r="AF692" s="151" t="inlineStr">
        <is>
          <t>grams</t>
        </is>
      </c>
      <c r="AG692" s="151" t="n"/>
      <c r="AH692" s="151" t="n"/>
    </row>
    <row r="693">
      <c r="A693" s="151" t="inlineStr">
        <is>
          <t>FV0846A - Stroganoff-Style Beef Burger [DKSE]</t>
        </is>
      </c>
      <c r="B693" s="151" t="inlineStr">
        <is>
          <t>REC-029854-4-002</t>
        </is>
      </c>
      <c r="C693" s="151" t="inlineStr">
        <is>
          <t>Herb-Parmesan Butter</t>
        </is>
      </c>
      <c r="D693" s="151" t="inlineStr">
        <is>
          <t>SUB-029972-4-001</t>
        </is>
      </c>
      <c r="E693" s="150" t="n">
        <v>12</v>
      </c>
      <c r="F693" s="151" t="inlineStr">
        <is>
          <t>grams</t>
        </is>
      </c>
      <c r="G693" s="151" t="inlineStr">
        <is>
          <t>BLAST CHILLER, PLANETARY MIXER, SCOOPER (BUTTER)</t>
        </is>
      </c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inlineStr">
        <is>
          <t>FA-DE Butter, Unsalted /Butter, ungesalzen</t>
        </is>
      </c>
      <c r="X693" s="151" t="inlineStr">
        <is>
          <t>DAI-00-139146-3</t>
        </is>
      </c>
      <c r="Y693" s="151" t="inlineStr">
        <is>
          <t>11,56</t>
        </is>
      </c>
      <c r="Z693" s="149" t="inlineStr">
        <is>
          <t>11,56</t>
        </is>
      </c>
      <c r="AA693" s="151" t="inlineStr">
        <is>
          <t>grams</t>
        </is>
      </c>
      <c r="AB693" s="151" t="inlineStr">
        <is>
          <t>MILCH (EINSCHLIESSLICH LAKTOSE)</t>
        </is>
      </c>
      <c r="AC693" s="151" t="n"/>
      <c r="AD693" s="150" t="n">
        <v>0.9206299999999999</v>
      </c>
      <c r="AE693" s="149" t="n">
        <v>11.56</v>
      </c>
      <c r="AF693" s="151" t="inlineStr">
        <is>
          <t>grams</t>
        </is>
      </c>
      <c r="AG693" s="151" t="n"/>
      <c r="AH693" s="151" t="n"/>
    </row>
    <row r="694">
      <c r="A694" s="151" t="inlineStr">
        <is>
          <t>FV0846A - Stroganoff-Style Beef Burger [DKSE]</t>
        </is>
      </c>
      <c r="B694" s="151" t="inlineStr">
        <is>
          <t>REC-029854-4-002</t>
        </is>
      </c>
      <c r="C694" s="151" t="inlineStr">
        <is>
          <t>Herb-Parmesan Butter</t>
        </is>
      </c>
      <c r="D694" s="151" t="inlineStr">
        <is>
          <t>SUB-029972-4-001</t>
        </is>
      </c>
      <c r="E694" s="150" t="n">
        <v>12</v>
      </c>
      <c r="F694" s="151" t="inlineStr">
        <is>
          <t>grams</t>
        </is>
      </c>
      <c r="G694" s="151" t="inlineStr">
        <is>
          <t>BLAST CHILLER, PLANETARY MIXER, SCOOPER (BUTTER)</t>
        </is>
      </c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inlineStr">
        <is>
          <t>FA-DE Cheese, Parmesan, Grated /Käse, Parmesan, gerieben</t>
        </is>
      </c>
      <c r="X694" s="151" t="inlineStr">
        <is>
          <t>DAI-00-139127-3</t>
        </is>
      </c>
      <c r="Y694" s="153" t="inlineStr">
        <is>
          <t>1,16</t>
        </is>
      </c>
      <c r="Z694" s="149" t="inlineStr">
        <is>
          <t>1,16</t>
        </is>
      </c>
      <c r="AA694" s="151" t="inlineStr">
        <is>
          <t>grams</t>
        </is>
      </c>
      <c r="AB694" s="151" t="inlineStr">
        <is>
          <t>MILCH (EINSCHLIESSLICH LAKTOSE)</t>
        </is>
      </c>
      <c r="AC694" s="151" t="n"/>
      <c r="AD694" s="150" t="n">
        <v>0.9206299999999999</v>
      </c>
      <c r="AE694" s="149" t="n">
        <v>1.16</v>
      </c>
      <c r="AF694" s="151" t="inlineStr">
        <is>
          <t>grams</t>
        </is>
      </c>
      <c r="AG694" s="151" t="n"/>
      <c r="AH694" s="151" t="n"/>
    </row>
    <row r="695">
      <c r="A695" s="151" t="inlineStr">
        <is>
          <t>FV0846A - Stroganoff-Style Beef Burger [DKSE]</t>
        </is>
      </c>
      <c r="B695" s="151" t="inlineStr">
        <is>
          <t>REC-029854-4-002</t>
        </is>
      </c>
      <c r="C695" s="151" t="inlineStr">
        <is>
          <t>Herb-Parmesan Butter</t>
        </is>
      </c>
      <c r="D695" s="151" t="inlineStr">
        <is>
          <t>SUB-029972-4-001</t>
        </is>
      </c>
      <c r="E695" s="150" t="n">
        <v>12</v>
      </c>
      <c r="F695" s="151" t="inlineStr">
        <is>
          <t>grams</t>
        </is>
      </c>
      <c r="G695" s="151" t="inlineStr">
        <is>
          <t>BLAST CHILLER, PLANETARY MIXER, SCOOPER (BUTTER)</t>
        </is>
      </c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inlineStr">
        <is>
          <t>FA-DE Spice, White Pepper /Gewürz, weißer Pfeffer</t>
        </is>
      </c>
      <c r="X695" s="151" t="inlineStr">
        <is>
          <t>SPI-00-139387-5</t>
        </is>
      </c>
      <c r="Y695" s="151" t="inlineStr">
        <is>
          <t>0,11</t>
        </is>
      </c>
      <c r="Z695" s="149" t="inlineStr">
        <is>
          <t>0,11</t>
        </is>
      </c>
      <c r="AA695" s="151" t="inlineStr">
        <is>
          <t>grams</t>
        </is>
      </c>
      <c r="AB695" s="151" t="n"/>
      <c r="AC695" s="151" t="n"/>
      <c r="AD695" s="150" t="n">
        <v>0.9206299999999999</v>
      </c>
      <c r="AE695" s="149" t="n">
        <v>0.11</v>
      </c>
      <c r="AF695" s="151" t="inlineStr">
        <is>
          <t>grams</t>
        </is>
      </c>
      <c r="AG695" s="151" t="n"/>
      <c r="AH695" s="151" t="n"/>
    </row>
    <row r="696">
      <c r="A696" s="151" t="inlineStr">
        <is>
          <t>FV0846A - Stroganoff-Style Beef Burger [DKSE]</t>
        </is>
      </c>
      <c r="B696" s="151" t="inlineStr">
        <is>
          <t>REC-029854-4-002</t>
        </is>
      </c>
      <c r="C696" s="151" t="inlineStr">
        <is>
          <t>Herb-Parmesan Butter</t>
        </is>
      </c>
      <c r="D696" s="151" t="inlineStr">
        <is>
          <t>SUB-029972-4-001</t>
        </is>
      </c>
      <c r="E696" s="150" t="n">
        <v>12</v>
      </c>
      <c r="F696" s="151" t="inlineStr">
        <is>
          <t>grams</t>
        </is>
      </c>
      <c r="G696" s="151" t="inlineStr">
        <is>
          <t>BLAST CHILLER, PLANETARY MIXER, SCOOPER (BUTTER)</t>
        </is>
      </c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inlineStr">
        <is>
          <t>FA-DE Spice, Parsley Dried /Gewürze, getrocknete Petersilie</t>
        </is>
      </c>
      <c r="X696" s="151" t="inlineStr">
        <is>
          <t>SPI-00-139374-5</t>
        </is>
      </c>
      <c r="Y696" s="151" t="inlineStr">
        <is>
          <t>0,09</t>
        </is>
      </c>
      <c r="Z696" s="149" t="inlineStr">
        <is>
          <t>0,09</t>
        </is>
      </c>
      <c r="AA696" s="151" t="inlineStr">
        <is>
          <t>grams</t>
        </is>
      </c>
      <c r="AB696" s="151" t="n"/>
      <c r="AC696" s="151" t="n"/>
      <c r="AD696" s="150" t="n">
        <v>0.9206299999999999</v>
      </c>
      <c r="AE696" s="149" t="n">
        <v>0.09</v>
      </c>
      <c r="AF696" s="151" t="inlineStr">
        <is>
          <t>grams</t>
        </is>
      </c>
      <c r="AG696" s="151" t="n"/>
      <c r="AH696" s="151" t="n"/>
    </row>
    <row r="697">
      <c r="A697" s="151" t="inlineStr">
        <is>
          <t>FV0846A - Stroganoff-Style Beef Burger [DKSE]</t>
        </is>
      </c>
      <c r="B697" s="151" t="inlineStr">
        <is>
          <t>REC-029854-4-002</t>
        </is>
      </c>
      <c r="C697" s="151" t="inlineStr">
        <is>
          <t>Herb-Parmesan Butter</t>
        </is>
      </c>
      <c r="D697" s="151" t="inlineStr">
        <is>
          <t>SUB-029972-4-001</t>
        </is>
      </c>
      <c r="E697" s="150" t="n">
        <v>12</v>
      </c>
      <c r="F697" s="151" t="inlineStr">
        <is>
          <t>grams</t>
        </is>
      </c>
      <c r="G697" s="151" t="inlineStr">
        <is>
          <t>BLAST CHILLER, PLANETARY MIXER, SCOOPER (BUTTER)</t>
        </is>
      </c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inlineStr">
        <is>
          <t>FA-DE Spice, Black Pepper, Ground /Gewürz, schwarzer Pfeffer, gemahlen</t>
        </is>
      </c>
      <c r="X697" s="151" t="inlineStr">
        <is>
          <t>SPI-00-139334-5</t>
        </is>
      </c>
      <c r="Y697" s="151" t="inlineStr">
        <is>
          <t>0,11</t>
        </is>
      </c>
      <c r="Z697" s="149" t="inlineStr">
        <is>
          <t>0,11</t>
        </is>
      </c>
      <c r="AA697" s="151" t="inlineStr">
        <is>
          <t>grams</t>
        </is>
      </c>
      <c r="AB697" s="151" t="n"/>
      <c r="AC697" s="151" t="n"/>
      <c r="AD697" s="150" t="n">
        <v>0.9206299999999999</v>
      </c>
      <c r="AE697" s="149" t="n">
        <v>0.11</v>
      </c>
      <c r="AF697" s="151" t="inlineStr">
        <is>
          <t>grams</t>
        </is>
      </c>
      <c r="AG697" s="151" t="n"/>
      <c r="AH697" s="151" t="n"/>
    </row>
    <row r="698">
      <c r="A698" s="151" t="inlineStr">
        <is>
          <t>FV1145A - Roasted Salmon &amp; Dill Yogurt [BNL]</t>
        </is>
      </c>
      <c r="B698" s="151" t="inlineStr">
        <is>
          <t>REC-029971-4-003</t>
        </is>
      </c>
      <c r="C698" s="151" t="inlineStr">
        <is>
          <t>Italian Roasted Diced Potatoes</t>
        </is>
      </c>
      <c r="D698" s="151" t="inlineStr">
        <is>
          <t>SUB-029885-4-001</t>
        </is>
      </c>
      <c r="E698" s="150" t="n">
        <v>100</v>
      </c>
      <c r="F698" s="151" t="inlineStr">
        <is>
          <t>grams</t>
        </is>
      </c>
      <c r="G698" s="151" t="inlineStr">
        <is>
          <t>BLAST CHILLER, OVEN</t>
        </is>
      </c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inlineStr">
        <is>
          <t>FA-DE Potatoes, Diced 10mm /Kartoffeln, gewürfelt, 10 mm</t>
        </is>
      </c>
      <c r="X698" s="151" t="inlineStr">
        <is>
          <t>PHF-00-139219-3</t>
        </is>
      </c>
      <c r="Y698" s="151" t="inlineStr">
        <is>
          <t>131,4</t>
        </is>
      </c>
      <c r="Z698" s="149" t="inlineStr">
        <is>
          <t>131,4</t>
        </is>
      </c>
      <c r="AA698" s="151" t="inlineStr">
        <is>
          <t>grams</t>
        </is>
      </c>
      <c r="AB698" s="151" t="n"/>
      <c r="AC698" s="151" t="n"/>
      <c r="AD698" s="150" t="n">
        <v>0.7037099999999999</v>
      </c>
      <c r="AE698" s="149" t="n">
        <v>131.4</v>
      </c>
      <c r="AF698" s="151" t="inlineStr">
        <is>
          <t>grams</t>
        </is>
      </c>
      <c r="AG698" s="151" t="n"/>
      <c r="AH698" s="151" t="n"/>
    </row>
    <row r="699">
      <c r="A699" s="151" t="inlineStr">
        <is>
          <t>FV1145A - Roasted Salmon &amp; Dill Yogurt [BNL]</t>
        </is>
      </c>
      <c r="B699" s="151" t="inlineStr">
        <is>
          <t>REC-029971-4-003</t>
        </is>
      </c>
      <c r="C699" s="151" t="inlineStr">
        <is>
          <t>Italian Roasted Diced Potatoes</t>
        </is>
      </c>
      <c r="D699" s="151" t="inlineStr">
        <is>
          <t>SUB-029885-4-001</t>
        </is>
      </c>
      <c r="E699" s="150" t="n">
        <v>100</v>
      </c>
      <c r="F699" s="151" t="inlineStr">
        <is>
          <t>grams</t>
        </is>
      </c>
      <c r="G699" s="151" t="inlineStr">
        <is>
          <t>BLAST CHILLER, OVEN</t>
        </is>
      </c>
      <c r="H699" s="151" t="inlineStr">
        <is>
          <t>Roasted Garlic (use)</t>
        </is>
      </c>
      <c r="I699" s="151" t="inlineStr">
        <is>
          <t>SUB-013367-4-001</t>
        </is>
      </c>
      <c r="J699" s="150" t="n">
        <v>5.79</v>
      </c>
      <c r="K699" s="151" t="inlineStr">
        <is>
          <t>grams</t>
        </is>
      </c>
      <c r="L699" s="151" t="inlineStr">
        <is>
          <t>BLAST CHILLER, OVEN</t>
        </is>
      </c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inlineStr">
        <is>
          <t>FA-DE Garlic, Peeled, Whole Cloves [10kg] /Knoblauch, geschält, ganze Nelken [10kg]</t>
        </is>
      </c>
      <c r="X699" s="151" t="inlineStr">
        <is>
          <t>PHF-00-139197-3</t>
        </is>
      </c>
      <c r="Y699" s="151" t="inlineStr">
        <is>
          <t>5,84</t>
        </is>
      </c>
      <c r="Z699" s="149" t="inlineStr">
        <is>
          <t>5,84</t>
        </is>
      </c>
      <c r="AA699" s="151" t="inlineStr">
        <is>
          <t>grams</t>
        </is>
      </c>
      <c r="AB699" s="151" t="n"/>
      <c r="AC699" s="151" t="n"/>
      <c r="AD699" s="150" t="n">
        <v>0.56691</v>
      </c>
      <c r="AE699" s="149" t="n">
        <v>5.84</v>
      </c>
      <c r="AF699" s="151" t="inlineStr">
        <is>
          <t>grams</t>
        </is>
      </c>
      <c r="AG699" s="151" t="n"/>
      <c r="AH699" s="151" t="n"/>
    </row>
    <row r="700">
      <c r="A700" s="151" t="inlineStr">
        <is>
          <t>FV1145A - Roasted Salmon &amp; Dill Yogurt [BNL]</t>
        </is>
      </c>
      <c r="B700" s="151" t="inlineStr">
        <is>
          <t>REC-029971-4-003</t>
        </is>
      </c>
      <c r="C700" s="151" t="inlineStr">
        <is>
          <t>Italian Roasted Diced Potatoes</t>
        </is>
      </c>
      <c r="D700" s="151" t="inlineStr">
        <is>
          <t>SUB-029885-4-001</t>
        </is>
      </c>
      <c r="E700" s="150" t="n">
        <v>100</v>
      </c>
      <c r="F700" s="151" t="inlineStr">
        <is>
          <t>grams</t>
        </is>
      </c>
      <c r="G700" s="151" t="inlineStr">
        <is>
          <t>BLAST CHILLER, OVEN</t>
        </is>
      </c>
      <c r="H700" s="151" t="inlineStr">
        <is>
          <t>Roasted Garlic (use)</t>
        </is>
      </c>
      <c r="I700" s="151" t="inlineStr">
        <is>
          <t>SUB-013367-4-001</t>
        </is>
      </c>
      <c r="J700" s="150" t="n">
        <v>5.79</v>
      </c>
      <c r="K700" s="151" t="inlineStr">
        <is>
          <t>grams</t>
        </is>
      </c>
      <c r="L700" s="151" t="inlineStr">
        <is>
          <t>BLAST CHILLER, OVEN</t>
        </is>
      </c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inlineStr">
        <is>
          <t>FA-DE Oil, Olive /Öl, Olivenöl</t>
        </is>
      </c>
      <c r="X700" s="151" t="inlineStr">
        <is>
          <t>PRO-00-139277-5</t>
        </is>
      </c>
      <c r="Y700" s="151" t="inlineStr">
        <is>
          <t>4,38</t>
        </is>
      </c>
      <c r="Z700" s="149" t="inlineStr">
        <is>
          <t>4,38</t>
        </is>
      </c>
      <c r="AA700" s="151" t="inlineStr">
        <is>
          <t>grams</t>
        </is>
      </c>
      <c r="AB700" s="151" t="n"/>
      <c r="AC700" s="151" t="n"/>
      <c r="AD700" s="150" t="n">
        <v>0.56691</v>
      </c>
      <c r="AE700" s="149" t="n">
        <v>4.38</v>
      </c>
      <c r="AF700" s="151" t="inlineStr">
        <is>
          <t>grams</t>
        </is>
      </c>
      <c r="AG700" s="151" t="n"/>
      <c r="AH700" s="151" t="n"/>
    </row>
    <row r="701">
      <c r="A701" s="151" t="inlineStr">
        <is>
          <t>FV1145A - Roasted Salmon &amp; Dill Yogurt [BNL]</t>
        </is>
      </c>
      <c r="B701" s="151" t="inlineStr">
        <is>
          <t>REC-029971-4-003</t>
        </is>
      </c>
      <c r="C701" s="151" t="inlineStr">
        <is>
          <t>Italian Roasted Diced Potatoes</t>
        </is>
      </c>
      <c r="D701" s="151" t="inlineStr">
        <is>
          <t>SUB-029885-4-001</t>
        </is>
      </c>
      <c r="E701" s="150" t="n">
        <v>100</v>
      </c>
      <c r="F701" s="151" t="inlineStr">
        <is>
          <t>grams</t>
        </is>
      </c>
      <c r="G701" s="151" t="inlineStr">
        <is>
          <t>BLAST CHILLER, OVEN</t>
        </is>
      </c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inlineStr">
        <is>
          <t>FA-DE Oil, Olive /Öl, Olivenöl</t>
        </is>
      </c>
      <c r="X701" s="151" t="inlineStr">
        <is>
          <t>PRO-00-139277-5</t>
        </is>
      </c>
      <c r="Y701" s="151" t="inlineStr">
        <is>
          <t>2,93</t>
        </is>
      </c>
      <c r="Z701" s="149" t="inlineStr">
        <is>
          <t>2,93</t>
        </is>
      </c>
      <c r="AA701" s="151" t="inlineStr">
        <is>
          <t>grams</t>
        </is>
      </c>
      <c r="AB701" s="151" t="n"/>
      <c r="AC701" s="151" t="n"/>
      <c r="AD701" s="150" t="n">
        <v>0.7037099999999999</v>
      </c>
      <c r="AE701" s="149" t="n">
        <v>2.93</v>
      </c>
      <c r="AF701" s="151" t="inlineStr">
        <is>
          <t>grams</t>
        </is>
      </c>
      <c r="AG701" s="151" t="n"/>
      <c r="AH701" s="151" t="n"/>
    </row>
    <row r="702">
      <c r="A702" s="151" t="inlineStr">
        <is>
          <t>FV1145A - Roasted Salmon &amp; Dill Yogurt [BNL]</t>
        </is>
      </c>
      <c r="B702" s="151" t="inlineStr">
        <is>
          <t>REC-029971-4-003</t>
        </is>
      </c>
      <c r="C702" s="151" t="inlineStr">
        <is>
          <t>Italian Roasted Diced Potatoes</t>
        </is>
      </c>
      <c r="D702" s="151" t="inlineStr">
        <is>
          <t>SUB-029885-4-001</t>
        </is>
      </c>
      <c r="E702" s="150" t="n">
        <v>100</v>
      </c>
      <c r="F702" s="151" t="inlineStr">
        <is>
          <t>grams</t>
        </is>
      </c>
      <c r="G702" s="151" t="inlineStr">
        <is>
          <t>BLAST CHILLER, OVEN</t>
        </is>
      </c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inlineStr">
        <is>
          <t>FA-DE Spice, Sea Salt /Gewürze, Meersalz</t>
        </is>
      </c>
      <c r="X702" s="151" t="inlineStr">
        <is>
          <t>SPI-00-139378-5</t>
        </is>
      </c>
      <c r="Y702" s="151" t="inlineStr">
        <is>
          <t>0,67</t>
        </is>
      </c>
      <c r="Z702" s="149" t="inlineStr">
        <is>
          <t>0,67</t>
        </is>
      </c>
      <c r="AA702" s="151" t="inlineStr">
        <is>
          <t>grams</t>
        </is>
      </c>
      <c r="AB702" s="151" t="n"/>
      <c r="AC702" s="151" t="n"/>
      <c r="AD702" s="150" t="n">
        <v>0.7037099999999999</v>
      </c>
      <c r="AE702" s="149" t="n">
        <v>0.67</v>
      </c>
      <c r="AF702" s="151" t="inlineStr">
        <is>
          <t>grams</t>
        </is>
      </c>
      <c r="AG702" s="151" t="n"/>
      <c r="AH702" s="151" t="n"/>
    </row>
    <row r="703">
      <c r="A703" s="151" t="inlineStr">
        <is>
          <t>FV1145A - Roasted Salmon &amp; Dill Yogurt [BNL]</t>
        </is>
      </c>
      <c r="B703" s="151" t="inlineStr">
        <is>
          <t>REC-029971-4-003</t>
        </is>
      </c>
      <c r="C703" s="151" t="inlineStr">
        <is>
          <t>Italian Roasted Diced Potatoes</t>
        </is>
      </c>
      <c r="D703" s="151" t="inlineStr">
        <is>
          <t>SUB-029885-4-001</t>
        </is>
      </c>
      <c r="E703" s="150" t="n">
        <v>100</v>
      </c>
      <c r="F703" s="151" t="inlineStr">
        <is>
          <t>grams</t>
        </is>
      </c>
      <c r="G703" s="151" t="inlineStr">
        <is>
          <t>BLAST CHILLER, OVEN</t>
        </is>
      </c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inlineStr">
        <is>
          <t>FA-DE Spice, Parsley Dried /Gewürze, getrocknete Petersilie</t>
        </is>
      </c>
      <c r="X703" s="151" t="inlineStr">
        <is>
          <t>SPI-00-139374-5</t>
        </is>
      </c>
      <c r="Y703" s="151" t="inlineStr">
        <is>
          <t>0,47</t>
        </is>
      </c>
      <c r="Z703" s="149" t="inlineStr">
        <is>
          <t>0,47</t>
        </is>
      </c>
      <c r="AA703" s="151" t="inlineStr">
        <is>
          <t>grams</t>
        </is>
      </c>
      <c r="AB703" s="151" t="n"/>
      <c r="AC703" s="151" t="n"/>
      <c r="AD703" s="150" t="n">
        <v>0.7037099999999999</v>
      </c>
      <c r="AE703" s="149" t="n">
        <v>0.47</v>
      </c>
      <c r="AF703" s="151" t="inlineStr">
        <is>
          <t>grams</t>
        </is>
      </c>
      <c r="AG703" s="151" t="n"/>
      <c r="AH703" s="151" t="n"/>
    </row>
    <row r="704">
      <c r="A704" s="151" t="inlineStr">
        <is>
          <t>FV1145A - Roasted Salmon &amp; Dill Yogurt [BNL]</t>
        </is>
      </c>
      <c r="B704" s="151" t="inlineStr">
        <is>
          <t>REC-029971-4-003</t>
        </is>
      </c>
      <c r="C704" s="151" t="inlineStr">
        <is>
          <t>Italian Roasted Diced Potatoes</t>
        </is>
      </c>
      <c r="D704" s="151" t="inlineStr">
        <is>
          <t>SUB-029885-4-001</t>
        </is>
      </c>
      <c r="E704" s="150" t="n">
        <v>100</v>
      </c>
      <c r="F704" s="151" t="inlineStr">
        <is>
          <t>grams</t>
        </is>
      </c>
      <c r="G704" s="151" t="inlineStr">
        <is>
          <t>BLAST CHILLER, OVEN</t>
        </is>
      </c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inlineStr">
        <is>
          <t>FA-DE Spice, Dried Onion Flakes /Gewürze, getrocknete Zwiebelflocken</t>
        </is>
      </c>
      <c r="X704" s="151" t="inlineStr">
        <is>
          <t>SPI-00-139348-5</t>
        </is>
      </c>
      <c r="Y704" s="151" t="inlineStr">
        <is>
          <t>0,66</t>
        </is>
      </c>
      <c r="Z704" s="149" t="inlineStr">
        <is>
          <t>0,66</t>
        </is>
      </c>
      <c r="AA704" s="151" t="inlineStr">
        <is>
          <t>grams</t>
        </is>
      </c>
      <c r="AB704" s="151" t="n"/>
      <c r="AC704" s="151" t="n"/>
      <c r="AD704" s="150" t="n">
        <v>0.7037099999999999</v>
      </c>
      <c r="AE704" s="149" t="n">
        <v>0.66</v>
      </c>
      <c r="AF704" s="151" t="inlineStr">
        <is>
          <t>grams</t>
        </is>
      </c>
      <c r="AG704" s="151" t="n"/>
      <c r="AH704" s="151" t="n"/>
    </row>
    <row r="705">
      <c r="A705" s="151" t="inlineStr">
        <is>
          <t>FV1145A - Roasted Salmon &amp; Dill Yogurt [BNL]</t>
        </is>
      </c>
      <c r="B705" s="151" t="inlineStr">
        <is>
          <t>REC-029971-4-003</t>
        </is>
      </c>
      <c r="C705" s="151" t="inlineStr">
        <is>
          <t>Italian Roasted Diced Potatoes</t>
        </is>
      </c>
      <c r="D705" s="151" t="inlineStr">
        <is>
          <t>SUB-029885-4-001</t>
        </is>
      </c>
      <c r="E705" s="150" t="n">
        <v>100</v>
      </c>
      <c r="F705" s="151" t="inlineStr">
        <is>
          <t>grams</t>
        </is>
      </c>
      <c r="G705" s="151" t="inlineStr">
        <is>
          <t>BLAST CHILLER, OVEN</t>
        </is>
      </c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inlineStr">
        <is>
          <t>FA-DE Spice, Oregano Dry /Gewürz, Oregano trocken</t>
        </is>
      </c>
      <c r="X705" s="151" t="inlineStr">
        <is>
          <t>SPI-00-139372-5</t>
        </is>
      </c>
      <c r="Y705" s="151" t="inlineStr">
        <is>
          <t>0,18</t>
        </is>
      </c>
      <c r="Z705" s="149" t="inlineStr">
        <is>
          <t>0,18</t>
        </is>
      </c>
      <c r="AA705" s="151" t="inlineStr">
        <is>
          <t>grams</t>
        </is>
      </c>
      <c r="AB705" s="151" t="n"/>
      <c r="AC705" s="151" t="n"/>
      <c r="AD705" s="150" t="n">
        <v>0.7037099999999999</v>
      </c>
      <c r="AE705" s="149" t="n">
        <v>0.18</v>
      </c>
      <c r="AF705" s="151" t="inlineStr">
        <is>
          <t>grams</t>
        </is>
      </c>
      <c r="AG705" s="151" t="n"/>
      <c r="AH705" s="151" t="n"/>
    </row>
    <row r="706">
      <c r="A706" s="151" t="inlineStr">
        <is>
          <t>FV1145A - Roasted Salmon &amp; Dill Yogurt [BNL]</t>
        </is>
      </c>
      <c r="B706" s="151" t="inlineStr">
        <is>
          <t>REC-029971-4-003</t>
        </is>
      </c>
      <c r="C706" s="151" t="inlineStr">
        <is>
          <t>Cooked 10mm diced Spanish Onions</t>
        </is>
      </c>
      <c r="D706" s="151" t="inlineStr">
        <is>
          <t>SUB-029899-4-001</t>
        </is>
      </c>
      <c r="E706" s="150" t="n">
        <v>30</v>
      </c>
      <c r="F706" s="151" t="inlineStr">
        <is>
          <t>grams</t>
        </is>
      </c>
      <c r="G706" s="151" t="inlineStr">
        <is>
          <t>BLAST CHILLER, OVEN</t>
        </is>
      </c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inlineStr">
        <is>
          <t>FA-DE Onion, Spanish, Diced 10mm /Zwiebel, Spanisch, gewürfelt 10 mm</t>
        </is>
      </c>
      <c r="X706" s="151" t="inlineStr">
        <is>
          <t>PHF-00-139209-3</t>
        </is>
      </c>
      <c r="Y706" s="151" t="inlineStr">
        <is>
          <t>37,87</t>
        </is>
      </c>
      <c r="Z706" s="149" t="inlineStr">
        <is>
          <t>37,87</t>
        </is>
      </c>
      <c r="AA706" s="151" t="inlineStr">
        <is>
          <t>grams</t>
        </is>
      </c>
      <c r="AB706" s="151" t="n"/>
      <c r="AC706" s="151" t="n"/>
      <c r="AD706" s="150" t="n">
        <v>0.7566000000000001</v>
      </c>
      <c r="AE706" s="149" t="n">
        <v>37.87</v>
      </c>
      <c r="AF706" s="151" t="inlineStr">
        <is>
          <t>grams</t>
        </is>
      </c>
      <c r="AG706" s="151" t="n"/>
      <c r="AH706" s="151" t="n"/>
    </row>
    <row r="707">
      <c r="A707" s="151" t="inlineStr">
        <is>
          <t>FV1145A - Roasted Salmon &amp; Dill Yogurt [BNL]</t>
        </is>
      </c>
      <c r="B707" s="151" t="inlineStr">
        <is>
          <t>REC-029971-4-003</t>
        </is>
      </c>
      <c r="C707" s="151" t="inlineStr">
        <is>
          <t>Cooked 10mm diced Spanish Onions</t>
        </is>
      </c>
      <c r="D707" s="151" t="inlineStr">
        <is>
          <t>SUB-029899-4-001</t>
        </is>
      </c>
      <c r="E707" s="150" t="n">
        <v>30</v>
      </c>
      <c r="F707" s="151" t="inlineStr">
        <is>
          <t>grams</t>
        </is>
      </c>
      <c r="G707" s="151" t="inlineStr">
        <is>
          <t>BLAST CHILLER, OVEN</t>
        </is>
      </c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inlineStr">
        <is>
          <t>FA-DE Oil, Olive /Öl, Olivenöl</t>
        </is>
      </c>
      <c r="X707" s="151" t="inlineStr">
        <is>
          <t>PRO-00-139277-5</t>
        </is>
      </c>
      <c r="Y707" s="151" t="inlineStr">
        <is>
          <t>1,71</t>
        </is>
      </c>
      <c r="Z707" s="149" t="inlineStr">
        <is>
          <t>1,71</t>
        </is>
      </c>
      <c r="AA707" s="151" t="inlineStr">
        <is>
          <t>grams</t>
        </is>
      </c>
      <c r="AB707" s="151" t="n"/>
      <c r="AC707" s="151" t="n"/>
      <c r="AD707" s="150" t="n">
        <v>0.7566000000000001</v>
      </c>
      <c r="AE707" s="149" t="n">
        <v>1.71</v>
      </c>
      <c r="AF707" s="151" t="inlineStr">
        <is>
          <t>grams</t>
        </is>
      </c>
      <c r="AG707" s="151" t="n"/>
      <c r="AH707" s="151" t="n"/>
    </row>
    <row r="708">
      <c r="A708" s="151" t="inlineStr">
        <is>
          <t>FV1145A - Roasted Salmon &amp; Dill Yogurt [BNL]</t>
        </is>
      </c>
      <c r="B708" s="151" t="inlineStr">
        <is>
          <t>REC-029971-4-003</t>
        </is>
      </c>
      <c r="C708" s="151" t="inlineStr">
        <is>
          <t>Cooked 10mm diced Spanish Onions</t>
        </is>
      </c>
      <c r="D708" s="151" t="inlineStr">
        <is>
          <t>SUB-029899-4-001</t>
        </is>
      </c>
      <c r="E708" s="150" t="n">
        <v>30</v>
      </c>
      <c r="F708" s="151" t="inlineStr">
        <is>
          <t>grams</t>
        </is>
      </c>
      <c r="G708" s="151" t="inlineStr">
        <is>
          <t>BLAST CHILLER, OVEN</t>
        </is>
      </c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inlineStr">
        <is>
          <t>FA-DE Spice, Sea Salt /Gewürze, Meersalz</t>
        </is>
      </c>
      <c r="X708" s="151" t="inlineStr">
        <is>
          <t>SPI-00-139378-5</t>
        </is>
      </c>
      <c r="Y708" s="151" t="inlineStr">
        <is>
          <t>0,07</t>
        </is>
      </c>
      <c r="Z708" s="149" t="inlineStr">
        <is>
          <t>0,07</t>
        </is>
      </c>
      <c r="AA708" s="151" t="inlineStr">
        <is>
          <t>grams</t>
        </is>
      </c>
      <c r="AB708" s="151" t="n"/>
      <c r="AC708" s="151" t="n"/>
      <c r="AD708" s="150" t="n">
        <v>0.7566000000000001</v>
      </c>
      <c r="AE708" s="149" t="n">
        <v>0.07000000000000001</v>
      </c>
      <c r="AF708" s="151" t="inlineStr">
        <is>
          <t>grams</t>
        </is>
      </c>
      <c r="AG708" s="151" t="n"/>
      <c r="AH708" s="151" t="n"/>
    </row>
    <row r="709">
      <c r="A709" s="151" t="inlineStr">
        <is>
          <t>FV1145A - Roasted Salmon &amp; Dill Yogurt [BNL]</t>
        </is>
      </c>
      <c r="B709" s="151" t="inlineStr">
        <is>
          <t>REC-029971-4-003</t>
        </is>
      </c>
      <c r="C709" s="151" t="inlineStr">
        <is>
          <t>Moroccan Salmon Batch</t>
        </is>
      </c>
      <c r="D709" s="151" t="inlineStr">
        <is>
          <t>SUB-029902-4-001</t>
        </is>
      </c>
      <c r="E709" s="150" t="n">
        <v>1</v>
      </c>
      <c r="F709" s="151" t="inlineStr">
        <is>
          <t>each</t>
        </is>
      </c>
      <c r="G709" s="151" t="inlineStr">
        <is>
          <t>BLAST CHILLER, HAND MARINADE, OVEN, THAW</t>
        </is>
      </c>
      <c r="H709" s="151" t="inlineStr">
        <is>
          <t>Moroccan Salmon Marinade</t>
        </is>
      </c>
      <c r="I709" s="151" t="inlineStr">
        <is>
          <t>SUB-029903-4-001</t>
        </is>
      </c>
      <c r="J709" s="150" t="n">
        <v>9.92</v>
      </c>
      <c r="K709" s="151" t="inlineStr">
        <is>
          <t>grams</t>
        </is>
      </c>
      <c r="L709" s="151" t="inlineStr">
        <is>
          <t>IMMERSION BLENDER</t>
        </is>
      </c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inlineStr">
        <is>
          <t>FA-DE Oil, Olive /Öl, Olivenöl</t>
        </is>
      </c>
      <c r="X709" s="151" t="inlineStr">
        <is>
          <t>PRO-00-139277-5</t>
        </is>
      </c>
      <c r="Y709" s="151" t="inlineStr">
        <is>
          <t>3,3</t>
        </is>
      </c>
      <c r="Z709" s="149" t="inlineStr">
        <is>
          <t>3,3</t>
        </is>
      </c>
      <c r="AA709" s="151" t="inlineStr">
        <is>
          <t>grams</t>
        </is>
      </c>
      <c r="AB709" s="151" t="n"/>
      <c r="AC709" s="151" t="n"/>
      <c r="AD709" s="150" t="n">
        <v>0.99899</v>
      </c>
      <c r="AE709" s="149" t="n">
        <v>3.3</v>
      </c>
      <c r="AF709" s="151" t="inlineStr">
        <is>
          <t>grams</t>
        </is>
      </c>
      <c r="AG709" s="151" t="n"/>
      <c r="AH709" s="151" t="n"/>
    </row>
    <row r="710">
      <c r="A710" s="151" t="inlineStr">
        <is>
          <t>FV1145A - Roasted Salmon &amp; Dill Yogurt [BNL]</t>
        </is>
      </c>
      <c r="B710" s="151" t="inlineStr">
        <is>
          <t>REC-029971-4-003</t>
        </is>
      </c>
      <c r="C710" s="151" t="inlineStr">
        <is>
          <t>Moroccan Salmon Batch</t>
        </is>
      </c>
      <c r="D710" s="151" t="inlineStr">
        <is>
          <t>SUB-029902-4-001</t>
        </is>
      </c>
      <c r="E710" s="150" t="n">
        <v>1</v>
      </c>
      <c r="F710" s="151" t="inlineStr">
        <is>
          <t>each</t>
        </is>
      </c>
      <c r="G710" s="151" t="inlineStr">
        <is>
          <t>BLAST CHILLER, HAND MARINADE, OVEN, THAW</t>
        </is>
      </c>
      <c r="H710" s="151" t="inlineStr">
        <is>
          <t>Moroccan Salmon Marinade</t>
        </is>
      </c>
      <c r="I710" s="151" t="inlineStr">
        <is>
          <t>SUB-029903-4-001</t>
        </is>
      </c>
      <c r="J710" s="150" t="n">
        <v>9.92</v>
      </c>
      <c r="K710" s="151" t="inlineStr">
        <is>
          <t>grams</t>
        </is>
      </c>
      <c r="L710" s="151" t="inlineStr">
        <is>
          <t>IMMERSION BLENDER</t>
        </is>
      </c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inlineStr">
        <is>
          <t>FA-DE Yogurt, Greek, Plain /Joghurt, Griechisch, Natur</t>
        </is>
      </c>
      <c r="X710" s="151" t="inlineStr">
        <is>
          <t>DAI-00-139161-3</t>
        </is>
      </c>
      <c r="Y710" s="151" t="inlineStr">
        <is>
          <t>3,3</t>
        </is>
      </c>
      <c r="Z710" s="149" t="inlineStr">
        <is>
          <t>3,3</t>
        </is>
      </c>
      <c r="AA710" s="151" t="inlineStr">
        <is>
          <t>grams</t>
        </is>
      </c>
      <c r="AB710" s="151" t="inlineStr">
        <is>
          <t>MILCH (EINSCHLIESSLICH LAKTOSE)</t>
        </is>
      </c>
      <c r="AC710" s="151" t="n"/>
      <c r="AD710" s="150" t="n">
        <v>0.99899</v>
      </c>
      <c r="AE710" s="149" t="n">
        <v>3.3</v>
      </c>
      <c r="AF710" s="151" t="inlineStr">
        <is>
          <t>grams</t>
        </is>
      </c>
      <c r="AG710" s="151" t="n"/>
      <c r="AH710" s="151" t="n"/>
    </row>
    <row r="711">
      <c r="A711" s="151" t="inlineStr">
        <is>
          <t>FV1145A - Roasted Salmon &amp; Dill Yogurt [BNL]</t>
        </is>
      </c>
      <c r="B711" s="151" t="inlineStr">
        <is>
          <t>REC-029971-4-003</t>
        </is>
      </c>
      <c r="C711" s="151" t="inlineStr">
        <is>
          <t>Moroccan Salmon Batch</t>
        </is>
      </c>
      <c r="D711" s="151" t="inlineStr">
        <is>
          <t>SUB-029902-4-001</t>
        </is>
      </c>
      <c r="E711" s="150" t="n">
        <v>1</v>
      </c>
      <c r="F711" s="151" t="inlineStr">
        <is>
          <t>each</t>
        </is>
      </c>
      <c r="G711" s="151" t="inlineStr">
        <is>
          <t>BLAST CHILLER, HAND MARINADE, OVEN, THAW</t>
        </is>
      </c>
      <c r="H711" s="151" t="inlineStr">
        <is>
          <t>Moroccan Salmon Marinade</t>
        </is>
      </c>
      <c r="I711" s="151" t="inlineStr">
        <is>
          <t>SUB-029903-4-001</t>
        </is>
      </c>
      <c r="J711" s="150" t="n">
        <v>9.92</v>
      </c>
      <c r="K711" s="151" t="inlineStr">
        <is>
          <t>grams</t>
        </is>
      </c>
      <c r="L711" s="151" t="inlineStr">
        <is>
          <t>IMMERSION BLENDER</t>
        </is>
      </c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inlineStr">
        <is>
          <t>FA-DE Spice, Smoked Paprika /Gewürz, geräucherter Paprika</t>
        </is>
      </c>
      <c r="X711" s="151" t="inlineStr">
        <is>
          <t>SPI-00-139383-5</t>
        </is>
      </c>
      <c r="Y711" s="151" t="inlineStr">
        <is>
          <t>0,31</t>
        </is>
      </c>
      <c r="Z711" s="149" t="inlineStr">
        <is>
          <t>0,31</t>
        </is>
      </c>
      <c r="AA711" s="151" t="inlineStr">
        <is>
          <t>grams</t>
        </is>
      </c>
      <c r="AB711" s="151" t="n"/>
      <c r="AC711" s="151" t="n"/>
      <c r="AD711" s="150" t="n">
        <v>0.99899</v>
      </c>
      <c r="AE711" s="149" t="n">
        <v>0.31</v>
      </c>
      <c r="AF711" s="151" t="inlineStr">
        <is>
          <t>grams</t>
        </is>
      </c>
      <c r="AG711" s="151" t="n"/>
      <c r="AH711" s="151" t="n"/>
    </row>
    <row r="712">
      <c r="A712" s="151" t="inlineStr">
        <is>
          <t>FV1145A - Roasted Salmon &amp; Dill Yogurt [BNL]</t>
        </is>
      </c>
      <c r="B712" s="151" t="inlineStr">
        <is>
          <t>REC-029971-4-003</t>
        </is>
      </c>
      <c r="C712" s="151" t="inlineStr">
        <is>
          <t>Moroccan Salmon Batch</t>
        </is>
      </c>
      <c r="D712" s="151" t="inlineStr">
        <is>
          <t>SUB-029902-4-001</t>
        </is>
      </c>
      <c r="E712" s="150" t="n">
        <v>1</v>
      </c>
      <c r="F712" s="151" t="inlineStr">
        <is>
          <t>each</t>
        </is>
      </c>
      <c r="G712" s="151" t="inlineStr">
        <is>
          <t>BLAST CHILLER, HAND MARINADE, OVEN, THAW</t>
        </is>
      </c>
      <c r="H712" s="151" t="inlineStr">
        <is>
          <t>Moroccan Salmon Marinade</t>
        </is>
      </c>
      <c r="I712" s="151" t="inlineStr">
        <is>
          <t>SUB-029903-4-001</t>
        </is>
      </c>
      <c r="J712" s="150" t="n">
        <v>9.92</v>
      </c>
      <c r="K712" s="151" t="inlineStr">
        <is>
          <t>grams</t>
        </is>
      </c>
      <c r="L712" s="151" t="inlineStr">
        <is>
          <t>IMMERSION BLENDER</t>
        </is>
      </c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inlineStr">
        <is>
          <t>FA-DE Spice, Cumin Ground /Gewürz, gemahlener Kreuzkümmel</t>
        </is>
      </c>
      <c r="X712" s="151" t="inlineStr">
        <is>
          <t>SPI-00-139345-5</t>
        </is>
      </c>
      <c r="Y712" s="151" t="inlineStr">
        <is>
          <t>0,36</t>
        </is>
      </c>
      <c r="Z712" s="149" t="inlineStr">
        <is>
          <t>0,36</t>
        </is>
      </c>
      <c r="AA712" s="151" t="inlineStr">
        <is>
          <t>grams</t>
        </is>
      </c>
      <c r="AB712" s="151" t="n"/>
      <c r="AC712" s="151" t="n"/>
      <c r="AD712" s="150" t="n">
        <v>0.99899</v>
      </c>
      <c r="AE712" s="149" t="n">
        <v>0.36</v>
      </c>
      <c r="AF712" s="151" t="inlineStr">
        <is>
          <t>grams</t>
        </is>
      </c>
      <c r="AG712" s="151" t="n"/>
      <c r="AH712" s="151" t="n"/>
    </row>
    <row r="713">
      <c r="A713" s="151" t="inlineStr">
        <is>
          <t>FV1145A - Roasted Salmon &amp; Dill Yogurt [BNL]</t>
        </is>
      </c>
      <c r="B713" s="151" t="inlineStr">
        <is>
          <t>REC-029971-4-003</t>
        </is>
      </c>
      <c r="C713" s="151" t="inlineStr">
        <is>
          <t>Moroccan Salmon Batch</t>
        </is>
      </c>
      <c r="D713" s="151" t="inlineStr">
        <is>
          <t>SUB-029902-4-001</t>
        </is>
      </c>
      <c r="E713" s="150" t="n">
        <v>1</v>
      </c>
      <c r="F713" s="151" t="inlineStr">
        <is>
          <t>each</t>
        </is>
      </c>
      <c r="G713" s="151" t="inlineStr">
        <is>
          <t>BLAST CHILLER, HAND MARINADE, OVEN, THAW</t>
        </is>
      </c>
      <c r="H713" s="151" t="inlineStr">
        <is>
          <t>Moroccan Salmon Marinade</t>
        </is>
      </c>
      <c r="I713" s="151" t="inlineStr">
        <is>
          <t>SUB-029903-4-001</t>
        </is>
      </c>
      <c r="J713" s="150" t="n">
        <v>9.92</v>
      </c>
      <c r="K713" s="151" t="inlineStr">
        <is>
          <t>grams</t>
        </is>
      </c>
      <c r="L713" s="151" t="inlineStr">
        <is>
          <t>IMMERSION BLENDER</t>
        </is>
      </c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inlineStr">
        <is>
          <t>FA-DE Spice, Sea Salt /Gewürze, Meersalz</t>
        </is>
      </c>
      <c r="X713" s="151" t="inlineStr">
        <is>
          <t>SPI-00-139378-5</t>
        </is>
      </c>
      <c r="Y713" s="151" t="inlineStr">
        <is>
          <t>0,41</t>
        </is>
      </c>
      <c r="Z713" s="149" t="inlineStr">
        <is>
          <t>0,41</t>
        </is>
      </c>
      <c r="AA713" s="151" t="inlineStr">
        <is>
          <t>grams</t>
        </is>
      </c>
      <c r="AB713" s="151" t="n"/>
      <c r="AC713" s="151" t="n"/>
      <c r="AD713" s="150" t="n">
        <v>0.99899</v>
      </c>
      <c r="AE713" s="149" t="n">
        <v>0.41</v>
      </c>
      <c r="AF713" s="151" t="inlineStr">
        <is>
          <t>grams</t>
        </is>
      </c>
      <c r="AG713" s="151" t="n"/>
      <c r="AH713" s="151" t="n"/>
    </row>
    <row r="714">
      <c r="A714" s="151" t="inlineStr">
        <is>
          <t>FV1145A - Roasted Salmon &amp; Dill Yogurt [BNL]</t>
        </is>
      </c>
      <c r="B714" s="151" t="inlineStr">
        <is>
          <t>REC-029971-4-003</t>
        </is>
      </c>
      <c r="C714" s="151" t="inlineStr">
        <is>
          <t>Moroccan Salmon Batch</t>
        </is>
      </c>
      <c r="D714" s="151" t="inlineStr">
        <is>
          <t>SUB-029902-4-001</t>
        </is>
      </c>
      <c r="E714" s="150" t="n">
        <v>1</v>
      </c>
      <c r="F714" s="151" t="inlineStr">
        <is>
          <t>each</t>
        </is>
      </c>
      <c r="G714" s="151" t="inlineStr">
        <is>
          <t>BLAST CHILLER, HAND MARINADE, OVEN, THAW</t>
        </is>
      </c>
      <c r="H714" s="151" t="inlineStr">
        <is>
          <t>Moroccan Salmon Marinade</t>
        </is>
      </c>
      <c r="I714" s="151" t="inlineStr">
        <is>
          <t>SUB-029903-4-001</t>
        </is>
      </c>
      <c r="J714" s="150" t="n">
        <v>9.92</v>
      </c>
      <c r="K714" s="151" t="inlineStr">
        <is>
          <t>grams</t>
        </is>
      </c>
      <c r="L714" s="151" t="inlineStr">
        <is>
          <t>IMMERSION BLENDER</t>
        </is>
      </c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inlineStr">
        <is>
          <t>FA-DE Spice, Onion Powder, Toasted /Gewürze, Zwiebelpulver, geröstet</t>
        </is>
      </c>
      <c r="X714" s="151" t="inlineStr">
        <is>
          <t>SPI-00-139371-5</t>
        </is>
      </c>
      <c r="Y714" s="151" t="inlineStr">
        <is>
          <t>0,08</t>
        </is>
      </c>
      <c r="Z714" s="149" t="inlineStr">
        <is>
          <t>0,08</t>
        </is>
      </c>
      <c r="AA714" s="151" t="inlineStr">
        <is>
          <t>grams</t>
        </is>
      </c>
      <c r="AB714" s="151" t="n"/>
      <c r="AC714" s="151" t="n"/>
      <c r="AD714" s="150" t="n">
        <v>0.99899</v>
      </c>
      <c r="AE714" s="149" t="n">
        <v>0.08</v>
      </c>
      <c r="AF714" s="151" t="inlineStr">
        <is>
          <t>grams</t>
        </is>
      </c>
      <c r="AG714" s="151" t="n"/>
      <c r="AH714" s="151" t="n"/>
    </row>
    <row r="715">
      <c r="A715" s="151" t="inlineStr">
        <is>
          <t>FV1145A - Roasted Salmon &amp; Dill Yogurt [BNL]</t>
        </is>
      </c>
      <c r="B715" s="151" t="inlineStr">
        <is>
          <t>REC-029971-4-003</t>
        </is>
      </c>
      <c r="C715" s="151" t="inlineStr">
        <is>
          <t>Moroccan Salmon Batch</t>
        </is>
      </c>
      <c r="D715" s="151" t="inlineStr">
        <is>
          <t>SUB-029902-4-001</t>
        </is>
      </c>
      <c r="E715" s="150" t="n">
        <v>1</v>
      </c>
      <c r="F715" s="151" t="inlineStr">
        <is>
          <t>each</t>
        </is>
      </c>
      <c r="G715" s="151" t="inlineStr">
        <is>
          <t>BLAST CHILLER, HAND MARINADE, OVEN, THAW</t>
        </is>
      </c>
      <c r="H715" s="151" t="inlineStr">
        <is>
          <t>Moroccan Salmon Marinade</t>
        </is>
      </c>
      <c r="I715" s="151" t="inlineStr">
        <is>
          <t>SUB-029903-4-001</t>
        </is>
      </c>
      <c r="J715" s="150" t="n">
        <v>9.92</v>
      </c>
      <c r="K715" s="151" t="inlineStr">
        <is>
          <t>grams</t>
        </is>
      </c>
      <c r="L715" s="151" t="inlineStr">
        <is>
          <t>IMMERSION BLENDER</t>
        </is>
      </c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inlineStr">
        <is>
          <t>FA-DE Spice, Ginger Ground /Gewürze, gemahlener Ingwer</t>
        </is>
      </c>
      <c r="X715" s="151" t="inlineStr">
        <is>
          <t>SPI-00-139355-5</t>
        </is>
      </c>
      <c r="Y715" s="151" t="inlineStr">
        <is>
          <t>0,05</t>
        </is>
      </c>
      <c r="Z715" s="149" t="inlineStr">
        <is>
          <t>0,05</t>
        </is>
      </c>
      <c r="AA715" s="151" t="inlineStr">
        <is>
          <t>grams</t>
        </is>
      </c>
      <c r="AB715" s="151" t="n"/>
      <c r="AC715" s="151" t="n"/>
      <c r="AD715" s="150" t="n">
        <v>0.99899</v>
      </c>
      <c r="AE715" s="149" t="n">
        <v>0.05</v>
      </c>
      <c r="AF715" s="151" t="inlineStr">
        <is>
          <t>grams</t>
        </is>
      </c>
      <c r="AG715" s="151" t="n"/>
      <c r="AH715" s="151" t="n"/>
    </row>
    <row r="716">
      <c r="A716" s="151" t="inlineStr">
        <is>
          <t>FV1145A - Roasted Salmon &amp; Dill Yogurt [BNL]</t>
        </is>
      </c>
      <c r="B716" s="151" t="inlineStr">
        <is>
          <t>REC-029971-4-003</t>
        </is>
      </c>
      <c r="C716" s="151" t="inlineStr">
        <is>
          <t>Moroccan Salmon Batch</t>
        </is>
      </c>
      <c r="D716" s="151" t="inlineStr">
        <is>
          <t>SUB-029902-4-001</t>
        </is>
      </c>
      <c r="E716" s="150" t="n">
        <v>1</v>
      </c>
      <c r="F716" s="151" t="inlineStr">
        <is>
          <t>each</t>
        </is>
      </c>
      <c r="G716" s="151" t="inlineStr">
        <is>
          <t>BLAST CHILLER, HAND MARINADE, OVEN, THAW</t>
        </is>
      </c>
      <c r="H716" s="151" t="inlineStr">
        <is>
          <t>Moroccan Salmon Marinade</t>
        </is>
      </c>
      <c r="I716" s="151" t="inlineStr">
        <is>
          <t>SUB-029903-4-001</t>
        </is>
      </c>
      <c r="J716" s="150" t="n">
        <v>9.92</v>
      </c>
      <c r="K716" s="151" t="inlineStr">
        <is>
          <t>grams</t>
        </is>
      </c>
      <c r="L716" s="151" t="inlineStr">
        <is>
          <t>IMMERSION BLENDER</t>
        </is>
      </c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inlineStr">
        <is>
          <t>FA-DE Spice, Harissa Powder /Gewürz, Harissa-Pulver</t>
        </is>
      </c>
      <c r="X716" s="151" t="inlineStr">
        <is>
          <t>SPI-00-139323-5</t>
        </is>
      </c>
      <c r="Y716" s="151" t="inlineStr">
        <is>
          <t>0,36</t>
        </is>
      </c>
      <c r="Z716" s="149" t="inlineStr">
        <is>
          <t>0,36</t>
        </is>
      </c>
      <c r="AA716" s="151" t="inlineStr">
        <is>
          <t>grams</t>
        </is>
      </c>
      <c r="AB716" s="151" t="n"/>
      <c r="AC716" s="151" t="n"/>
      <c r="AD716" s="150" t="n">
        <v>0.99899</v>
      </c>
      <c r="AE716" s="149" t="n">
        <v>0.36</v>
      </c>
      <c r="AF716" s="151" t="inlineStr">
        <is>
          <t>grams</t>
        </is>
      </c>
      <c r="AG716" s="151" t="n"/>
      <c r="AH716" s="151" t="n"/>
    </row>
    <row r="717">
      <c r="A717" s="151" t="inlineStr">
        <is>
          <t>FV1145A - Roasted Salmon &amp; Dill Yogurt [BNL]</t>
        </is>
      </c>
      <c r="B717" s="151" t="inlineStr">
        <is>
          <t>REC-029971-4-003</t>
        </is>
      </c>
      <c r="C717" s="151" t="inlineStr">
        <is>
          <t>Moroccan Salmon Batch</t>
        </is>
      </c>
      <c r="D717" s="151" t="inlineStr">
        <is>
          <t>SUB-029902-4-001</t>
        </is>
      </c>
      <c r="E717" s="150" t="n">
        <v>1</v>
      </c>
      <c r="F717" s="151" t="inlineStr">
        <is>
          <t>each</t>
        </is>
      </c>
      <c r="G717" s="151" t="inlineStr">
        <is>
          <t>BLAST CHILLER, HAND MARINADE, OVEN, THAW</t>
        </is>
      </c>
      <c r="H717" s="151" t="inlineStr">
        <is>
          <t>Moroccan Salmon Marinade</t>
        </is>
      </c>
      <c r="I717" s="151" t="inlineStr">
        <is>
          <t>SUB-029903-4-001</t>
        </is>
      </c>
      <c r="J717" s="150" t="n">
        <v>9.92</v>
      </c>
      <c r="K717" s="151" t="inlineStr">
        <is>
          <t>grams</t>
        </is>
      </c>
      <c r="L717" s="151" t="inlineStr">
        <is>
          <t>IMMERSION BLENDER</t>
        </is>
      </c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inlineStr">
        <is>
          <t>FA-DE Spice, Turmeric /Gewürz, Kurkuma</t>
        </is>
      </c>
      <c r="X717" s="151" t="inlineStr">
        <is>
          <t>SPI-00-139384-5</t>
        </is>
      </c>
      <c r="Y717" s="151" t="inlineStr">
        <is>
          <t>0,05</t>
        </is>
      </c>
      <c r="Z717" s="149" t="inlineStr">
        <is>
          <t>0,05</t>
        </is>
      </c>
      <c r="AA717" s="151" t="inlineStr">
        <is>
          <t>grams</t>
        </is>
      </c>
      <c r="AB717" s="151" t="n"/>
      <c r="AC717" s="151" t="n"/>
      <c r="AD717" s="150" t="n">
        <v>0.99899</v>
      </c>
      <c r="AE717" s="149" t="n">
        <v>0.05</v>
      </c>
      <c r="AF717" s="151" t="inlineStr">
        <is>
          <t>grams</t>
        </is>
      </c>
      <c r="AG717" s="151" t="n"/>
      <c r="AH717" s="151" t="n"/>
    </row>
    <row r="718">
      <c r="A718" s="151" t="inlineStr">
        <is>
          <t>FV1145A - Roasted Salmon &amp; Dill Yogurt [BNL]</t>
        </is>
      </c>
      <c r="B718" s="151" t="inlineStr">
        <is>
          <t>REC-029971-4-003</t>
        </is>
      </c>
      <c r="C718" s="151" t="inlineStr">
        <is>
          <t>Moroccan Salmon Batch</t>
        </is>
      </c>
      <c r="D718" s="151" t="inlineStr">
        <is>
          <t>SUB-029902-4-001</t>
        </is>
      </c>
      <c r="E718" s="150" t="n">
        <v>1</v>
      </c>
      <c r="F718" s="151" t="inlineStr">
        <is>
          <t>each</t>
        </is>
      </c>
      <c r="G718" s="151" t="inlineStr">
        <is>
          <t>BLAST CHILLER, HAND MARINADE, OVEN, THAW</t>
        </is>
      </c>
      <c r="H718" s="151" t="inlineStr">
        <is>
          <t>Moroccan Salmon Marinade</t>
        </is>
      </c>
      <c r="I718" s="151" t="inlineStr">
        <is>
          <t>SUB-029903-4-001</t>
        </is>
      </c>
      <c r="J718" s="150" t="n">
        <v>9.92</v>
      </c>
      <c r="K718" s="151" t="inlineStr">
        <is>
          <t>grams</t>
        </is>
      </c>
      <c r="L718" s="151" t="inlineStr">
        <is>
          <t>IMMERSION BLENDER</t>
        </is>
      </c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inlineStr">
        <is>
          <t>FA-DE Parsley, Chopped /Petersilie, gehackt</t>
        </is>
      </c>
      <c r="X718" s="151" t="inlineStr">
        <is>
          <t>PHF-00-139215-3</t>
        </is>
      </c>
      <c r="Y718" s="151" t="inlineStr">
        <is>
          <t>0,83</t>
        </is>
      </c>
      <c r="Z718" s="149" t="inlineStr">
        <is>
          <t>0,83</t>
        </is>
      </c>
      <c r="AA718" s="151" t="inlineStr">
        <is>
          <t>grams</t>
        </is>
      </c>
      <c r="AB718" s="151" t="n"/>
      <c r="AC718" s="151" t="n"/>
      <c r="AD718" s="150" t="n">
        <v>0.99899</v>
      </c>
      <c r="AE718" s="149" t="n">
        <v>0.83</v>
      </c>
      <c r="AF718" s="151" t="inlineStr">
        <is>
          <t>grams</t>
        </is>
      </c>
      <c r="AG718" s="151" t="n"/>
      <c r="AH718" s="151" t="n"/>
    </row>
    <row r="719">
      <c r="A719" s="151" t="inlineStr">
        <is>
          <t>FV1145A - Roasted Salmon &amp; Dill Yogurt [BNL]</t>
        </is>
      </c>
      <c r="B719" s="151" t="inlineStr">
        <is>
          <t>REC-029971-4-003</t>
        </is>
      </c>
      <c r="C719" s="151" t="inlineStr">
        <is>
          <t>Moroccan Salmon Batch</t>
        </is>
      </c>
      <c r="D719" s="151" t="inlineStr">
        <is>
          <t>SUB-029902-4-001</t>
        </is>
      </c>
      <c r="E719" s="150" t="n">
        <v>1</v>
      </c>
      <c r="F719" s="151" t="inlineStr">
        <is>
          <t>each</t>
        </is>
      </c>
      <c r="G719" s="151" t="inlineStr">
        <is>
          <t>BLAST CHILLER, HAND MARINADE, OVEN, THAW</t>
        </is>
      </c>
      <c r="H719" s="151" t="inlineStr">
        <is>
          <t>Moroccan Salmon Marinade</t>
        </is>
      </c>
      <c r="I719" s="151" t="inlineStr">
        <is>
          <t>SUB-029903-4-001</t>
        </is>
      </c>
      <c r="J719" s="150" t="n">
        <v>9.92</v>
      </c>
      <c r="K719" s="151" t="inlineStr">
        <is>
          <t>grams</t>
        </is>
      </c>
      <c r="L719" s="151" t="inlineStr">
        <is>
          <t>IMMERSION BLENDER</t>
        </is>
      </c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inlineStr">
        <is>
          <t>FA-DE Coriander, Chopped /Koriander, gehackt</t>
        </is>
      </c>
      <c r="X719" s="151" t="inlineStr">
        <is>
          <t>PHF-00-139192-3</t>
        </is>
      </c>
      <c r="Y719" s="151" t="inlineStr">
        <is>
          <t>0,83</t>
        </is>
      </c>
      <c r="Z719" s="149" t="inlineStr">
        <is>
          <t>0,83</t>
        </is>
      </c>
      <c r="AA719" s="151" t="inlineStr">
        <is>
          <t>grams</t>
        </is>
      </c>
      <c r="AB719" s="151" t="n"/>
      <c r="AC719" s="151" t="n"/>
      <c r="AD719" s="150" t="n">
        <v>0.99899</v>
      </c>
      <c r="AE719" s="149" t="n">
        <v>0.83</v>
      </c>
      <c r="AF719" s="151" t="inlineStr">
        <is>
          <t>grams</t>
        </is>
      </c>
      <c r="AG719" s="151" t="n"/>
      <c r="AH719" s="151" t="n"/>
    </row>
    <row r="720">
      <c r="A720" s="151" t="inlineStr">
        <is>
          <t>FV1145A - Roasted Salmon &amp; Dill Yogurt [BNL]</t>
        </is>
      </c>
      <c r="B720" s="151" t="inlineStr">
        <is>
          <t>REC-029971-4-003</t>
        </is>
      </c>
      <c r="C720" s="151" t="inlineStr">
        <is>
          <t>Moroccan Salmon Batch</t>
        </is>
      </c>
      <c r="D720" s="151" t="inlineStr">
        <is>
          <t>SUB-029902-4-001</t>
        </is>
      </c>
      <c r="E720" s="150" t="n">
        <v>1</v>
      </c>
      <c r="F720" s="151" t="inlineStr">
        <is>
          <t>each</t>
        </is>
      </c>
      <c r="G720" s="151" t="inlineStr">
        <is>
          <t>BLAST CHILLER, HAND MARINADE, OVEN, THAW</t>
        </is>
      </c>
      <c r="H720" s="151" t="inlineStr">
        <is>
          <t>Moroccan Salmon Marinade</t>
        </is>
      </c>
      <c r="I720" s="151" t="inlineStr">
        <is>
          <t>SUB-029903-4-001</t>
        </is>
      </c>
      <c r="J720" s="150" t="n">
        <v>9.92</v>
      </c>
      <c r="K720" s="151" t="inlineStr">
        <is>
          <t>grams</t>
        </is>
      </c>
      <c r="L720" s="151" t="inlineStr">
        <is>
          <t>IMMERSION BLENDER</t>
        </is>
      </c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inlineStr">
        <is>
          <t>FA-DE Zest, Lemon/Gewürz, Zitronenschale</t>
        </is>
      </c>
      <c r="X720" s="151" t="inlineStr">
        <is>
          <t>PHF-00-139247-3</t>
        </is>
      </c>
      <c r="Y720" s="151" t="inlineStr">
        <is>
          <t>0,05</t>
        </is>
      </c>
      <c r="Z720" s="149" t="inlineStr">
        <is>
          <t>0,05</t>
        </is>
      </c>
      <c r="AA720" s="151" t="inlineStr">
        <is>
          <t>grams</t>
        </is>
      </c>
      <c r="AB720" s="151" t="n"/>
      <c r="AC720" s="151" t="n"/>
      <c r="AD720" s="150" t="n">
        <v>0.99899</v>
      </c>
      <c r="AE720" s="149" t="n">
        <v>0.05</v>
      </c>
      <c r="AF720" s="151" t="inlineStr">
        <is>
          <t>grams</t>
        </is>
      </c>
      <c r="AG720" s="151" t="n"/>
      <c r="AH720" s="151" t="n"/>
    </row>
    <row r="721">
      <c r="A721" s="151" t="inlineStr">
        <is>
          <t>FV1145A - Roasted Salmon &amp; Dill Yogurt [BNL]</t>
        </is>
      </c>
      <c r="B721" s="151" t="inlineStr">
        <is>
          <t>REC-029971-4-003</t>
        </is>
      </c>
      <c r="C721" s="151" t="inlineStr">
        <is>
          <t>Moroccan Salmon Batch</t>
        </is>
      </c>
      <c r="D721" s="151" t="inlineStr">
        <is>
          <t>SUB-029902-4-001</t>
        </is>
      </c>
      <c r="E721" s="150" t="n">
        <v>1</v>
      </c>
      <c r="F721" s="151" t="inlineStr">
        <is>
          <t>each</t>
        </is>
      </c>
      <c r="G721" s="151" t="inlineStr">
        <is>
          <t>BLAST CHILLER, HAND MARINADE, OVEN, THAW</t>
        </is>
      </c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inlineStr">
        <is>
          <t>FA-DE Salmon, Skinless, Boneless, Filet/Lachs, ohne Haut, ohne Knochen, Filet - IQF</t>
        </is>
      </c>
      <c r="X721" s="151" t="inlineStr">
        <is>
          <t>PTN-00-139968-1</t>
        </is>
      </c>
      <c r="Y721" s="150" t="n">
        <v>140</v>
      </c>
      <c r="Z721" s="152" t="n">
        <v>140</v>
      </c>
      <c r="AA721" s="151" t="inlineStr">
        <is>
          <t>grams</t>
        </is>
      </c>
      <c r="AB721" s="151" t="inlineStr">
        <is>
          <t>FISCH</t>
        </is>
      </c>
      <c r="AC721" s="151" t="n"/>
      <c r="AD721" s="150" t="n">
        <v>0.79893</v>
      </c>
      <c r="AE721" s="152" t="n">
        <v>140</v>
      </c>
      <c r="AF721" s="151" t="inlineStr">
        <is>
          <t>grams</t>
        </is>
      </c>
      <c r="AG721" s="151" t="n"/>
      <c r="AH721" s="151" t="n"/>
    </row>
    <row r="722">
      <c r="A722" s="151" t="inlineStr">
        <is>
          <t>FV1145A - Roasted Salmon &amp; Dill Yogurt [BNL]</t>
        </is>
      </c>
      <c r="B722" s="151" t="inlineStr">
        <is>
          <t>REC-029971-4-003</t>
        </is>
      </c>
      <c r="C722" s="151" t="inlineStr">
        <is>
          <t>Moroccan Salmon Batch</t>
        </is>
      </c>
      <c r="D722" s="151" t="inlineStr">
        <is>
          <t>SUB-029902-4-001</t>
        </is>
      </c>
      <c r="E722" s="150" t="n">
        <v>1</v>
      </c>
      <c r="F722" s="151" t="inlineStr">
        <is>
          <t>each</t>
        </is>
      </c>
      <c r="G722" s="151" t="inlineStr">
        <is>
          <t>BLAST CHILLER, HAND MARINADE, OVEN, THAW</t>
        </is>
      </c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inlineStr">
        <is>
          <t>FA-DE Spice, Sea Salt /Gewürze, Meersalz</t>
        </is>
      </c>
      <c r="X722" s="151" t="inlineStr">
        <is>
          <t>SPI-00-139378-5</t>
        </is>
      </c>
      <c r="Y722" s="151" t="inlineStr">
        <is>
          <t>0,28</t>
        </is>
      </c>
      <c r="Z722" s="149" t="inlineStr">
        <is>
          <t>0,28</t>
        </is>
      </c>
      <c r="AA722" s="151" t="inlineStr">
        <is>
          <t>grams</t>
        </is>
      </c>
      <c r="AB722" s="151" t="n"/>
      <c r="AC722" s="151" t="n"/>
      <c r="AD722" s="150" t="n">
        <v>0.79893</v>
      </c>
      <c r="AE722" s="149" t="n">
        <v>0.28</v>
      </c>
      <c r="AF722" s="151" t="inlineStr">
        <is>
          <t>grams</t>
        </is>
      </c>
      <c r="AG722" s="151" t="n"/>
      <c r="AH722" s="151" t="n"/>
    </row>
    <row r="723">
      <c r="A723" s="151" t="inlineStr">
        <is>
          <t>FV1145A - Roasted Salmon &amp; Dill Yogurt [BNL]</t>
        </is>
      </c>
      <c r="B723" s="151" t="inlineStr">
        <is>
          <t>REC-029971-4-003</t>
        </is>
      </c>
      <c r="C723" s="151" t="inlineStr">
        <is>
          <t>Roasted Red Peppers - Diced (half pepper)</t>
        </is>
      </c>
      <c r="D723" s="151" t="inlineStr">
        <is>
          <t>SUB-029906-4-001</t>
        </is>
      </c>
      <c r="E723" s="150" t="n">
        <v>30</v>
      </c>
      <c r="F723" s="151" t="inlineStr">
        <is>
          <t>grams</t>
        </is>
      </c>
      <c r="G723" s="151" t="inlineStr">
        <is>
          <t>BLAST CHILLER, OVEN</t>
        </is>
      </c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inlineStr">
        <is>
          <t>FA-DE Bell Peppers, Red, Diced 10mm /Paprika, rot, gewürfelt 10 mm</t>
        </is>
      </c>
      <c r="X723" s="151" t="inlineStr">
        <is>
          <t>PHF-00-139179-3</t>
        </is>
      </c>
      <c r="Y723" s="151" t="inlineStr">
        <is>
          <t>36,82</t>
        </is>
      </c>
      <c r="Z723" s="149" t="inlineStr">
        <is>
          <t>36,82</t>
        </is>
      </c>
      <c r="AA723" s="151" t="inlineStr">
        <is>
          <t>grams</t>
        </is>
      </c>
      <c r="AB723" s="151" t="n"/>
      <c r="AC723" s="151" t="n"/>
      <c r="AD723" s="150" t="n">
        <v>0.7464499999999999</v>
      </c>
      <c r="AE723" s="149" t="n">
        <v>36.82</v>
      </c>
      <c r="AF723" s="151" t="inlineStr">
        <is>
          <t>grams</t>
        </is>
      </c>
      <c r="AG723" s="151" t="n"/>
      <c r="AH723" s="151" t="n"/>
    </row>
    <row r="724">
      <c r="A724" s="151" t="inlineStr">
        <is>
          <t>FV1145A - Roasted Salmon &amp; Dill Yogurt [BNL]</t>
        </is>
      </c>
      <c r="B724" s="151" t="inlineStr">
        <is>
          <t>REC-029971-4-003</t>
        </is>
      </c>
      <c r="C724" s="151" t="inlineStr">
        <is>
          <t>Roasted Red Peppers - Diced (half pepper)</t>
        </is>
      </c>
      <c r="D724" s="151" t="inlineStr">
        <is>
          <t>SUB-029906-4-001</t>
        </is>
      </c>
      <c r="E724" s="150" t="n">
        <v>30</v>
      </c>
      <c r="F724" s="151" t="inlineStr">
        <is>
          <t>grams</t>
        </is>
      </c>
      <c r="G724" s="151" t="inlineStr">
        <is>
          <t>BLAST CHILLER, OVEN</t>
        </is>
      </c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inlineStr">
        <is>
          <t>FA-DE Oil, Olive /Öl, Olivenöl</t>
        </is>
      </c>
      <c r="X724" s="151" t="inlineStr">
        <is>
          <t>PRO-00-139277-5</t>
        </is>
      </c>
      <c r="Y724" s="151" t="inlineStr">
        <is>
          <t>1,38</t>
        </is>
      </c>
      <c r="Z724" s="149" t="inlineStr">
        <is>
          <t>1,38</t>
        </is>
      </c>
      <c r="AA724" s="151" t="inlineStr">
        <is>
          <t>grams</t>
        </is>
      </c>
      <c r="AB724" s="151" t="n"/>
      <c r="AC724" s="151" t="n"/>
      <c r="AD724" s="150" t="n">
        <v>0.7464499999999999</v>
      </c>
      <c r="AE724" s="149" t="n">
        <v>1.38</v>
      </c>
      <c r="AF724" s="151" t="inlineStr">
        <is>
          <t>grams</t>
        </is>
      </c>
      <c r="AG724" s="151" t="n"/>
      <c r="AH724" s="151" t="n"/>
    </row>
    <row r="725">
      <c r="A725" s="151" t="inlineStr">
        <is>
          <t>FV1145A - Roasted Salmon &amp; Dill Yogurt [BNL]</t>
        </is>
      </c>
      <c r="B725" s="151" t="inlineStr">
        <is>
          <t>REC-029971-4-003</t>
        </is>
      </c>
      <c r="C725" s="151" t="inlineStr">
        <is>
          <t>Roasted Red Peppers - Diced (half pepper)</t>
        </is>
      </c>
      <c r="D725" s="151" t="inlineStr">
        <is>
          <t>SUB-029906-4-001</t>
        </is>
      </c>
      <c r="E725" s="150" t="n">
        <v>30</v>
      </c>
      <c r="F725" s="151" t="inlineStr">
        <is>
          <t>grams</t>
        </is>
      </c>
      <c r="G725" s="151" t="inlineStr">
        <is>
          <t>BLAST CHILLER, OVEN</t>
        </is>
      </c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inlineStr">
        <is>
          <t>FA-DE Garlic, IQF, Diced 4 mm /Knoblauch, IQF, gewürfelt 4 mm</t>
        </is>
      </c>
      <c r="X725" s="151" t="inlineStr">
        <is>
          <t>PHF-00-139237-1</t>
        </is>
      </c>
      <c r="Y725" s="151" t="inlineStr">
        <is>
          <t>1,38</t>
        </is>
      </c>
      <c r="Z725" s="149" t="inlineStr">
        <is>
          <t>1,38</t>
        </is>
      </c>
      <c r="AA725" s="151" t="inlineStr">
        <is>
          <t>grams</t>
        </is>
      </c>
      <c r="AB725" s="151" t="inlineStr">
        <is>
          <t>SCHWEFELDIOXIDE UND SULFITE</t>
        </is>
      </c>
      <c r="AC725" s="151" t="n"/>
      <c r="AD725" s="150" t="n">
        <v>0.7464499999999999</v>
      </c>
      <c r="AE725" s="149" t="n">
        <v>1.38</v>
      </c>
      <c r="AF725" s="151" t="inlineStr">
        <is>
          <t>grams</t>
        </is>
      </c>
      <c r="AG725" s="151" t="n"/>
      <c r="AH725" s="151" t="n"/>
    </row>
    <row r="726">
      <c r="A726" s="151" t="inlineStr">
        <is>
          <t>FV1145A - Roasted Salmon &amp; Dill Yogurt [BNL]</t>
        </is>
      </c>
      <c r="B726" s="151" t="inlineStr">
        <is>
          <t>REC-029971-4-003</t>
        </is>
      </c>
      <c r="C726" s="151" t="inlineStr">
        <is>
          <t>Roasted Red Peppers - Diced (half pepper)</t>
        </is>
      </c>
      <c r="D726" s="151" t="inlineStr">
        <is>
          <t>SUB-029906-4-001</t>
        </is>
      </c>
      <c r="E726" s="150" t="n">
        <v>30</v>
      </c>
      <c r="F726" s="151" t="inlineStr">
        <is>
          <t>grams</t>
        </is>
      </c>
      <c r="G726" s="151" t="inlineStr">
        <is>
          <t>BLAST CHILLER, OVEN</t>
        </is>
      </c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inlineStr">
        <is>
          <t>FA-DE Spice, Sea Salt /Gewürze, Meersalz</t>
        </is>
      </c>
      <c r="X726" s="151" t="inlineStr">
        <is>
          <t>SPI-00-139378-5</t>
        </is>
      </c>
      <c r="Y726" s="151" t="inlineStr">
        <is>
          <t>0,21</t>
        </is>
      </c>
      <c r="Z726" s="149" t="inlineStr">
        <is>
          <t>0,21</t>
        </is>
      </c>
      <c r="AA726" s="151" t="inlineStr">
        <is>
          <t>grams</t>
        </is>
      </c>
      <c r="AB726" s="151" t="n"/>
      <c r="AC726" s="151" t="n"/>
      <c r="AD726" s="150" t="n">
        <v>0.7464499999999999</v>
      </c>
      <c r="AE726" s="149" t="n">
        <v>0.21</v>
      </c>
      <c r="AF726" s="151" t="inlineStr">
        <is>
          <t>grams</t>
        </is>
      </c>
      <c r="AG726" s="151" t="n"/>
      <c r="AH726" s="151" t="n"/>
    </row>
    <row r="727">
      <c r="A727" s="151" t="inlineStr">
        <is>
          <t>FV1145A - Roasted Salmon &amp; Dill Yogurt [BNL]</t>
        </is>
      </c>
      <c r="B727" s="151" t="inlineStr">
        <is>
          <t>REC-029971-4-003</t>
        </is>
      </c>
      <c r="C727" s="151" t="inlineStr">
        <is>
          <t>Roasted Red Peppers - Diced (half pepper)</t>
        </is>
      </c>
      <c r="D727" s="151" t="inlineStr">
        <is>
          <t>SUB-029906-4-001</t>
        </is>
      </c>
      <c r="E727" s="150" t="n">
        <v>30</v>
      </c>
      <c r="F727" s="151" t="inlineStr">
        <is>
          <t>grams</t>
        </is>
      </c>
      <c r="G727" s="151" t="inlineStr">
        <is>
          <t>BLAST CHILLER, OVEN</t>
        </is>
      </c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inlineStr">
        <is>
          <t>FA-DE Spice, Black Pepper, Ground /Gewürz, schwarzer Pfeffer, gemahlen</t>
        </is>
      </c>
      <c r="X727" s="151" t="inlineStr">
        <is>
          <t>SPI-00-139334-5</t>
        </is>
      </c>
      <c r="Y727" s="151" t="inlineStr">
        <is>
          <t>0,18</t>
        </is>
      </c>
      <c r="Z727" s="149" t="inlineStr">
        <is>
          <t>0,18</t>
        </is>
      </c>
      <c r="AA727" s="151" t="inlineStr">
        <is>
          <t>grams</t>
        </is>
      </c>
      <c r="AB727" s="151" t="n"/>
      <c r="AC727" s="151" t="n"/>
      <c r="AD727" s="150" t="n">
        <v>0.7464499999999999</v>
      </c>
      <c r="AE727" s="149" t="n">
        <v>0.18</v>
      </c>
      <c r="AF727" s="151" t="inlineStr">
        <is>
          <t>grams</t>
        </is>
      </c>
      <c r="AG727" s="151" t="n"/>
      <c r="AH727" s="151" t="n"/>
    </row>
    <row r="728">
      <c r="A728" s="151" t="inlineStr">
        <is>
          <t>FV1145A - Roasted Salmon &amp; Dill Yogurt [BNL]</t>
        </is>
      </c>
      <c r="B728" s="151" t="inlineStr">
        <is>
          <t>REC-029971-4-003</t>
        </is>
      </c>
      <c r="C728" s="151" t="inlineStr">
        <is>
          <t>Roasted Red Peppers - Diced (half pepper)</t>
        </is>
      </c>
      <c r="D728" s="151" t="inlineStr">
        <is>
          <t>SUB-029906-4-001</t>
        </is>
      </c>
      <c r="E728" s="150" t="n">
        <v>30</v>
      </c>
      <c r="F728" s="151" t="inlineStr">
        <is>
          <t>grams</t>
        </is>
      </c>
      <c r="G728" s="151" t="inlineStr">
        <is>
          <t>BLAST CHILLER, OVEN</t>
        </is>
      </c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inlineStr">
        <is>
          <t>FA-DE Spice, Garlic Granulated /Gewürz, Knoblauch granuliert</t>
        </is>
      </c>
      <c r="X728" s="151" t="inlineStr">
        <is>
          <t>SPI-00-139353-5</t>
        </is>
      </c>
      <c r="Y728" s="151" t="inlineStr">
        <is>
          <t>0,23</t>
        </is>
      </c>
      <c r="Z728" s="149" t="inlineStr">
        <is>
          <t>0,23</t>
        </is>
      </c>
      <c r="AA728" s="151" t="inlineStr">
        <is>
          <t>grams</t>
        </is>
      </c>
      <c r="AB728" s="151" t="n"/>
      <c r="AC728" s="151" t="n"/>
      <c r="AD728" s="150" t="n">
        <v>0.7464499999999999</v>
      </c>
      <c r="AE728" s="149" t="n">
        <v>0.23</v>
      </c>
      <c r="AF728" s="151" t="inlineStr">
        <is>
          <t>grams</t>
        </is>
      </c>
      <c r="AG728" s="151" t="n"/>
      <c r="AH728" s="151" t="n"/>
    </row>
    <row r="729">
      <c r="A729" s="151" t="inlineStr">
        <is>
          <t>FV1145A - Roasted Salmon &amp; Dill Yogurt [BNL]</t>
        </is>
      </c>
      <c r="B729" s="151" t="inlineStr">
        <is>
          <t>REC-029971-4-003</t>
        </is>
      </c>
      <c r="C729" s="151" t="inlineStr">
        <is>
          <t>Green Beans CUT 1-1/2 - Fresh</t>
        </is>
      </c>
      <c r="D729" s="151" t="inlineStr">
        <is>
          <t>SUB-013484-4-001</t>
        </is>
      </c>
      <c r="E729" s="150" t="n">
        <v>60</v>
      </c>
      <c r="F729" s="151" t="inlineStr">
        <is>
          <t>grams</t>
        </is>
      </c>
      <c r="G729" s="151" t="inlineStr">
        <is>
          <t>BLAST CHILLER, OVEN</t>
        </is>
      </c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inlineStr">
        <is>
          <t>FA-DE Oil, Olive /Öl, Olivenöl</t>
        </is>
      </c>
      <c r="X729" s="151" t="inlineStr">
        <is>
          <t>PRO-00-139277-5</t>
        </is>
      </c>
      <c r="Y729" s="151" t="inlineStr">
        <is>
          <t>3,95</t>
        </is>
      </c>
      <c r="Z729" s="149" t="inlineStr">
        <is>
          <t>3,95</t>
        </is>
      </c>
      <c r="AA729" s="151" t="inlineStr">
        <is>
          <t>grams</t>
        </is>
      </c>
      <c r="AB729" s="151" t="n"/>
      <c r="AC729" s="151" t="n"/>
      <c r="AD729" s="150" t="n">
        <v>0.73433</v>
      </c>
      <c r="AE729" s="149" t="n">
        <v>3.95</v>
      </c>
      <c r="AF729" s="151" t="inlineStr">
        <is>
          <t>grams</t>
        </is>
      </c>
      <c r="AG729" s="151" t="n"/>
      <c r="AH729" s="151" t="n"/>
    </row>
    <row r="730">
      <c r="A730" s="151" t="inlineStr">
        <is>
          <t>FV1145A - Roasted Salmon &amp; Dill Yogurt [BNL]</t>
        </is>
      </c>
      <c r="B730" s="151" t="inlineStr">
        <is>
          <t>REC-029971-4-003</t>
        </is>
      </c>
      <c r="C730" s="151" t="inlineStr">
        <is>
          <t>Green Beans CUT 1-1/2 - Fresh</t>
        </is>
      </c>
      <c r="D730" s="151" t="inlineStr">
        <is>
          <t>SUB-013484-4-001</t>
        </is>
      </c>
      <c r="E730" s="150" t="n">
        <v>60</v>
      </c>
      <c r="F730" s="151" t="inlineStr">
        <is>
          <t>grams</t>
        </is>
      </c>
      <c r="G730" s="151" t="inlineStr">
        <is>
          <t>BLAST CHILLER, OVEN</t>
        </is>
      </c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inlineStr">
        <is>
          <t>FA-DE Spice, Sea Salt /Gewürze, Meersalz</t>
        </is>
      </c>
      <c r="X730" s="151" t="inlineStr">
        <is>
          <t>SPI-00-139378-5</t>
        </is>
      </c>
      <c r="Y730" s="151" t="inlineStr">
        <is>
          <t>0,44</t>
        </is>
      </c>
      <c r="Z730" s="149" t="inlineStr">
        <is>
          <t>0,44</t>
        </is>
      </c>
      <c r="AA730" s="151" t="inlineStr">
        <is>
          <t>grams</t>
        </is>
      </c>
      <c r="AB730" s="151" t="n"/>
      <c r="AC730" s="151" t="n"/>
      <c r="AD730" s="150" t="n">
        <v>0.73433</v>
      </c>
      <c r="AE730" s="149" t="n">
        <v>0.44</v>
      </c>
      <c r="AF730" s="151" t="inlineStr">
        <is>
          <t>grams</t>
        </is>
      </c>
      <c r="AG730" s="151" t="n"/>
      <c r="AH730" s="151" t="n"/>
    </row>
    <row r="731">
      <c r="A731" s="151" t="inlineStr">
        <is>
          <t>FV1145A - Roasted Salmon &amp; Dill Yogurt [BNL]</t>
        </is>
      </c>
      <c r="B731" s="151" t="inlineStr">
        <is>
          <t>REC-029971-4-003</t>
        </is>
      </c>
      <c r="C731" s="151" t="inlineStr">
        <is>
          <t>Green Beans CUT 1-1/2 - Fresh</t>
        </is>
      </c>
      <c r="D731" s="151" t="inlineStr">
        <is>
          <t>SUB-013484-4-001</t>
        </is>
      </c>
      <c r="E731" s="150" t="n">
        <v>60</v>
      </c>
      <c r="F731" s="151" t="inlineStr">
        <is>
          <t>grams</t>
        </is>
      </c>
      <c r="G731" s="151" t="inlineStr">
        <is>
          <t>BLAST CHILLER, OVEN</t>
        </is>
      </c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inlineStr">
        <is>
          <t>FA-DE Spice, Black Pepper, Ground /Gewürz, schwarzer Pfeffer, gemahlen</t>
        </is>
      </c>
      <c r="X731" s="151" t="inlineStr">
        <is>
          <t>SPI-00-139334-5</t>
        </is>
      </c>
      <c r="Y731" s="151" t="inlineStr">
        <is>
          <t>0,06</t>
        </is>
      </c>
      <c r="Z731" s="149" t="inlineStr">
        <is>
          <t>0,06</t>
        </is>
      </c>
      <c r="AA731" s="151" t="inlineStr">
        <is>
          <t>grams</t>
        </is>
      </c>
      <c r="AB731" s="151" t="n"/>
      <c r="AC731" s="151" t="n"/>
      <c r="AD731" s="150" t="n">
        <v>0.73433</v>
      </c>
      <c r="AE731" s="149" t="n">
        <v>0.06</v>
      </c>
      <c r="AF731" s="151" t="inlineStr">
        <is>
          <t>grams</t>
        </is>
      </c>
      <c r="AG731" s="151" t="n"/>
      <c r="AH731" s="151" t="n"/>
    </row>
    <row r="732">
      <c r="A732" s="151" t="inlineStr">
        <is>
          <t>FV1145A - Roasted Salmon &amp; Dill Yogurt [BNL]</t>
        </is>
      </c>
      <c r="B732" s="151" t="inlineStr">
        <is>
          <t>REC-029971-4-003</t>
        </is>
      </c>
      <c r="C732" s="151" t="inlineStr">
        <is>
          <t>Green Beans CUT 1-1/2 - Fresh</t>
        </is>
      </c>
      <c r="D732" s="151" t="inlineStr">
        <is>
          <t>SUB-013484-4-001</t>
        </is>
      </c>
      <c r="E732" s="150" t="n">
        <v>60</v>
      </c>
      <c r="F732" s="151" t="inlineStr">
        <is>
          <t>grams</t>
        </is>
      </c>
      <c r="G732" s="151" t="inlineStr">
        <is>
          <t>BLAST CHILLER, OVEN</t>
        </is>
      </c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inlineStr">
        <is>
          <t>FA-DE Spice, Garlic Granulated /Gewürz, Knoblauch granuliert</t>
        </is>
      </c>
      <c r="X732" s="151" t="inlineStr">
        <is>
          <t>SPI-00-139353-5</t>
        </is>
      </c>
      <c r="Y732" s="151" t="inlineStr">
        <is>
          <t>0,33</t>
        </is>
      </c>
      <c r="Z732" s="149" t="inlineStr">
        <is>
          <t>0,33</t>
        </is>
      </c>
      <c r="AA732" s="151" t="inlineStr">
        <is>
          <t>grams</t>
        </is>
      </c>
      <c r="AB732" s="151" t="n"/>
      <c r="AC732" s="151" t="n"/>
      <c r="AD732" s="150" t="n">
        <v>0.73433</v>
      </c>
      <c r="AE732" s="149" t="n">
        <v>0.33</v>
      </c>
      <c r="AF732" s="151" t="inlineStr">
        <is>
          <t>grams</t>
        </is>
      </c>
      <c r="AG732" s="151" t="n"/>
      <c r="AH732" s="151" t="n"/>
    </row>
    <row r="733">
      <c r="A733" s="151" t="inlineStr">
        <is>
          <t>FV1145A - Roasted Salmon &amp; Dill Yogurt [BNL]</t>
        </is>
      </c>
      <c r="B733" s="151" t="inlineStr">
        <is>
          <t>REC-029971-4-003</t>
        </is>
      </c>
      <c r="C733" s="151" t="inlineStr">
        <is>
          <t>Green Beans CUT 1-1/2 - Fresh</t>
        </is>
      </c>
      <c r="D733" s="151" t="inlineStr">
        <is>
          <t>SUB-013484-4-001</t>
        </is>
      </c>
      <c r="E733" s="150" t="n">
        <v>60</v>
      </c>
      <c r="F733" s="151" t="inlineStr">
        <is>
          <t>grams</t>
        </is>
      </c>
      <c r="G733" s="151" t="inlineStr">
        <is>
          <t>BLAST CHILLER, OVEN</t>
        </is>
      </c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inlineStr">
        <is>
          <t>FA-DE Green Beans, Fresh, Cut 40mm /Grüne Bohnen, frisch, geschnitten 40mm</t>
        </is>
      </c>
      <c r="X733" s="151" t="inlineStr">
        <is>
          <t>PHF-00-139199-3</t>
        </is>
      </c>
      <c r="Y733" s="151" t="inlineStr">
        <is>
          <t>76,92</t>
        </is>
      </c>
      <c r="Z733" s="149" t="inlineStr">
        <is>
          <t>76,92</t>
        </is>
      </c>
      <c r="AA733" s="151" t="inlineStr">
        <is>
          <t>grams</t>
        </is>
      </c>
      <c r="AB733" s="151" t="n"/>
      <c r="AC733" s="151" t="n"/>
      <c r="AD733" s="150" t="n">
        <v>0.73433</v>
      </c>
      <c r="AE733" s="149" t="n">
        <v>76.92</v>
      </c>
      <c r="AF733" s="151" t="inlineStr">
        <is>
          <t>grams</t>
        </is>
      </c>
      <c r="AG733" s="151" t="n"/>
      <c r="AH733" s="151" t="n"/>
    </row>
    <row r="734">
      <c r="A734" s="151" t="inlineStr">
        <is>
          <t>FV1145A - Roasted Salmon &amp; Dill Yogurt [BNL]</t>
        </is>
      </c>
      <c r="B734" s="151" t="inlineStr">
        <is>
          <t>REC-029971-4-003</t>
        </is>
      </c>
      <c r="C734" s="151" t="inlineStr">
        <is>
          <t>Lemon Dill Yogurt</t>
        </is>
      </c>
      <c r="D734" s="151" t="inlineStr">
        <is>
          <t>SUB-029910-4-001</t>
        </is>
      </c>
      <c r="E734" s="150" t="n">
        <v>35</v>
      </c>
      <c r="F734" s="151" t="inlineStr">
        <is>
          <t>grams</t>
        </is>
      </c>
      <c r="G734" s="151" t="inlineStr">
        <is>
          <t>CUPPING, IMMERSION BLENDER</t>
        </is>
      </c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inlineStr">
        <is>
          <t>FA-DE Yogurt, Greek, Plain /Joghurt, Griechisch, Natur</t>
        </is>
      </c>
      <c r="X734" s="151" t="inlineStr">
        <is>
          <t>DAI-00-139161-3</t>
        </is>
      </c>
      <c r="Y734" s="153" t="inlineStr">
        <is>
          <t>9,27</t>
        </is>
      </c>
      <c r="Z734" s="149" t="inlineStr">
        <is>
          <t>9,27</t>
        </is>
      </c>
      <c r="AA734" s="151" t="inlineStr">
        <is>
          <t>grams</t>
        </is>
      </c>
      <c r="AB734" s="151" t="inlineStr">
        <is>
          <t>MILCH (EINSCHLIESSLICH LAKTOSE)</t>
        </is>
      </c>
      <c r="AC734" s="151" t="n"/>
      <c r="AD734" s="150" t="n">
        <v>0.98005</v>
      </c>
      <c r="AE734" s="149" t="n">
        <v>9.27</v>
      </c>
      <c r="AF734" s="151" t="inlineStr">
        <is>
          <t>grams</t>
        </is>
      </c>
      <c r="AG734" s="151" t="n"/>
      <c r="AH734" s="151" t="n"/>
    </row>
    <row r="735">
      <c r="A735" s="151" t="inlineStr">
        <is>
          <t>FV1145A - Roasted Salmon &amp; Dill Yogurt [BNL]</t>
        </is>
      </c>
      <c r="B735" s="151" t="inlineStr">
        <is>
          <t>REC-029971-4-003</t>
        </is>
      </c>
      <c r="C735" s="151" t="inlineStr">
        <is>
          <t>Lemon Dill Yogurt</t>
        </is>
      </c>
      <c r="D735" s="151" t="inlineStr">
        <is>
          <t>SUB-029910-4-001</t>
        </is>
      </c>
      <c r="E735" s="150" t="n">
        <v>35</v>
      </c>
      <c r="F735" s="151" t="inlineStr">
        <is>
          <t>grams</t>
        </is>
      </c>
      <c r="G735" s="151" t="inlineStr">
        <is>
          <t>CUPPING, IMMERSION BLENDER</t>
        </is>
      </c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inlineStr">
        <is>
          <t>FA-DE Sour Cream /Sauerrahm</t>
        </is>
      </c>
      <c r="X735" s="151" t="inlineStr">
        <is>
          <t>DAI-00-139141-3</t>
        </is>
      </c>
      <c r="Y735" s="155" t="inlineStr">
        <is>
          <t>15,07</t>
        </is>
      </c>
      <c r="Z735" s="149" t="inlineStr">
        <is>
          <t>15,07</t>
        </is>
      </c>
      <c r="AA735" s="151" t="inlineStr">
        <is>
          <t>grams</t>
        </is>
      </c>
      <c r="AB735" s="151" t="inlineStr">
        <is>
          <t>MILCH (EINSCHLIESSLICH LAKTOSE)</t>
        </is>
      </c>
      <c r="AC735" s="151" t="n"/>
      <c r="AD735" s="150" t="n">
        <v>0.98005</v>
      </c>
      <c r="AE735" s="149" t="n">
        <v>15.07</v>
      </c>
      <c r="AF735" s="151" t="inlineStr">
        <is>
          <t>grams</t>
        </is>
      </c>
      <c r="AG735" s="151" t="n"/>
      <c r="AH735" s="151" t="n"/>
    </row>
    <row r="736">
      <c r="A736" s="151" t="inlineStr">
        <is>
          <t>FV1145A - Roasted Salmon &amp; Dill Yogurt [BNL]</t>
        </is>
      </c>
      <c r="B736" s="151" t="inlineStr">
        <is>
          <t>REC-029971-4-003</t>
        </is>
      </c>
      <c r="C736" s="151" t="inlineStr">
        <is>
          <t>Lemon Dill Yogurt</t>
        </is>
      </c>
      <c r="D736" s="151" t="inlineStr">
        <is>
          <t>SUB-029910-4-001</t>
        </is>
      </c>
      <c r="E736" s="150" t="n">
        <v>35</v>
      </c>
      <c r="F736" s="151" t="inlineStr">
        <is>
          <t>grams</t>
        </is>
      </c>
      <c r="G736" s="151" t="inlineStr">
        <is>
          <t>CUPPING, IMMERSION BLENDER</t>
        </is>
      </c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inlineStr">
        <is>
          <t>FA-DE Spice, Lemon Powder /Gewürz, Zitronenpulver</t>
        </is>
      </c>
      <c r="X736" s="151" t="inlineStr">
        <is>
          <t>SPI-00-139362-5</t>
        </is>
      </c>
      <c r="Y736" s="151" t="inlineStr">
        <is>
          <t>0,01</t>
        </is>
      </c>
      <c r="Z736" s="149" t="inlineStr">
        <is>
          <t>0,01</t>
        </is>
      </c>
      <c r="AA736" s="151" t="inlineStr">
        <is>
          <t>grams</t>
        </is>
      </c>
      <c r="AB736" s="151" t="n"/>
      <c r="AC736" s="151" t="n"/>
      <c r="AD736" s="150" t="n">
        <v>0.98005</v>
      </c>
      <c r="AE736" s="149" t="n">
        <v>0.01</v>
      </c>
      <c r="AF736" s="151" t="inlineStr">
        <is>
          <t>grams</t>
        </is>
      </c>
      <c r="AG736" s="151" t="n"/>
      <c r="AH736" s="151" t="n"/>
    </row>
    <row r="737">
      <c r="A737" s="151" t="inlineStr">
        <is>
          <t>FV1145A - Roasted Salmon &amp; Dill Yogurt [BNL]</t>
        </is>
      </c>
      <c r="B737" s="151" t="inlineStr">
        <is>
          <t>REC-029971-4-003</t>
        </is>
      </c>
      <c r="C737" s="151" t="inlineStr">
        <is>
          <t>Lemon Dill Yogurt</t>
        </is>
      </c>
      <c r="D737" s="151" t="inlineStr">
        <is>
          <t>SUB-029910-4-001</t>
        </is>
      </c>
      <c r="E737" s="150" t="n">
        <v>35</v>
      </c>
      <c r="F737" s="151" t="inlineStr">
        <is>
          <t>grams</t>
        </is>
      </c>
      <c r="G737" s="151" t="inlineStr">
        <is>
          <t>CUPPING, IMMERSION BLENDER</t>
        </is>
      </c>
      <c r="H737" s="151" t="inlineStr">
        <is>
          <t>Roasted Garlic (use)</t>
        </is>
      </c>
      <c r="I737" s="151" t="inlineStr">
        <is>
          <t>SUB-013367-4-001</t>
        </is>
      </c>
      <c r="J737" s="150" t="n">
        <v>1.74</v>
      </c>
      <c r="K737" s="151" t="inlineStr">
        <is>
          <t>grams</t>
        </is>
      </c>
      <c r="L737" s="151" t="inlineStr">
        <is>
          <t>BLAST CHILLER, OVEN</t>
        </is>
      </c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inlineStr">
        <is>
          <t>FA-DE Garlic, Peeled, Whole Cloves [10kg] /Knoblauch, geschält, ganze Nelken [10kg]</t>
        </is>
      </c>
      <c r="X737" s="151" t="inlineStr">
        <is>
          <t>PHF-00-139197-3</t>
        </is>
      </c>
      <c r="Y737" s="151" t="inlineStr">
        <is>
          <t>1,75</t>
        </is>
      </c>
      <c r="Z737" s="149" t="inlineStr">
        <is>
          <t>1,75</t>
        </is>
      </c>
      <c r="AA737" s="151" t="inlineStr">
        <is>
          <t>grams</t>
        </is>
      </c>
      <c r="AB737" s="151" t="n"/>
      <c r="AC737" s="151" t="n"/>
      <c r="AD737" s="150" t="n">
        <v>0.56691</v>
      </c>
      <c r="AE737" s="149" t="n">
        <v>1.75</v>
      </c>
      <c r="AF737" s="151" t="inlineStr">
        <is>
          <t>grams</t>
        </is>
      </c>
      <c r="AG737" s="151" t="n"/>
      <c r="AH737" s="151" t="n"/>
    </row>
    <row r="738">
      <c r="A738" s="151" t="inlineStr">
        <is>
          <t>FV1145A - Roasted Salmon &amp; Dill Yogurt [BNL]</t>
        </is>
      </c>
      <c r="B738" s="151" t="inlineStr">
        <is>
          <t>REC-029971-4-003</t>
        </is>
      </c>
      <c r="C738" s="151" t="inlineStr">
        <is>
          <t>Lemon Dill Yogurt</t>
        </is>
      </c>
      <c r="D738" s="151" t="inlineStr">
        <is>
          <t>SUB-029910-4-001</t>
        </is>
      </c>
      <c r="E738" s="150" t="n">
        <v>35</v>
      </c>
      <c r="F738" s="151" t="inlineStr">
        <is>
          <t>grams</t>
        </is>
      </c>
      <c r="G738" s="151" t="inlineStr">
        <is>
          <t>CUPPING, IMMERSION BLENDER</t>
        </is>
      </c>
      <c r="H738" s="151" t="inlineStr">
        <is>
          <t>Roasted Garlic (use)</t>
        </is>
      </c>
      <c r="I738" s="151" t="inlineStr">
        <is>
          <t>SUB-013367-4-001</t>
        </is>
      </c>
      <c r="J738" s="150" t="n">
        <v>1.74</v>
      </c>
      <c r="K738" s="151" t="inlineStr">
        <is>
          <t>grams</t>
        </is>
      </c>
      <c r="L738" s="151" t="inlineStr">
        <is>
          <t>BLAST CHILLER, OVEN</t>
        </is>
      </c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inlineStr">
        <is>
          <t>FA-DE Oil, Olive /Öl, Olivenöl</t>
        </is>
      </c>
      <c r="X738" s="151" t="inlineStr">
        <is>
          <t>PRO-00-139277-5</t>
        </is>
      </c>
      <c r="Y738" s="153" t="inlineStr">
        <is>
          <t>1,31</t>
        </is>
      </c>
      <c r="Z738" s="149" t="inlineStr">
        <is>
          <t>1,31</t>
        </is>
      </c>
      <c r="AA738" s="151" t="inlineStr">
        <is>
          <t>grams</t>
        </is>
      </c>
      <c r="AB738" s="151" t="n"/>
      <c r="AC738" s="151" t="n"/>
      <c r="AD738" s="150" t="n">
        <v>0.56691</v>
      </c>
      <c r="AE738" s="149" t="n">
        <v>1.31</v>
      </c>
      <c r="AF738" s="151" t="inlineStr">
        <is>
          <t>grams</t>
        </is>
      </c>
      <c r="AG738" s="151" t="n"/>
      <c r="AH738" s="151" t="n"/>
    </row>
    <row r="739">
      <c r="A739" s="151" t="inlineStr">
        <is>
          <t>FV1145A - Roasted Salmon &amp; Dill Yogurt [BNL]</t>
        </is>
      </c>
      <c r="B739" s="151" t="inlineStr">
        <is>
          <t>REC-029971-4-003</t>
        </is>
      </c>
      <c r="C739" s="151" t="inlineStr">
        <is>
          <t>Lemon Dill Yogurt</t>
        </is>
      </c>
      <c r="D739" s="151" t="inlineStr">
        <is>
          <t>SUB-029910-4-001</t>
        </is>
      </c>
      <c r="E739" s="150" t="n">
        <v>35</v>
      </c>
      <c r="F739" s="151" t="inlineStr">
        <is>
          <t>grams</t>
        </is>
      </c>
      <c r="G739" s="151" t="inlineStr">
        <is>
          <t>CUPPING, IMMERSION BLENDER</t>
        </is>
      </c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inlineStr">
        <is>
          <t>FA-DE Spice, Black Pepper, Ground /Gewürz, schwarzer Pfeffer, gemahlen</t>
        </is>
      </c>
      <c r="X739" s="151" t="inlineStr">
        <is>
          <t>SPI-00-139334-5</t>
        </is>
      </c>
      <c r="Y739" s="151" t="inlineStr">
        <is>
          <t>0,1</t>
        </is>
      </c>
      <c r="Z739" s="149" t="inlineStr">
        <is>
          <t>0,1</t>
        </is>
      </c>
      <c r="AA739" s="151" t="inlineStr">
        <is>
          <t>grams</t>
        </is>
      </c>
      <c r="AB739" s="151" t="n"/>
      <c r="AC739" s="151" t="n"/>
      <c r="AD739" s="150" t="n">
        <v>0.98005</v>
      </c>
      <c r="AE739" s="149" t="n">
        <v>0.1</v>
      </c>
      <c r="AF739" s="151" t="inlineStr">
        <is>
          <t>grams</t>
        </is>
      </c>
      <c r="AG739" s="151" t="n"/>
      <c r="AH739" s="151" t="n"/>
    </row>
    <row r="740">
      <c r="A740" s="151" t="inlineStr">
        <is>
          <t>FV1145A - Roasted Salmon &amp; Dill Yogurt [BNL]</t>
        </is>
      </c>
      <c r="B740" s="151" t="inlineStr">
        <is>
          <t>REC-029971-4-003</t>
        </is>
      </c>
      <c r="C740" s="151" t="inlineStr">
        <is>
          <t>Lemon Dill Yogurt</t>
        </is>
      </c>
      <c r="D740" s="151" t="inlineStr">
        <is>
          <t>SUB-029910-4-001</t>
        </is>
      </c>
      <c r="E740" s="150" t="n">
        <v>35</v>
      </c>
      <c r="F740" s="151" t="inlineStr">
        <is>
          <t>grams</t>
        </is>
      </c>
      <c r="G740" s="151" t="inlineStr">
        <is>
          <t>CUPPING, IMMERSION BLENDER</t>
        </is>
      </c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inlineStr">
        <is>
          <t>FA-DE Milk, Whole /Milch, voll</t>
        </is>
      </c>
      <c r="X740" s="151" t="inlineStr">
        <is>
          <t>DAI-00-139142-3</t>
        </is>
      </c>
      <c r="Y740" s="151" t="inlineStr">
        <is>
          <t>7,53</t>
        </is>
      </c>
      <c r="Z740" s="149" t="inlineStr">
        <is>
          <t>7,53</t>
        </is>
      </c>
      <c r="AA740" s="151" t="inlineStr">
        <is>
          <t>grams</t>
        </is>
      </c>
      <c r="AB740" s="151" t="inlineStr">
        <is>
          <t>MILCH (EINSCHLIESSLICH LAKTOSE)</t>
        </is>
      </c>
      <c r="AC740" s="151" t="n"/>
      <c r="AD740" s="150" t="n">
        <v>0.98005</v>
      </c>
      <c r="AE740" s="149" t="n">
        <v>7.53</v>
      </c>
      <c r="AF740" s="151" t="inlineStr">
        <is>
          <t>grams</t>
        </is>
      </c>
      <c r="AG740" s="151" t="n"/>
      <c r="AH740" s="151" t="n"/>
    </row>
    <row r="741">
      <c r="A741" s="151" t="inlineStr">
        <is>
          <t>FV1145A - Roasted Salmon &amp; Dill Yogurt [BNL]</t>
        </is>
      </c>
      <c r="B741" s="151" t="inlineStr">
        <is>
          <t>REC-029971-4-003</t>
        </is>
      </c>
      <c r="C741" s="151" t="inlineStr">
        <is>
          <t>Lemon Dill Yogurt</t>
        </is>
      </c>
      <c r="D741" s="151" t="inlineStr">
        <is>
          <t>SUB-029910-4-001</t>
        </is>
      </c>
      <c r="E741" s="150" t="n">
        <v>35</v>
      </c>
      <c r="F741" s="151" t="inlineStr">
        <is>
          <t>grams</t>
        </is>
      </c>
      <c r="G741" s="151" t="inlineStr">
        <is>
          <t>CUPPING, IMMERSION BLENDER</t>
        </is>
      </c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inlineStr">
        <is>
          <t>FA-DE Juice, Lemon /Saft, Zitrone</t>
        </is>
      </c>
      <c r="X741" s="151" t="inlineStr">
        <is>
          <t>PRO-00-139265-5</t>
        </is>
      </c>
      <c r="Y741" s="151" t="inlineStr">
        <is>
          <t>1,39</t>
        </is>
      </c>
      <c r="Z741" s="149" t="inlineStr">
        <is>
          <t>1,39</t>
        </is>
      </c>
      <c r="AA741" s="151" t="inlineStr">
        <is>
          <t>grams</t>
        </is>
      </c>
      <c r="AB741" s="151" t="n"/>
      <c r="AC741" s="151" t="n"/>
      <c r="AD741" s="150" t="n">
        <v>0.98005</v>
      </c>
      <c r="AE741" s="149" t="n">
        <v>1.39</v>
      </c>
      <c r="AF741" s="151" t="inlineStr">
        <is>
          <t>grams</t>
        </is>
      </c>
      <c r="AG741" s="151" t="n"/>
      <c r="AH741" s="151" t="n"/>
    </row>
    <row r="742">
      <c r="A742" s="151" t="inlineStr">
        <is>
          <t>FV1145A - Roasted Salmon &amp; Dill Yogurt [BNL]</t>
        </is>
      </c>
      <c r="B742" s="151" t="inlineStr">
        <is>
          <t>REC-029971-4-003</t>
        </is>
      </c>
      <c r="C742" s="151" t="inlineStr">
        <is>
          <t>Lemon Dill Yogurt</t>
        </is>
      </c>
      <c r="D742" s="151" t="inlineStr">
        <is>
          <t>SUB-029910-4-001</t>
        </is>
      </c>
      <c r="E742" s="150" t="n">
        <v>35</v>
      </c>
      <c r="F742" s="151" t="inlineStr">
        <is>
          <t>grams</t>
        </is>
      </c>
      <c r="G742" s="151" t="inlineStr">
        <is>
          <t>CUPPING, IMMERSION BLENDER</t>
        </is>
      </c>
      <c r="H742" s="151" t="inlineStr">
        <is>
          <t>Picked Dill Leaves</t>
        </is>
      </c>
      <c r="I742" s="151" t="inlineStr">
        <is>
          <t>SUB-029918-4-001</t>
        </is>
      </c>
      <c r="J742" s="150" t="n">
        <v>0.6</v>
      </c>
      <c r="K742" s="151" t="inlineStr">
        <is>
          <t>grams</t>
        </is>
      </c>
      <c r="L742" s="151" t="inlineStr">
        <is>
          <t>DEBOX, STAGING</t>
        </is>
      </c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inlineStr">
        <is>
          <t>FA-DE Dill, Fresh/Dill, frisch</t>
        </is>
      </c>
      <c r="X742" s="151" t="inlineStr">
        <is>
          <t>PHF-00-139200-3</t>
        </is>
      </c>
      <c r="Y742" s="153" t="inlineStr">
        <is>
          <t>1,21</t>
        </is>
      </c>
      <c r="Z742" s="149" t="inlineStr">
        <is>
          <t>0,6</t>
        </is>
      </c>
      <c r="AA742" s="151" t="inlineStr">
        <is>
          <t>grams</t>
        </is>
      </c>
      <c r="AB742" s="151" t="n"/>
      <c r="AC742" s="151" t="n"/>
      <c r="AD742" s="150" t="n">
        <v>1</v>
      </c>
      <c r="AE742" s="149" t="n">
        <v>0.6</v>
      </c>
      <c r="AF742" s="151" t="inlineStr">
        <is>
          <t>grams</t>
        </is>
      </c>
      <c r="AG742" s="151" t="n"/>
      <c r="AH742" s="151" t="n"/>
    </row>
    <row r="743">
      <c r="A743" s="151" t="inlineStr">
        <is>
          <t>FV1145A - Roasted Salmon &amp; Dill Yogurt [DE]</t>
        </is>
      </c>
      <c r="B743" s="151" t="inlineStr">
        <is>
          <t>REC-029971-4-002</t>
        </is>
      </c>
      <c r="C743" s="151" t="inlineStr">
        <is>
          <t>Italian Roasted Diced Potatoes</t>
        </is>
      </c>
      <c r="D743" s="151" t="inlineStr">
        <is>
          <t>SUB-029885-4-001</t>
        </is>
      </c>
      <c r="E743" s="150" t="n">
        <v>100</v>
      </c>
      <c r="F743" s="151" t="inlineStr">
        <is>
          <t>grams</t>
        </is>
      </c>
      <c r="G743" s="151" t="inlineStr">
        <is>
          <t>BLAST CHILLER, OVEN</t>
        </is>
      </c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inlineStr">
        <is>
          <t>FA-DE Potatoes, Diced 10mm /Kartoffeln, gewürfelt, 10 mm</t>
        </is>
      </c>
      <c r="X743" s="151" t="inlineStr">
        <is>
          <t>PHF-00-139219-3</t>
        </is>
      </c>
      <c r="Y743" s="151" t="inlineStr">
        <is>
          <t>131,4</t>
        </is>
      </c>
      <c r="Z743" s="149" t="inlineStr">
        <is>
          <t>131,4</t>
        </is>
      </c>
      <c r="AA743" s="151" t="inlineStr">
        <is>
          <t>grams</t>
        </is>
      </c>
      <c r="AB743" s="151" t="n"/>
      <c r="AC743" s="151" t="n"/>
      <c r="AD743" s="150" t="n">
        <v>0.7037099999999999</v>
      </c>
      <c r="AE743" s="149" t="n">
        <v>131.4</v>
      </c>
      <c r="AF743" s="151" t="inlineStr">
        <is>
          <t>grams</t>
        </is>
      </c>
      <c r="AG743" s="151" t="n"/>
      <c r="AH743" s="151" t="n"/>
    </row>
    <row r="744">
      <c r="A744" s="151" t="inlineStr">
        <is>
          <t>FV1145A - Roasted Salmon &amp; Dill Yogurt [DE]</t>
        </is>
      </c>
      <c r="B744" s="151" t="inlineStr">
        <is>
          <t>REC-029971-4-002</t>
        </is>
      </c>
      <c r="C744" s="151" t="inlineStr">
        <is>
          <t>Italian Roasted Diced Potatoes</t>
        </is>
      </c>
      <c r="D744" s="151" t="inlineStr">
        <is>
          <t>SUB-029885-4-001</t>
        </is>
      </c>
      <c r="E744" s="150" t="n">
        <v>100</v>
      </c>
      <c r="F744" s="151" t="inlineStr">
        <is>
          <t>grams</t>
        </is>
      </c>
      <c r="G744" s="151" t="inlineStr">
        <is>
          <t>BLAST CHILLER, OVEN</t>
        </is>
      </c>
      <c r="H744" s="151" t="inlineStr">
        <is>
          <t>Roasted Garlic (use)</t>
        </is>
      </c>
      <c r="I744" s="151" t="inlineStr">
        <is>
          <t>SUB-013367-4-001</t>
        </is>
      </c>
      <c r="J744" s="150" t="n">
        <v>5.79</v>
      </c>
      <c r="K744" s="151" t="inlineStr">
        <is>
          <t>grams</t>
        </is>
      </c>
      <c r="L744" s="151" t="inlineStr">
        <is>
          <t>BLAST CHILLER, OVEN</t>
        </is>
      </c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inlineStr">
        <is>
          <t>FA-DE Garlic, Peeled, Whole Cloves [10kg] /Knoblauch, geschält, ganze Nelken [10kg]</t>
        </is>
      </c>
      <c r="X744" s="151" t="inlineStr">
        <is>
          <t>PHF-00-139197-3</t>
        </is>
      </c>
      <c r="Y744" s="151" t="inlineStr">
        <is>
          <t>5,84</t>
        </is>
      </c>
      <c r="Z744" s="149" t="inlineStr">
        <is>
          <t>5,84</t>
        </is>
      </c>
      <c r="AA744" s="151" t="inlineStr">
        <is>
          <t>grams</t>
        </is>
      </c>
      <c r="AB744" s="151" t="n"/>
      <c r="AC744" s="151" t="n"/>
      <c r="AD744" s="150" t="n">
        <v>0.56691</v>
      </c>
      <c r="AE744" s="149" t="n">
        <v>5.84</v>
      </c>
      <c r="AF744" s="151" t="inlineStr">
        <is>
          <t>grams</t>
        </is>
      </c>
      <c r="AG744" s="151" t="n"/>
      <c r="AH744" s="151" t="n"/>
    </row>
    <row r="745">
      <c r="A745" s="151" t="inlineStr">
        <is>
          <t>FV1145A - Roasted Salmon &amp; Dill Yogurt [DE]</t>
        </is>
      </c>
      <c r="B745" s="151" t="inlineStr">
        <is>
          <t>REC-029971-4-002</t>
        </is>
      </c>
      <c r="C745" s="151" t="inlineStr">
        <is>
          <t>Italian Roasted Diced Potatoes</t>
        </is>
      </c>
      <c r="D745" s="151" t="inlineStr">
        <is>
          <t>SUB-029885-4-001</t>
        </is>
      </c>
      <c r="E745" s="150" t="n">
        <v>100</v>
      </c>
      <c r="F745" s="151" t="inlineStr">
        <is>
          <t>grams</t>
        </is>
      </c>
      <c r="G745" s="151" t="inlineStr">
        <is>
          <t>BLAST CHILLER, OVEN</t>
        </is>
      </c>
      <c r="H745" s="151" t="inlineStr">
        <is>
          <t>Roasted Garlic (use)</t>
        </is>
      </c>
      <c r="I745" s="151" t="inlineStr">
        <is>
          <t>SUB-013367-4-001</t>
        </is>
      </c>
      <c r="J745" s="150" t="n">
        <v>5.79</v>
      </c>
      <c r="K745" s="151" t="inlineStr">
        <is>
          <t>grams</t>
        </is>
      </c>
      <c r="L745" s="151" t="inlineStr">
        <is>
          <t>BLAST CHILLER, OVEN</t>
        </is>
      </c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inlineStr">
        <is>
          <t>FA-DE Oil, Olive /Öl, Olivenöl</t>
        </is>
      </c>
      <c r="X745" s="151" t="inlineStr">
        <is>
          <t>PRO-00-139277-5</t>
        </is>
      </c>
      <c r="Y745" s="151" t="inlineStr">
        <is>
          <t>4,38</t>
        </is>
      </c>
      <c r="Z745" s="149" t="inlineStr">
        <is>
          <t>4,38</t>
        </is>
      </c>
      <c r="AA745" s="151" t="inlineStr">
        <is>
          <t>grams</t>
        </is>
      </c>
      <c r="AB745" s="151" t="n"/>
      <c r="AC745" s="151" t="n"/>
      <c r="AD745" s="150" t="n">
        <v>0.56691</v>
      </c>
      <c r="AE745" s="149" t="n">
        <v>4.38</v>
      </c>
      <c r="AF745" s="151" t="inlineStr">
        <is>
          <t>grams</t>
        </is>
      </c>
      <c r="AG745" s="151" t="n"/>
      <c r="AH745" s="151" t="n"/>
    </row>
    <row r="746">
      <c r="A746" s="151" t="inlineStr">
        <is>
          <t>FV1145A - Roasted Salmon &amp; Dill Yogurt [DE]</t>
        </is>
      </c>
      <c r="B746" s="151" t="inlineStr">
        <is>
          <t>REC-029971-4-002</t>
        </is>
      </c>
      <c r="C746" s="151" t="inlineStr">
        <is>
          <t>Italian Roasted Diced Potatoes</t>
        </is>
      </c>
      <c r="D746" s="151" t="inlineStr">
        <is>
          <t>SUB-029885-4-001</t>
        </is>
      </c>
      <c r="E746" s="150" t="n">
        <v>100</v>
      </c>
      <c r="F746" s="151" t="inlineStr">
        <is>
          <t>grams</t>
        </is>
      </c>
      <c r="G746" s="151" t="inlineStr">
        <is>
          <t>BLAST CHILLER, OVEN</t>
        </is>
      </c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inlineStr">
        <is>
          <t>FA-DE Oil, Olive /Öl, Olivenöl</t>
        </is>
      </c>
      <c r="X746" s="151" t="inlineStr">
        <is>
          <t>PRO-00-139277-5</t>
        </is>
      </c>
      <c r="Y746" s="151" t="inlineStr">
        <is>
          <t>2,93</t>
        </is>
      </c>
      <c r="Z746" s="149" t="inlineStr">
        <is>
          <t>2,93</t>
        </is>
      </c>
      <c r="AA746" s="151" t="inlineStr">
        <is>
          <t>grams</t>
        </is>
      </c>
      <c r="AB746" s="151" t="n"/>
      <c r="AC746" s="151" t="n"/>
      <c r="AD746" s="150" t="n">
        <v>0.7037099999999999</v>
      </c>
      <c r="AE746" s="149" t="n">
        <v>2.93</v>
      </c>
      <c r="AF746" s="151" t="inlineStr">
        <is>
          <t>grams</t>
        </is>
      </c>
      <c r="AG746" s="151" t="n"/>
      <c r="AH746" s="151" t="n"/>
    </row>
    <row r="747">
      <c r="A747" s="151" t="inlineStr">
        <is>
          <t>FV1145A - Roasted Salmon &amp; Dill Yogurt [DE]</t>
        </is>
      </c>
      <c r="B747" s="151" t="inlineStr">
        <is>
          <t>REC-029971-4-002</t>
        </is>
      </c>
      <c r="C747" s="151" t="inlineStr">
        <is>
          <t>Italian Roasted Diced Potatoes</t>
        </is>
      </c>
      <c r="D747" s="151" t="inlineStr">
        <is>
          <t>SUB-029885-4-001</t>
        </is>
      </c>
      <c r="E747" s="150" t="n">
        <v>100</v>
      </c>
      <c r="F747" s="151" t="inlineStr">
        <is>
          <t>grams</t>
        </is>
      </c>
      <c r="G747" s="151" t="inlineStr">
        <is>
          <t>BLAST CHILLER, OVEN</t>
        </is>
      </c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inlineStr">
        <is>
          <t>FA-DE Spice, Sea Salt /Gewürze, Meersalz</t>
        </is>
      </c>
      <c r="X747" s="151" t="inlineStr">
        <is>
          <t>SPI-00-139378-5</t>
        </is>
      </c>
      <c r="Y747" s="151" t="inlineStr">
        <is>
          <t>0,67</t>
        </is>
      </c>
      <c r="Z747" s="149" t="inlineStr">
        <is>
          <t>0,67</t>
        </is>
      </c>
      <c r="AA747" s="151" t="inlineStr">
        <is>
          <t>grams</t>
        </is>
      </c>
      <c r="AB747" s="151" t="n"/>
      <c r="AC747" s="151" t="n"/>
      <c r="AD747" s="150" t="n">
        <v>0.7037099999999999</v>
      </c>
      <c r="AE747" s="149" t="n">
        <v>0.67</v>
      </c>
      <c r="AF747" s="151" t="inlineStr">
        <is>
          <t>grams</t>
        </is>
      </c>
      <c r="AG747" s="151" t="n"/>
      <c r="AH747" s="151" t="n"/>
    </row>
    <row r="748">
      <c r="A748" s="151" t="inlineStr">
        <is>
          <t>FV1145A - Roasted Salmon &amp; Dill Yogurt [DE]</t>
        </is>
      </c>
      <c r="B748" s="151" t="inlineStr">
        <is>
          <t>REC-029971-4-002</t>
        </is>
      </c>
      <c r="C748" s="151" t="inlineStr">
        <is>
          <t>Italian Roasted Diced Potatoes</t>
        </is>
      </c>
      <c r="D748" s="151" t="inlineStr">
        <is>
          <t>SUB-029885-4-001</t>
        </is>
      </c>
      <c r="E748" s="150" t="n">
        <v>100</v>
      </c>
      <c r="F748" s="151" t="inlineStr">
        <is>
          <t>grams</t>
        </is>
      </c>
      <c r="G748" s="151" t="inlineStr">
        <is>
          <t>BLAST CHILLER, OVEN</t>
        </is>
      </c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inlineStr">
        <is>
          <t>FA-DE Spice, Parsley Dried /Gewürze, getrocknete Petersilie</t>
        </is>
      </c>
      <c r="X748" s="151" t="inlineStr">
        <is>
          <t>SPI-00-139374-5</t>
        </is>
      </c>
      <c r="Y748" s="151" t="inlineStr">
        <is>
          <t>0,47</t>
        </is>
      </c>
      <c r="Z748" s="149" t="inlineStr">
        <is>
          <t>0,47</t>
        </is>
      </c>
      <c r="AA748" s="151" t="inlineStr">
        <is>
          <t>grams</t>
        </is>
      </c>
      <c r="AB748" s="151" t="n"/>
      <c r="AC748" s="151" t="n"/>
      <c r="AD748" s="150" t="n">
        <v>0.7037099999999999</v>
      </c>
      <c r="AE748" s="149" t="n">
        <v>0.47</v>
      </c>
      <c r="AF748" s="151" t="inlineStr">
        <is>
          <t>grams</t>
        </is>
      </c>
      <c r="AG748" s="151" t="n"/>
      <c r="AH748" s="151" t="n"/>
    </row>
    <row r="749">
      <c r="A749" s="151" t="inlineStr">
        <is>
          <t>FV1145A - Roasted Salmon &amp; Dill Yogurt [DE]</t>
        </is>
      </c>
      <c r="B749" s="151" t="inlineStr">
        <is>
          <t>REC-029971-4-002</t>
        </is>
      </c>
      <c r="C749" s="151" t="inlineStr">
        <is>
          <t>Italian Roasted Diced Potatoes</t>
        </is>
      </c>
      <c r="D749" s="151" t="inlineStr">
        <is>
          <t>SUB-029885-4-001</t>
        </is>
      </c>
      <c r="E749" s="150" t="n">
        <v>100</v>
      </c>
      <c r="F749" s="151" t="inlineStr">
        <is>
          <t>grams</t>
        </is>
      </c>
      <c r="G749" s="151" t="inlineStr">
        <is>
          <t>BLAST CHILLER, OVEN</t>
        </is>
      </c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inlineStr">
        <is>
          <t>FA-DE Spice, Dried Onion Flakes /Gewürze, getrocknete Zwiebelflocken</t>
        </is>
      </c>
      <c r="X749" s="151" t="inlineStr">
        <is>
          <t>SPI-00-139348-5</t>
        </is>
      </c>
      <c r="Y749" s="151" t="inlineStr">
        <is>
          <t>0,66</t>
        </is>
      </c>
      <c r="Z749" s="149" t="inlineStr">
        <is>
          <t>0,66</t>
        </is>
      </c>
      <c r="AA749" s="151" t="inlineStr">
        <is>
          <t>grams</t>
        </is>
      </c>
      <c r="AB749" s="151" t="n"/>
      <c r="AC749" s="151" t="n"/>
      <c r="AD749" s="150" t="n">
        <v>0.7037099999999999</v>
      </c>
      <c r="AE749" s="149" t="n">
        <v>0.66</v>
      </c>
      <c r="AF749" s="151" t="inlineStr">
        <is>
          <t>grams</t>
        </is>
      </c>
      <c r="AG749" s="151" t="n"/>
      <c r="AH749" s="151" t="n"/>
    </row>
    <row r="750">
      <c r="A750" s="151" t="inlineStr">
        <is>
          <t>FV1145A - Roasted Salmon &amp; Dill Yogurt [DE]</t>
        </is>
      </c>
      <c r="B750" s="151" t="inlineStr">
        <is>
          <t>REC-029971-4-002</t>
        </is>
      </c>
      <c r="C750" s="151" t="inlineStr">
        <is>
          <t>Italian Roasted Diced Potatoes</t>
        </is>
      </c>
      <c r="D750" s="151" t="inlineStr">
        <is>
          <t>SUB-029885-4-001</t>
        </is>
      </c>
      <c r="E750" s="150" t="n">
        <v>100</v>
      </c>
      <c r="F750" s="151" t="inlineStr">
        <is>
          <t>grams</t>
        </is>
      </c>
      <c r="G750" s="151" t="inlineStr">
        <is>
          <t>BLAST CHILLER, OVEN</t>
        </is>
      </c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inlineStr">
        <is>
          <t>FA-DE Spice, Oregano Dry /Gewürz, Oregano trocken</t>
        </is>
      </c>
      <c r="X750" s="151" t="inlineStr">
        <is>
          <t>SPI-00-139372-5</t>
        </is>
      </c>
      <c r="Y750" s="151" t="inlineStr">
        <is>
          <t>0,18</t>
        </is>
      </c>
      <c r="Z750" s="149" t="inlineStr">
        <is>
          <t>0,18</t>
        </is>
      </c>
      <c r="AA750" s="151" t="inlineStr">
        <is>
          <t>grams</t>
        </is>
      </c>
      <c r="AB750" s="151" t="n"/>
      <c r="AC750" s="151" t="n"/>
      <c r="AD750" s="150" t="n">
        <v>0.7037099999999999</v>
      </c>
      <c r="AE750" s="149" t="n">
        <v>0.18</v>
      </c>
      <c r="AF750" s="151" t="inlineStr">
        <is>
          <t>grams</t>
        </is>
      </c>
      <c r="AG750" s="151" t="n"/>
      <c r="AH750" s="151" t="n"/>
    </row>
    <row r="751">
      <c r="A751" s="151" t="inlineStr">
        <is>
          <t>FV1145A - Roasted Salmon &amp; Dill Yogurt [DE]</t>
        </is>
      </c>
      <c r="B751" s="151" t="inlineStr">
        <is>
          <t>REC-029971-4-002</t>
        </is>
      </c>
      <c r="C751" s="151" t="inlineStr">
        <is>
          <t>Cooked 10mm diced Spanish Onions</t>
        </is>
      </c>
      <c r="D751" s="151" t="inlineStr">
        <is>
          <t>SUB-029899-4-001</t>
        </is>
      </c>
      <c r="E751" s="150" t="n">
        <v>30</v>
      </c>
      <c r="F751" s="151" t="inlineStr">
        <is>
          <t>grams</t>
        </is>
      </c>
      <c r="G751" s="151" t="inlineStr">
        <is>
          <t>BLAST CHILLER, OVEN</t>
        </is>
      </c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inlineStr">
        <is>
          <t>FA-DE Onion, Spanish, Diced 10mm /Zwiebel, Spanisch, gewürfelt 10 mm</t>
        </is>
      </c>
      <c r="X751" s="151" t="inlineStr">
        <is>
          <t>PHF-00-139209-3</t>
        </is>
      </c>
      <c r="Y751" s="151" t="inlineStr">
        <is>
          <t>37,87</t>
        </is>
      </c>
      <c r="Z751" s="149" t="inlineStr">
        <is>
          <t>37,87</t>
        </is>
      </c>
      <c r="AA751" s="151" t="inlineStr">
        <is>
          <t>grams</t>
        </is>
      </c>
      <c r="AB751" s="151" t="n"/>
      <c r="AC751" s="151" t="n"/>
      <c r="AD751" s="150" t="n">
        <v>0.7566000000000001</v>
      </c>
      <c r="AE751" s="149" t="n">
        <v>37.87</v>
      </c>
      <c r="AF751" s="151" t="inlineStr">
        <is>
          <t>grams</t>
        </is>
      </c>
      <c r="AG751" s="151" t="n"/>
      <c r="AH751" s="151" t="n"/>
    </row>
    <row r="752">
      <c r="A752" s="151" t="inlineStr">
        <is>
          <t>FV1145A - Roasted Salmon &amp; Dill Yogurt [DE]</t>
        </is>
      </c>
      <c r="B752" s="151" t="inlineStr">
        <is>
          <t>REC-029971-4-002</t>
        </is>
      </c>
      <c r="C752" s="151" t="inlineStr">
        <is>
          <t>Cooked 10mm diced Spanish Onions</t>
        </is>
      </c>
      <c r="D752" s="151" t="inlineStr">
        <is>
          <t>SUB-029899-4-001</t>
        </is>
      </c>
      <c r="E752" s="150" t="n">
        <v>30</v>
      </c>
      <c r="F752" s="151" t="inlineStr">
        <is>
          <t>grams</t>
        </is>
      </c>
      <c r="G752" s="151" t="inlineStr">
        <is>
          <t>BLAST CHILLER, OVEN</t>
        </is>
      </c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inlineStr">
        <is>
          <t>FA-DE Oil, Olive /Öl, Olivenöl</t>
        </is>
      </c>
      <c r="X752" s="151" t="inlineStr">
        <is>
          <t>PRO-00-139277-5</t>
        </is>
      </c>
      <c r="Y752" s="151" t="inlineStr">
        <is>
          <t>1,71</t>
        </is>
      </c>
      <c r="Z752" s="149" t="inlineStr">
        <is>
          <t>1,71</t>
        </is>
      </c>
      <c r="AA752" s="151" t="inlineStr">
        <is>
          <t>grams</t>
        </is>
      </c>
      <c r="AB752" s="151" t="n"/>
      <c r="AC752" s="151" t="n"/>
      <c r="AD752" s="150" t="n">
        <v>0.7566000000000001</v>
      </c>
      <c r="AE752" s="149" t="n">
        <v>1.71</v>
      </c>
      <c r="AF752" s="151" t="inlineStr">
        <is>
          <t>grams</t>
        </is>
      </c>
      <c r="AG752" s="151" t="n"/>
      <c r="AH752" s="151" t="n"/>
    </row>
    <row r="753">
      <c r="A753" s="151" t="inlineStr">
        <is>
          <t>FV1145A - Roasted Salmon &amp; Dill Yogurt [DE]</t>
        </is>
      </c>
      <c r="B753" s="151" t="inlineStr">
        <is>
          <t>REC-029971-4-002</t>
        </is>
      </c>
      <c r="C753" s="151" t="inlineStr">
        <is>
          <t>Cooked 10mm diced Spanish Onions</t>
        </is>
      </c>
      <c r="D753" s="151" t="inlineStr">
        <is>
          <t>SUB-029899-4-001</t>
        </is>
      </c>
      <c r="E753" s="150" t="n">
        <v>30</v>
      </c>
      <c r="F753" s="151" t="inlineStr">
        <is>
          <t>grams</t>
        </is>
      </c>
      <c r="G753" s="151" t="inlineStr">
        <is>
          <t>BLAST CHILLER, OVEN</t>
        </is>
      </c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inlineStr">
        <is>
          <t>FA-DE Spice, Sea Salt /Gewürze, Meersalz</t>
        </is>
      </c>
      <c r="X753" s="151" t="inlineStr">
        <is>
          <t>SPI-00-139378-5</t>
        </is>
      </c>
      <c r="Y753" s="151" t="inlineStr">
        <is>
          <t>0,07</t>
        </is>
      </c>
      <c r="Z753" s="149" t="inlineStr">
        <is>
          <t>0,07</t>
        </is>
      </c>
      <c r="AA753" s="151" t="inlineStr">
        <is>
          <t>grams</t>
        </is>
      </c>
      <c r="AB753" s="151" t="n"/>
      <c r="AC753" s="151" t="n"/>
      <c r="AD753" s="150" t="n">
        <v>0.7566000000000001</v>
      </c>
      <c r="AE753" s="149" t="n">
        <v>0.07000000000000001</v>
      </c>
      <c r="AF753" s="151" t="inlineStr">
        <is>
          <t>grams</t>
        </is>
      </c>
      <c r="AG753" s="151" t="n"/>
      <c r="AH753" s="151" t="n"/>
    </row>
    <row r="754">
      <c r="A754" s="151" t="inlineStr">
        <is>
          <t>FV1145A - Roasted Salmon &amp; Dill Yogurt [DE]</t>
        </is>
      </c>
      <c r="B754" s="151" t="inlineStr">
        <is>
          <t>REC-029971-4-002</t>
        </is>
      </c>
      <c r="C754" s="151" t="inlineStr">
        <is>
          <t>Moroccan Salmon Batch</t>
        </is>
      </c>
      <c r="D754" s="151" t="inlineStr">
        <is>
          <t>SUB-029902-4-001</t>
        </is>
      </c>
      <c r="E754" s="150" t="n">
        <v>1</v>
      </c>
      <c r="F754" s="151" t="inlineStr">
        <is>
          <t>each</t>
        </is>
      </c>
      <c r="G754" s="151" t="inlineStr">
        <is>
          <t>BLAST CHILLER, HAND MARINADE, OVEN, THAW</t>
        </is>
      </c>
      <c r="H754" s="151" t="inlineStr">
        <is>
          <t>Moroccan Salmon Marinade</t>
        </is>
      </c>
      <c r="I754" s="151" t="inlineStr">
        <is>
          <t>SUB-029903-4-001</t>
        </is>
      </c>
      <c r="J754" s="150" t="n">
        <v>9.92</v>
      </c>
      <c r="K754" s="151" t="inlineStr">
        <is>
          <t>grams</t>
        </is>
      </c>
      <c r="L754" s="151" t="inlineStr">
        <is>
          <t>IMMERSION BLENDER</t>
        </is>
      </c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inlineStr">
        <is>
          <t>FA-DE Oil, Olive /Öl, Olivenöl</t>
        </is>
      </c>
      <c r="X754" s="151" t="inlineStr">
        <is>
          <t>PRO-00-139277-5</t>
        </is>
      </c>
      <c r="Y754" s="151" t="inlineStr">
        <is>
          <t>3,3</t>
        </is>
      </c>
      <c r="Z754" s="149" t="inlineStr">
        <is>
          <t>3,3</t>
        </is>
      </c>
      <c r="AA754" s="151" t="inlineStr">
        <is>
          <t>grams</t>
        </is>
      </c>
      <c r="AB754" s="151" t="n"/>
      <c r="AC754" s="151" t="n"/>
      <c r="AD754" s="150" t="n">
        <v>0.99899</v>
      </c>
      <c r="AE754" s="149" t="n">
        <v>3.3</v>
      </c>
      <c r="AF754" s="151" t="inlineStr">
        <is>
          <t>grams</t>
        </is>
      </c>
      <c r="AG754" s="151" t="n"/>
      <c r="AH754" s="151" t="n"/>
    </row>
    <row r="755">
      <c r="A755" s="151" t="inlineStr">
        <is>
          <t>FV1145A - Roasted Salmon &amp; Dill Yogurt [DE]</t>
        </is>
      </c>
      <c r="B755" s="151" t="inlineStr">
        <is>
          <t>REC-029971-4-002</t>
        </is>
      </c>
      <c r="C755" s="151" t="inlineStr">
        <is>
          <t>Moroccan Salmon Batch</t>
        </is>
      </c>
      <c r="D755" s="151" t="inlineStr">
        <is>
          <t>SUB-029902-4-001</t>
        </is>
      </c>
      <c r="E755" s="150" t="n">
        <v>1</v>
      </c>
      <c r="F755" s="151" t="inlineStr">
        <is>
          <t>each</t>
        </is>
      </c>
      <c r="G755" s="151" t="inlineStr">
        <is>
          <t>BLAST CHILLER, HAND MARINADE, OVEN, THAW</t>
        </is>
      </c>
      <c r="H755" s="151" t="inlineStr">
        <is>
          <t>Moroccan Salmon Marinade</t>
        </is>
      </c>
      <c r="I755" s="151" t="inlineStr">
        <is>
          <t>SUB-029903-4-001</t>
        </is>
      </c>
      <c r="J755" s="150" t="n">
        <v>9.92</v>
      </c>
      <c r="K755" s="151" t="inlineStr">
        <is>
          <t>grams</t>
        </is>
      </c>
      <c r="L755" s="151" t="inlineStr">
        <is>
          <t>IMMERSION BLENDER</t>
        </is>
      </c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inlineStr">
        <is>
          <t>FA-DE Yogurt, Greek, Plain /Joghurt, Griechisch, Natur</t>
        </is>
      </c>
      <c r="X755" s="151" t="inlineStr">
        <is>
          <t>DAI-00-139161-3</t>
        </is>
      </c>
      <c r="Y755" s="151" t="inlineStr">
        <is>
          <t>3,3</t>
        </is>
      </c>
      <c r="Z755" s="149" t="inlineStr">
        <is>
          <t>3,3</t>
        </is>
      </c>
      <c r="AA755" s="151" t="inlineStr">
        <is>
          <t>grams</t>
        </is>
      </c>
      <c r="AB755" s="151" t="inlineStr">
        <is>
          <t>MILCH (EINSCHLIESSLICH LAKTOSE)</t>
        </is>
      </c>
      <c r="AC755" s="151" t="n"/>
      <c r="AD755" s="150" t="n">
        <v>0.99899</v>
      </c>
      <c r="AE755" s="149" t="n">
        <v>3.3</v>
      </c>
      <c r="AF755" s="151" t="inlineStr">
        <is>
          <t>grams</t>
        </is>
      </c>
      <c r="AG755" s="151" t="n"/>
      <c r="AH755" s="151" t="n"/>
    </row>
    <row r="756">
      <c r="A756" s="151" t="inlineStr">
        <is>
          <t>FV1145A - Roasted Salmon &amp; Dill Yogurt [DE]</t>
        </is>
      </c>
      <c r="B756" s="151" t="inlineStr">
        <is>
          <t>REC-029971-4-002</t>
        </is>
      </c>
      <c r="C756" s="151" t="inlineStr">
        <is>
          <t>Moroccan Salmon Batch</t>
        </is>
      </c>
      <c r="D756" s="151" t="inlineStr">
        <is>
          <t>SUB-029902-4-001</t>
        </is>
      </c>
      <c r="E756" s="150" t="n">
        <v>1</v>
      </c>
      <c r="F756" s="151" t="inlineStr">
        <is>
          <t>each</t>
        </is>
      </c>
      <c r="G756" s="151" t="inlineStr">
        <is>
          <t>BLAST CHILLER, HAND MARINADE, OVEN, THAW</t>
        </is>
      </c>
      <c r="H756" s="151" t="inlineStr">
        <is>
          <t>Moroccan Salmon Marinade</t>
        </is>
      </c>
      <c r="I756" s="151" t="inlineStr">
        <is>
          <t>SUB-029903-4-001</t>
        </is>
      </c>
      <c r="J756" s="150" t="n">
        <v>9.92</v>
      </c>
      <c r="K756" s="151" t="inlineStr">
        <is>
          <t>grams</t>
        </is>
      </c>
      <c r="L756" s="151" t="inlineStr">
        <is>
          <t>IMMERSION BLENDER</t>
        </is>
      </c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inlineStr">
        <is>
          <t>FA-DE Spice, Smoked Paprika /Gewürz, geräucherter Paprika</t>
        </is>
      </c>
      <c r="X756" s="151" t="inlineStr">
        <is>
          <t>SPI-00-139383-5</t>
        </is>
      </c>
      <c r="Y756" s="151" t="inlineStr">
        <is>
          <t>0,31</t>
        </is>
      </c>
      <c r="Z756" s="149" t="inlineStr">
        <is>
          <t>0,31</t>
        </is>
      </c>
      <c r="AA756" s="151" t="inlineStr">
        <is>
          <t>grams</t>
        </is>
      </c>
      <c r="AB756" s="151" t="n"/>
      <c r="AC756" s="151" t="n"/>
      <c r="AD756" s="150" t="n">
        <v>0.99899</v>
      </c>
      <c r="AE756" s="149" t="n">
        <v>0.31</v>
      </c>
      <c r="AF756" s="151" t="inlineStr">
        <is>
          <t>grams</t>
        </is>
      </c>
      <c r="AG756" s="151" t="n"/>
      <c r="AH756" s="151" t="n"/>
    </row>
    <row r="757">
      <c r="A757" s="151" t="inlineStr">
        <is>
          <t>FV1145A - Roasted Salmon &amp; Dill Yogurt [DE]</t>
        </is>
      </c>
      <c r="B757" s="151" t="inlineStr">
        <is>
          <t>REC-029971-4-002</t>
        </is>
      </c>
      <c r="C757" s="151" t="inlineStr">
        <is>
          <t>Moroccan Salmon Batch</t>
        </is>
      </c>
      <c r="D757" s="151" t="inlineStr">
        <is>
          <t>SUB-029902-4-001</t>
        </is>
      </c>
      <c r="E757" s="150" t="n">
        <v>1</v>
      </c>
      <c r="F757" s="151" t="inlineStr">
        <is>
          <t>each</t>
        </is>
      </c>
      <c r="G757" s="151" t="inlineStr">
        <is>
          <t>BLAST CHILLER, HAND MARINADE, OVEN, THAW</t>
        </is>
      </c>
      <c r="H757" s="151" t="inlineStr">
        <is>
          <t>Moroccan Salmon Marinade</t>
        </is>
      </c>
      <c r="I757" s="151" t="inlineStr">
        <is>
          <t>SUB-029903-4-001</t>
        </is>
      </c>
      <c r="J757" s="150" t="n">
        <v>9.92</v>
      </c>
      <c r="K757" s="151" t="inlineStr">
        <is>
          <t>grams</t>
        </is>
      </c>
      <c r="L757" s="151" t="inlineStr">
        <is>
          <t>IMMERSION BLENDER</t>
        </is>
      </c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inlineStr">
        <is>
          <t>FA-DE Spice, Cumin Ground /Gewürz, gemahlener Kreuzkümmel</t>
        </is>
      </c>
      <c r="X757" s="151" t="inlineStr">
        <is>
          <t>SPI-00-139345-5</t>
        </is>
      </c>
      <c r="Y757" s="151" t="inlineStr">
        <is>
          <t>0,36</t>
        </is>
      </c>
      <c r="Z757" s="149" t="inlineStr">
        <is>
          <t>0,36</t>
        </is>
      </c>
      <c r="AA757" s="151" t="inlineStr">
        <is>
          <t>grams</t>
        </is>
      </c>
      <c r="AB757" s="151" t="n"/>
      <c r="AC757" s="151" t="n"/>
      <c r="AD757" s="150" t="n">
        <v>0.99899</v>
      </c>
      <c r="AE757" s="149" t="n">
        <v>0.36</v>
      </c>
      <c r="AF757" s="151" t="inlineStr">
        <is>
          <t>grams</t>
        </is>
      </c>
      <c r="AG757" s="151" t="n"/>
      <c r="AH757" s="151" t="n"/>
    </row>
    <row r="758">
      <c r="A758" s="151" t="inlineStr">
        <is>
          <t>FV1145A - Roasted Salmon &amp; Dill Yogurt [DE]</t>
        </is>
      </c>
      <c r="B758" s="151" t="inlineStr">
        <is>
          <t>REC-029971-4-002</t>
        </is>
      </c>
      <c r="C758" s="151" t="inlineStr">
        <is>
          <t>Moroccan Salmon Batch</t>
        </is>
      </c>
      <c r="D758" s="151" t="inlineStr">
        <is>
          <t>SUB-029902-4-001</t>
        </is>
      </c>
      <c r="E758" s="150" t="n">
        <v>1</v>
      </c>
      <c r="F758" s="151" t="inlineStr">
        <is>
          <t>each</t>
        </is>
      </c>
      <c r="G758" s="151" t="inlineStr">
        <is>
          <t>BLAST CHILLER, HAND MARINADE, OVEN, THAW</t>
        </is>
      </c>
      <c r="H758" s="151" t="inlineStr">
        <is>
          <t>Moroccan Salmon Marinade</t>
        </is>
      </c>
      <c r="I758" s="151" t="inlineStr">
        <is>
          <t>SUB-029903-4-001</t>
        </is>
      </c>
      <c r="J758" s="150" t="n">
        <v>9.92</v>
      </c>
      <c r="K758" s="151" t="inlineStr">
        <is>
          <t>grams</t>
        </is>
      </c>
      <c r="L758" s="151" t="inlineStr">
        <is>
          <t>IMMERSION BLENDER</t>
        </is>
      </c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inlineStr">
        <is>
          <t>FA-DE Spice, Sea Salt /Gewürze, Meersalz</t>
        </is>
      </c>
      <c r="X758" s="151" t="inlineStr">
        <is>
          <t>SPI-00-139378-5</t>
        </is>
      </c>
      <c r="Y758" s="151" t="inlineStr">
        <is>
          <t>0,41</t>
        </is>
      </c>
      <c r="Z758" s="149" t="inlineStr">
        <is>
          <t>0,41</t>
        </is>
      </c>
      <c r="AA758" s="151" t="inlineStr">
        <is>
          <t>grams</t>
        </is>
      </c>
      <c r="AB758" s="151" t="n"/>
      <c r="AC758" s="151" t="n"/>
      <c r="AD758" s="150" t="n">
        <v>0.99899</v>
      </c>
      <c r="AE758" s="149" t="n">
        <v>0.41</v>
      </c>
      <c r="AF758" s="151" t="inlineStr">
        <is>
          <t>grams</t>
        </is>
      </c>
      <c r="AG758" s="151" t="n"/>
      <c r="AH758" s="151" t="n"/>
    </row>
    <row r="759">
      <c r="A759" s="151" t="inlineStr">
        <is>
          <t>FV1145A - Roasted Salmon &amp; Dill Yogurt [DE]</t>
        </is>
      </c>
      <c r="B759" s="151" t="inlineStr">
        <is>
          <t>REC-029971-4-002</t>
        </is>
      </c>
      <c r="C759" s="151" t="inlineStr">
        <is>
          <t>Moroccan Salmon Batch</t>
        </is>
      </c>
      <c r="D759" s="151" t="inlineStr">
        <is>
          <t>SUB-029902-4-001</t>
        </is>
      </c>
      <c r="E759" s="150" t="n">
        <v>1</v>
      </c>
      <c r="F759" s="151" t="inlineStr">
        <is>
          <t>each</t>
        </is>
      </c>
      <c r="G759" s="151" t="inlineStr">
        <is>
          <t>BLAST CHILLER, HAND MARINADE, OVEN, THAW</t>
        </is>
      </c>
      <c r="H759" s="151" t="inlineStr">
        <is>
          <t>Moroccan Salmon Marinade</t>
        </is>
      </c>
      <c r="I759" s="151" t="inlineStr">
        <is>
          <t>SUB-029903-4-001</t>
        </is>
      </c>
      <c r="J759" s="150" t="n">
        <v>9.92</v>
      </c>
      <c r="K759" s="151" t="inlineStr">
        <is>
          <t>grams</t>
        </is>
      </c>
      <c r="L759" s="151" t="inlineStr">
        <is>
          <t>IMMERSION BLENDER</t>
        </is>
      </c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inlineStr">
        <is>
          <t>FA-DE Spice, Onion Powder, Toasted /Gewürze, Zwiebelpulver, geröstet</t>
        </is>
      </c>
      <c r="X759" s="151" t="inlineStr">
        <is>
          <t>SPI-00-139371-5</t>
        </is>
      </c>
      <c r="Y759" s="151" t="inlineStr">
        <is>
          <t>0,08</t>
        </is>
      </c>
      <c r="Z759" s="149" t="inlineStr">
        <is>
          <t>0,08</t>
        </is>
      </c>
      <c r="AA759" s="151" t="inlineStr">
        <is>
          <t>grams</t>
        </is>
      </c>
      <c r="AB759" s="151" t="n"/>
      <c r="AC759" s="151" t="n"/>
      <c r="AD759" s="150" t="n">
        <v>0.99899</v>
      </c>
      <c r="AE759" s="149" t="n">
        <v>0.08</v>
      </c>
      <c r="AF759" s="151" t="inlineStr">
        <is>
          <t>grams</t>
        </is>
      </c>
      <c r="AG759" s="151" t="n"/>
      <c r="AH759" s="151" t="n"/>
    </row>
    <row r="760">
      <c r="A760" s="151" t="inlineStr">
        <is>
          <t>FV1145A - Roasted Salmon &amp; Dill Yogurt [DE]</t>
        </is>
      </c>
      <c r="B760" s="151" t="inlineStr">
        <is>
          <t>REC-029971-4-002</t>
        </is>
      </c>
      <c r="C760" s="151" t="inlineStr">
        <is>
          <t>Moroccan Salmon Batch</t>
        </is>
      </c>
      <c r="D760" s="151" t="inlineStr">
        <is>
          <t>SUB-029902-4-001</t>
        </is>
      </c>
      <c r="E760" s="150" t="n">
        <v>1</v>
      </c>
      <c r="F760" s="151" t="inlineStr">
        <is>
          <t>each</t>
        </is>
      </c>
      <c r="G760" s="151" t="inlineStr">
        <is>
          <t>BLAST CHILLER, HAND MARINADE, OVEN, THAW</t>
        </is>
      </c>
      <c r="H760" s="151" t="inlineStr">
        <is>
          <t>Moroccan Salmon Marinade</t>
        </is>
      </c>
      <c r="I760" s="151" t="inlineStr">
        <is>
          <t>SUB-029903-4-001</t>
        </is>
      </c>
      <c r="J760" s="150" t="n">
        <v>9.92</v>
      </c>
      <c r="K760" s="151" t="inlineStr">
        <is>
          <t>grams</t>
        </is>
      </c>
      <c r="L760" s="151" t="inlineStr">
        <is>
          <t>IMMERSION BLENDER</t>
        </is>
      </c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inlineStr">
        <is>
          <t>FA-DE Spice, Ginger Ground /Gewürze, gemahlener Ingwer</t>
        </is>
      </c>
      <c r="X760" s="151" t="inlineStr">
        <is>
          <t>SPI-00-139355-5</t>
        </is>
      </c>
      <c r="Y760" s="151" t="inlineStr">
        <is>
          <t>0,05</t>
        </is>
      </c>
      <c r="Z760" s="149" t="inlineStr">
        <is>
          <t>0,05</t>
        </is>
      </c>
      <c r="AA760" s="151" t="inlineStr">
        <is>
          <t>grams</t>
        </is>
      </c>
      <c r="AB760" s="151" t="n"/>
      <c r="AC760" s="151" t="n"/>
      <c r="AD760" s="150" t="n">
        <v>0.99899</v>
      </c>
      <c r="AE760" s="149" t="n">
        <v>0.05</v>
      </c>
      <c r="AF760" s="151" t="inlineStr">
        <is>
          <t>grams</t>
        </is>
      </c>
      <c r="AG760" s="151" t="n"/>
      <c r="AH760" s="151" t="n"/>
    </row>
    <row r="761">
      <c r="A761" s="151" t="inlineStr">
        <is>
          <t>FV1145A - Roasted Salmon &amp; Dill Yogurt [DE]</t>
        </is>
      </c>
      <c r="B761" s="151" t="inlineStr">
        <is>
          <t>REC-029971-4-002</t>
        </is>
      </c>
      <c r="C761" s="151" t="inlineStr">
        <is>
          <t>Moroccan Salmon Batch</t>
        </is>
      </c>
      <c r="D761" s="151" t="inlineStr">
        <is>
          <t>SUB-029902-4-001</t>
        </is>
      </c>
      <c r="E761" s="150" t="n">
        <v>1</v>
      </c>
      <c r="F761" s="151" t="inlineStr">
        <is>
          <t>each</t>
        </is>
      </c>
      <c r="G761" s="151" t="inlineStr">
        <is>
          <t>BLAST CHILLER, HAND MARINADE, OVEN, THAW</t>
        </is>
      </c>
      <c r="H761" s="151" t="inlineStr">
        <is>
          <t>Moroccan Salmon Marinade</t>
        </is>
      </c>
      <c r="I761" s="151" t="inlineStr">
        <is>
          <t>SUB-029903-4-001</t>
        </is>
      </c>
      <c r="J761" s="150" t="n">
        <v>9.92</v>
      </c>
      <c r="K761" s="151" t="inlineStr">
        <is>
          <t>grams</t>
        </is>
      </c>
      <c r="L761" s="151" t="inlineStr">
        <is>
          <t>IMMERSION BLENDER</t>
        </is>
      </c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inlineStr">
        <is>
          <t>FA-DE Spice, Harissa Powder /Gewürz, Harissa-Pulver</t>
        </is>
      </c>
      <c r="X761" s="151" t="inlineStr">
        <is>
          <t>SPI-00-139323-5</t>
        </is>
      </c>
      <c r="Y761" s="151" t="inlineStr">
        <is>
          <t>0,36</t>
        </is>
      </c>
      <c r="Z761" s="149" t="inlineStr">
        <is>
          <t>0,36</t>
        </is>
      </c>
      <c r="AA761" s="151" t="inlineStr">
        <is>
          <t>grams</t>
        </is>
      </c>
      <c r="AB761" s="151" t="n"/>
      <c r="AC761" s="151" t="n"/>
      <c r="AD761" s="150" t="n">
        <v>0.99899</v>
      </c>
      <c r="AE761" s="149" t="n">
        <v>0.36</v>
      </c>
      <c r="AF761" s="151" t="inlineStr">
        <is>
          <t>grams</t>
        </is>
      </c>
      <c r="AG761" s="151" t="n"/>
      <c r="AH761" s="151" t="n"/>
    </row>
    <row r="762">
      <c r="A762" s="151" t="inlineStr">
        <is>
          <t>FV1145A - Roasted Salmon &amp; Dill Yogurt [DE]</t>
        </is>
      </c>
      <c r="B762" s="151" t="inlineStr">
        <is>
          <t>REC-029971-4-002</t>
        </is>
      </c>
      <c r="C762" s="151" t="inlineStr">
        <is>
          <t>Moroccan Salmon Batch</t>
        </is>
      </c>
      <c r="D762" s="151" t="inlineStr">
        <is>
          <t>SUB-029902-4-001</t>
        </is>
      </c>
      <c r="E762" s="150" t="n">
        <v>1</v>
      </c>
      <c r="F762" s="151" t="inlineStr">
        <is>
          <t>each</t>
        </is>
      </c>
      <c r="G762" s="151" t="inlineStr">
        <is>
          <t>BLAST CHILLER, HAND MARINADE, OVEN, THAW</t>
        </is>
      </c>
      <c r="H762" s="151" t="inlineStr">
        <is>
          <t>Moroccan Salmon Marinade</t>
        </is>
      </c>
      <c r="I762" s="151" t="inlineStr">
        <is>
          <t>SUB-029903-4-001</t>
        </is>
      </c>
      <c r="J762" s="150" t="n">
        <v>9.92</v>
      </c>
      <c r="K762" s="151" t="inlineStr">
        <is>
          <t>grams</t>
        </is>
      </c>
      <c r="L762" s="151" t="inlineStr">
        <is>
          <t>IMMERSION BLENDER</t>
        </is>
      </c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inlineStr">
        <is>
          <t>FA-DE Spice, Turmeric /Gewürz, Kurkuma</t>
        </is>
      </c>
      <c r="X762" s="151" t="inlineStr">
        <is>
          <t>SPI-00-139384-5</t>
        </is>
      </c>
      <c r="Y762" s="151" t="inlineStr">
        <is>
          <t>0,05</t>
        </is>
      </c>
      <c r="Z762" s="149" t="inlineStr">
        <is>
          <t>0,05</t>
        </is>
      </c>
      <c r="AA762" s="151" t="inlineStr">
        <is>
          <t>grams</t>
        </is>
      </c>
      <c r="AB762" s="151" t="n"/>
      <c r="AC762" s="151" t="n"/>
      <c r="AD762" s="150" t="n">
        <v>0.99899</v>
      </c>
      <c r="AE762" s="149" t="n">
        <v>0.05</v>
      </c>
      <c r="AF762" s="151" t="inlineStr">
        <is>
          <t>grams</t>
        </is>
      </c>
      <c r="AG762" s="151" t="n"/>
      <c r="AH762" s="151" t="n"/>
    </row>
    <row r="763">
      <c r="A763" s="151" t="inlineStr">
        <is>
          <t>FV1145A - Roasted Salmon &amp; Dill Yogurt [DE]</t>
        </is>
      </c>
      <c r="B763" s="151" t="inlineStr">
        <is>
          <t>REC-029971-4-002</t>
        </is>
      </c>
      <c r="C763" s="151" t="inlineStr">
        <is>
          <t>Moroccan Salmon Batch</t>
        </is>
      </c>
      <c r="D763" s="151" t="inlineStr">
        <is>
          <t>SUB-029902-4-001</t>
        </is>
      </c>
      <c r="E763" s="150" t="n">
        <v>1</v>
      </c>
      <c r="F763" s="151" t="inlineStr">
        <is>
          <t>each</t>
        </is>
      </c>
      <c r="G763" s="151" t="inlineStr">
        <is>
          <t>BLAST CHILLER, HAND MARINADE, OVEN, THAW</t>
        </is>
      </c>
      <c r="H763" s="151" t="inlineStr">
        <is>
          <t>Moroccan Salmon Marinade</t>
        </is>
      </c>
      <c r="I763" s="151" t="inlineStr">
        <is>
          <t>SUB-029903-4-001</t>
        </is>
      </c>
      <c r="J763" s="150" t="n">
        <v>9.92</v>
      </c>
      <c r="K763" s="151" t="inlineStr">
        <is>
          <t>grams</t>
        </is>
      </c>
      <c r="L763" s="151" t="inlineStr">
        <is>
          <t>IMMERSION BLENDER</t>
        </is>
      </c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inlineStr">
        <is>
          <t>FA-DE Parsley, Chopped /Petersilie, gehackt</t>
        </is>
      </c>
      <c r="X763" s="151" t="inlineStr">
        <is>
          <t>PHF-00-139215-3</t>
        </is>
      </c>
      <c r="Y763" s="151" t="inlineStr">
        <is>
          <t>0,83</t>
        </is>
      </c>
      <c r="Z763" s="149" t="inlineStr">
        <is>
          <t>0,83</t>
        </is>
      </c>
      <c r="AA763" s="151" t="inlineStr">
        <is>
          <t>grams</t>
        </is>
      </c>
      <c r="AB763" s="151" t="n"/>
      <c r="AC763" s="151" t="n"/>
      <c r="AD763" s="150" t="n">
        <v>0.99899</v>
      </c>
      <c r="AE763" s="149" t="n">
        <v>0.83</v>
      </c>
      <c r="AF763" s="151" t="inlineStr">
        <is>
          <t>grams</t>
        </is>
      </c>
      <c r="AG763" s="151" t="n"/>
      <c r="AH763" s="151" t="n"/>
    </row>
    <row r="764">
      <c r="A764" s="151" t="inlineStr">
        <is>
          <t>FV1145A - Roasted Salmon &amp; Dill Yogurt [DE]</t>
        </is>
      </c>
      <c r="B764" s="151" t="inlineStr">
        <is>
          <t>REC-029971-4-002</t>
        </is>
      </c>
      <c r="C764" s="151" t="inlineStr">
        <is>
          <t>Moroccan Salmon Batch</t>
        </is>
      </c>
      <c r="D764" s="151" t="inlineStr">
        <is>
          <t>SUB-029902-4-001</t>
        </is>
      </c>
      <c r="E764" s="150" t="n">
        <v>1</v>
      </c>
      <c r="F764" s="151" t="inlineStr">
        <is>
          <t>each</t>
        </is>
      </c>
      <c r="G764" s="151" t="inlineStr">
        <is>
          <t>BLAST CHILLER, HAND MARINADE, OVEN, THAW</t>
        </is>
      </c>
      <c r="H764" s="151" t="inlineStr">
        <is>
          <t>Moroccan Salmon Marinade</t>
        </is>
      </c>
      <c r="I764" s="151" t="inlineStr">
        <is>
          <t>SUB-029903-4-001</t>
        </is>
      </c>
      <c r="J764" s="150" t="n">
        <v>9.92</v>
      </c>
      <c r="K764" s="151" t="inlineStr">
        <is>
          <t>grams</t>
        </is>
      </c>
      <c r="L764" s="151" t="inlineStr">
        <is>
          <t>IMMERSION BLENDER</t>
        </is>
      </c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inlineStr">
        <is>
          <t>FA-DE Coriander, Chopped /Koriander, gehackt</t>
        </is>
      </c>
      <c r="X764" s="151" t="inlineStr">
        <is>
          <t>PHF-00-139192-3</t>
        </is>
      </c>
      <c r="Y764" s="151" t="inlineStr">
        <is>
          <t>0,83</t>
        </is>
      </c>
      <c r="Z764" s="149" t="inlineStr">
        <is>
          <t>0,83</t>
        </is>
      </c>
      <c r="AA764" s="151" t="inlineStr">
        <is>
          <t>grams</t>
        </is>
      </c>
      <c r="AB764" s="151" t="n"/>
      <c r="AC764" s="151" t="n"/>
      <c r="AD764" s="150" t="n">
        <v>0.99899</v>
      </c>
      <c r="AE764" s="149" t="n">
        <v>0.83</v>
      </c>
      <c r="AF764" s="151" t="inlineStr">
        <is>
          <t>grams</t>
        </is>
      </c>
      <c r="AG764" s="151" t="n"/>
      <c r="AH764" s="151" t="n"/>
    </row>
    <row r="765">
      <c r="A765" s="151" t="inlineStr">
        <is>
          <t>FV1145A - Roasted Salmon &amp; Dill Yogurt [DE]</t>
        </is>
      </c>
      <c r="B765" s="151" t="inlineStr">
        <is>
          <t>REC-029971-4-002</t>
        </is>
      </c>
      <c r="C765" s="151" t="inlineStr">
        <is>
          <t>Moroccan Salmon Batch</t>
        </is>
      </c>
      <c r="D765" s="151" t="inlineStr">
        <is>
          <t>SUB-029902-4-001</t>
        </is>
      </c>
      <c r="E765" s="150" t="n">
        <v>1</v>
      </c>
      <c r="F765" s="151" t="inlineStr">
        <is>
          <t>each</t>
        </is>
      </c>
      <c r="G765" s="151" t="inlineStr">
        <is>
          <t>BLAST CHILLER, HAND MARINADE, OVEN, THAW</t>
        </is>
      </c>
      <c r="H765" s="151" t="inlineStr">
        <is>
          <t>Moroccan Salmon Marinade</t>
        </is>
      </c>
      <c r="I765" s="151" t="inlineStr">
        <is>
          <t>SUB-029903-4-001</t>
        </is>
      </c>
      <c r="J765" s="150" t="n">
        <v>9.92</v>
      </c>
      <c r="K765" s="151" t="inlineStr">
        <is>
          <t>grams</t>
        </is>
      </c>
      <c r="L765" s="151" t="inlineStr">
        <is>
          <t>IMMERSION BLENDER</t>
        </is>
      </c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inlineStr">
        <is>
          <t>FA-DE Zest, Lemon/Gewürz, Zitronenschale</t>
        </is>
      </c>
      <c r="X765" s="151" t="inlineStr">
        <is>
          <t>PHF-00-139247-3</t>
        </is>
      </c>
      <c r="Y765" s="151" t="inlineStr">
        <is>
          <t>0,05</t>
        </is>
      </c>
      <c r="Z765" s="149" t="inlineStr">
        <is>
          <t>0,05</t>
        </is>
      </c>
      <c r="AA765" s="151" t="inlineStr">
        <is>
          <t>grams</t>
        </is>
      </c>
      <c r="AB765" s="151" t="n"/>
      <c r="AC765" s="151" t="n"/>
      <c r="AD765" s="150" t="n">
        <v>0.99899</v>
      </c>
      <c r="AE765" s="149" t="n">
        <v>0.05</v>
      </c>
      <c r="AF765" s="151" t="inlineStr">
        <is>
          <t>grams</t>
        </is>
      </c>
      <c r="AG765" s="151" t="n"/>
      <c r="AH765" s="151" t="n"/>
    </row>
    <row r="766">
      <c r="A766" s="151" t="inlineStr">
        <is>
          <t>FV1145A - Roasted Salmon &amp; Dill Yogurt [DE]</t>
        </is>
      </c>
      <c r="B766" s="151" t="inlineStr">
        <is>
          <t>REC-029971-4-002</t>
        </is>
      </c>
      <c r="C766" s="151" t="inlineStr">
        <is>
          <t>Moroccan Salmon Batch</t>
        </is>
      </c>
      <c r="D766" s="151" t="inlineStr">
        <is>
          <t>SUB-029902-4-001</t>
        </is>
      </c>
      <c r="E766" s="150" t="n">
        <v>1</v>
      </c>
      <c r="F766" s="151" t="inlineStr">
        <is>
          <t>each</t>
        </is>
      </c>
      <c r="G766" s="151" t="inlineStr">
        <is>
          <t>BLAST CHILLER, HAND MARINADE, OVEN, THAW</t>
        </is>
      </c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inlineStr">
        <is>
          <t>FA-DE Salmon, Skinless, Boneless, Filet/Lachs, ohne Haut, ohne Knochen, Filet - IQF</t>
        </is>
      </c>
      <c r="X766" s="151" t="inlineStr">
        <is>
          <t>PTN-00-139968-1</t>
        </is>
      </c>
      <c r="Y766" s="150" t="n">
        <v>140</v>
      </c>
      <c r="Z766" s="152" t="n">
        <v>140</v>
      </c>
      <c r="AA766" s="151" t="inlineStr">
        <is>
          <t>grams</t>
        </is>
      </c>
      <c r="AB766" s="151" t="inlineStr">
        <is>
          <t>FISCH</t>
        </is>
      </c>
      <c r="AC766" s="151" t="n"/>
      <c r="AD766" s="150" t="n">
        <v>0.79893</v>
      </c>
      <c r="AE766" s="152" t="n">
        <v>140</v>
      </c>
      <c r="AF766" s="151" t="inlineStr">
        <is>
          <t>grams</t>
        </is>
      </c>
      <c r="AG766" s="151" t="n"/>
      <c r="AH766" s="151" t="n"/>
    </row>
    <row r="767">
      <c r="A767" s="151" t="inlineStr">
        <is>
          <t>FV1145A - Roasted Salmon &amp; Dill Yogurt [DE]</t>
        </is>
      </c>
      <c r="B767" s="151" t="inlineStr">
        <is>
          <t>REC-029971-4-002</t>
        </is>
      </c>
      <c r="C767" s="151" t="inlineStr">
        <is>
          <t>Moroccan Salmon Batch</t>
        </is>
      </c>
      <c r="D767" s="151" t="inlineStr">
        <is>
          <t>SUB-029902-4-001</t>
        </is>
      </c>
      <c r="E767" s="150" t="n">
        <v>1</v>
      </c>
      <c r="F767" s="151" t="inlineStr">
        <is>
          <t>each</t>
        </is>
      </c>
      <c r="G767" s="151" t="inlineStr">
        <is>
          <t>BLAST CHILLER, HAND MARINADE, OVEN, THAW</t>
        </is>
      </c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inlineStr">
        <is>
          <t>FA-DE Spice, Sea Salt /Gewürze, Meersalz</t>
        </is>
      </c>
      <c r="X767" s="151" t="inlineStr">
        <is>
          <t>SPI-00-139378-5</t>
        </is>
      </c>
      <c r="Y767" s="151" t="inlineStr">
        <is>
          <t>0,28</t>
        </is>
      </c>
      <c r="Z767" s="149" t="inlineStr">
        <is>
          <t>0,28</t>
        </is>
      </c>
      <c r="AA767" s="151" t="inlineStr">
        <is>
          <t>grams</t>
        </is>
      </c>
      <c r="AB767" s="151" t="n"/>
      <c r="AC767" s="151" t="n"/>
      <c r="AD767" s="150" t="n">
        <v>0.79893</v>
      </c>
      <c r="AE767" s="149" t="n">
        <v>0.28</v>
      </c>
      <c r="AF767" s="151" t="inlineStr">
        <is>
          <t>grams</t>
        </is>
      </c>
      <c r="AG767" s="151" t="n"/>
      <c r="AH767" s="151" t="n"/>
    </row>
    <row r="768">
      <c r="A768" s="151" t="inlineStr">
        <is>
          <t>FV1145A - Roasted Salmon &amp; Dill Yogurt [DE]</t>
        </is>
      </c>
      <c r="B768" s="151" t="inlineStr">
        <is>
          <t>REC-029971-4-002</t>
        </is>
      </c>
      <c r="C768" s="151" t="inlineStr">
        <is>
          <t>Roasted Red Peppers - Diced (half pepper)</t>
        </is>
      </c>
      <c r="D768" s="151" t="inlineStr">
        <is>
          <t>SUB-029906-4-001</t>
        </is>
      </c>
      <c r="E768" s="150" t="n">
        <v>30</v>
      </c>
      <c r="F768" s="151" t="inlineStr">
        <is>
          <t>grams</t>
        </is>
      </c>
      <c r="G768" s="151" t="inlineStr">
        <is>
          <t>BLAST CHILLER, OVEN</t>
        </is>
      </c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inlineStr">
        <is>
          <t>FA-DE Bell Peppers, Red, Diced 10mm /Paprika, rot, gewürfelt 10 mm</t>
        </is>
      </c>
      <c r="X768" s="151" t="inlineStr">
        <is>
          <t>PHF-00-139179-3</t>
        </is>
      </c>
      <c r="Y768" s="151" t="inlineStr">
        <is>
          <t>36,82</t>
        </is>
      </c>
      <c r="Z768" s="149" t="inlineStr">
        <is>
          <t>36,82</t>
        </is>
      </c>
      <c r="AA768" s="151" t="inlineStr">
        <is>
          <t>grams</t>
        </is>
      </c>
      <c r="AB768" s="151" t="n"/>
      <c r="AC768" s="151" t="n"/>
      <c r="AD768" s="150" t="n">
        <v>0.7464499999999999</v>
      </c>
      <c r="AE768" s="149" t="n">
        <v>36.82</v>
      </c>
      <c r="AF768" s="151" t="inlineStr">
        <is>
          <t>grams</t>
        </is>
      </c>
      <c r="AG768" s="151" t="n"/>
      <c r="AH768" s="151" t="n"/>
    </row>
    <row r="769">
      <c r="A769" s="151" t="inlineStr">
        <is>
          <t>FV1145A - Roasted Salmon &amp; Dill Yogurt [DE]</t>
        </is>
      </c>
      <c r="B769" s="151" t="inlineStr">
        <is>
          <t>REC-029971-4-002</t>
        </is>
      </c>
      <c r="C769" s="151" t="inlineStr">
        <is>
          <t>Roasted Red Peppers - Diced (half pepper)</t>
        </is>
      </c>
      <c r="D769" s="151" t="inlineStr">
        <is>
          <t>SUB-029906-4-001</t>
        </is>
      </c>
      <c r="E769" s="150" t="n">
        <v>30</v>
      </c>
      <c r="F769" s="151" t="inlineStr">
        <is>
          <t>grams</t>
        </is>
      </c>
      <c r="G769" s="151" t="inlineStr">
        <is>
          <t>BLAST CHILLER, OVEN</t>
        </is>
      </c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inlineStr">
        <is>
          <t>FA-DE Oil, Olive /Öl, Olivenöl</t>
        </is>
      </c>
      <c r="X769" s="151" t="inlineStr">
        <is>
          <t>PRO-00-139277-5</t>
        </is>
      </c>
      <c r="Y769" s="151" t="inlineStr">
        <is>
          <t>1,38</t>
        </is>
      </c>
      <c r="Z769" s="149" t="inlineStr">
        <is>
          <t>1,38</t>
        </is>
      </c>
      <c r="AA769" s="151" t="inlineStr">
        <is>
          <t>grams</t>
        </is>
      </c>
      <c r="AB769" s="151" t="n"/>
      <c r="AC769" s="151" t="n"/>
      <c r="AD769" s="150" t="n">
        <v>0.7464499999999999</v>
      </c>
      <c r="AE769" s="149" t="n">
        <v>1.38</v>
      </c>
      <c r="AF769" s="151" t="inlineStr">
        <is>
          <t>grams</t>
        </is>
      </c>
      <c r="AG769" s="151" t="n"/>
      <c r="AH769" s="151" t="n"/>
    </row>
    <row r="770">
      <c r="A770" s="151" t="inlineStr">
        <is>
          <t>FV1145A - Roasted Salmon &amp; Dill Yogurt [DE]</t>
        </is>
      </c>
      <c r="B770" s="151" t="inlineStr">
        <is>
          <t>REC-029971-4-002</t>
        </is>
      </c>
      <c r="C770" s="151" t="inlineStr">
        <is>
          <t>Roasted Red Peppers - Diced (half pepper)</t>
        </is>
      </c>
      <c r="D770" s="151" t="inlineStr">
        <is>
          <t>SUB-029906-4-001</t>
        </is>
      </c>
      <c r="E770" s="150" t="n">
        <v>30</v>
      </c>
      <c r="F770" s="151" t="inlineStr">
        <is>
          <t>grams</t>
        </is>
      </c>
      <c r="G770" s="151" t="inlineStr">
        <is>
          <t>BLAST CHILLER, OVEN</t>
        </is>
      </c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inlineStr">
        <is>
          <t>FA-DE Garlic, IQF, Diced 4 mm /Knoblauch, IQF, gewürfelt 4 mm</t>
        </is>
      </c>
      <c r="X770" s="151" t="inlineStr">
        <is>
          <t>PHF-00-139237-1</t>
        </is>
      </c>
      <c r="Y770" s="151" t="inlineStr">
        <is>
          <t>1,38</t>
        </is>
      </c>
      <c r="Z770" s="149" t="inlineStr">
        <is>
          <t>1,38</t>
        </is>
      </c>
      <c r="AA770" s="151" t="inlineStr">
        <is>
          <t>grams</t>
        </is>
      </c>
      <c r="AB770" s="151" t="inlineStr">
        <is>
          <t>SCHWEFELDIOXIDE UND SULFITE</t>
        </is>
      </c>
      <c r="AC770" s="151" t="n"/>
      <c r="AD770" s="150" t="n">
        <v>0.7464499999999999</v>
      </c>
      <c r="AE770" s="149" t="n">
        <v>1.38</v>
      </c>
      <c r="AF770" s="151" t="inlineStr">
        <is>
          <t>grams</t>
        </is>
      </c>
      <c r="AG770" s="151" t="n"/>
      <c r="AH770" s="151" t="n"/>
    </row>
    <row r="771">
      <c r="A771" s="151" t="inlineStr">
        <is>
          <t>FV1145A - Roasted Salmon &amp; Dill Yogurt [DE]</t>
        </is>
      </c>
      <c r="B771" s="151" t="inlineStr">
        <is>
          <t>REC-029971-4-002</t>
        </is>
      </c>
      <c r="C771" s="151" t="inlineStr">
        <is>
          <t>Roasted Red Peppers - Diced (half pepper)</t>
        </is>
      </c>
      <c r="D771" s="151" t="inlineStr">
        <is>
          <t>SUB-029906-4-001</t>
        </is>
      </c>
      <c r="E771" s="150" t="n">
        <v>30</v>
      </c>
      <c r="F771" s="151" t="inlineStr">
        <is>
          <t>grams</t>
        </is>
      </c>
      <c r="G771" s="151" t="inlineStr">
        <is>
          <t>BLAST CHILLER, OVEN</t>
        </is>
      </c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inlineStr">
        <is>
          <t>FA-DE Spice, Sea Salt /Gewürze, Meersalz</t>
        </is>
      </c>
      <c r="X771" s="151" t="inlineStr">
        <is>
          <t>SPI-00-139378-5</t>
        </is>
      </c>
      <c r="Y771" s="151" t="inlineStr">
        <is>
          <t>0,21</t>
        </is>
      </c>
      <c r="Z771" s="149" t="inlineStr">
        <is>
          <t>0,21</t>
        </is>
      </c>
      <c r="AA771" s="151" t="inlineStr">
        <is>
          <t>grams</t>
        </is>
      </c>
      <c r="AB771" s="151" t="n"/>
      <c r="AC771" s="151" t="n"/>
      <c r="AD771" s="150" t="n">
        <v>0.7464499999999999</v>
      </c>
      <c r="AE771" s="149" t="n">
        <v>0.21</v>
      </c>
      <c r="AF771" s="151" t="inlineStr">
        <is>
          <t>grams</t>
        </is>
      </c>
      <c r="AG771" s="151" t="n"/>
      <c r="AH771" s="151" t="n"/>
    </row>
    <row r="772">
      <c r="A772" s="151" t="inlineStr">
        <is>
          <t>FV1145A - Roasted Salmon &amp; Dill Yogurt [DE]</t>
        </is>
      </c>
      <c r="B772" s="151" t="inlineStr">
        <is>
          <t>REC-029971-4-002</t>
        </is>
      </c>
      <c r="C772" s="151" t="inlineStr">
        <is>
          <t>Roasted Red Peppers - Diced (half pepper)</t>
        </is>
      </c>
      <c r="D772" s="151" t="inlineStr">
        <is>
          <t>SUB-029906-4-001</t>
        </is>
      </c>
      <c r="E772" s="150" t="n">
        <v>30</v>
      </c>
      <c r="F772" s="151" t="inlineStr">
        <is>
          <t>grams</t>
        </is>
      </c>
      <c r="G772" s="151" t="inlineStr">
        <is>
          <t>BLAST CHILLER, OVEN</t>
        </is>
      </c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inlineStr">
        <is>
          <t>FA-DE Spice, Black Pepper, Ground /Gewürz, schwarzer Pfeffer, gemahlen</t>
        </is>
      </c>
      <c r="X772" s="151" t="inlineStr">
        <is>
          <t>SPI-00-139334-5</t>
        </is>
      </c>
      <c r="Y772" s="151" t="inlineStr">
        <is>
          <t>0,18</t>
        </is>
      </c>
      <c r="Z772" s="149" t="inlineStr">
        <is>
          <t>0,18</t>
        </is>
      </c>
      <c r="AA772" s="151" t="inlineStr">
        <is>
          <t>grams</t>
        </is>
      </c>
      <c r="AB772" s="151" t="n"/>
      <c r="AC772" s="151" t="n"/>
      <c r="AD772" s="150" t="n">
        <v>0.7464499999999999</v>
      </c>
      <c r="AE772" s="149" t="n">
        <v>0.18</v>
      </c>
      <c r="AF772" s="151" t="inlineStr">
        <is>
          <t>grams</t>
        </is>
      </c>
      <c r="AG772" s="151" t="n"/>
      <c r="AH772" s="151" t="n"/>
    </row>
    <row r="773">
      <c r="A773" s="151" t="inlineStr">
        <is>
          <t>FV1145A - Roasted Salmon &amp; Dill Yogurt [DE]</t>
        </is>
      </c>
      <c r="B773" s="151" t="inlineStr">
        <is>
          <t>REC-029971-4-002</t>
        </is>
      </c>
      <c r="C773" s="151" t="inlineStr">
        <is>
          <t>Roasted Red Peppers - Diced (half pepper)</t>
        </is>
      </c>
      <c r="D773" s="151" t="inlineStr">
        <is>
          <t>SUB-029906-4-001</t>
        </is>
      </c>
      <c r="E773" s="150" t="n">
        <v>30</v>
      </c>
      <c r="F773" s="151" t="inlineStr">
        <is>
          <t>grams</t>
        </is>
      </c>
      <c r="G773" s="151" t="inlineStr">
        <is>
          <t>BLAST CHILLER, OVEN</t>
        </is>
      </c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inlineStr">
        <is>
          <t>FA-DE Spice, Garlic Granulated /Gewürz, Knoblauch granuliert</t>
        </is>
      </c>
      <c r="X773" s="151" t="inlineStr">
        <is>
          <t>SPI-00-139353-5</t>
        </is>
      </c>
      <c r="Y773" s="151" t="inlineStr">
        <is>
          <t>0,23</t>
        </is>
      </c>
      <c r="Z773" s="149" t="inlineStr">
        <is>
          <t>0,23</t>
        </is>
      </c>
      <c r="AA773" s="151" t="inlineStr">
        <is>
          <t>grams</t>
        </is>
      </c>
      <c r="AB773" s="151" t="n"/>
      <c r="AC773" s="151" t="n"/>
      <c r="AD773" s="150" t="n">
        <v>0.7464499999999999</v>
      </c>
      <c r="AE773" s="149" t="n">
        <v>0.23</v>
      </c>
      <c r="AF773" s="151" t="inlineStr">
        <is>
          <t>grams</t>
        </is>
      </c>
      <c r="AG773" s="151" t="n"/>
      <c r="AH773" s="151" t="n"/>
    </row>
    <row r="774">
      <c r="A774" s="151" t="inlineStr">
        <is>
          <t>FV1145A - Roasted Salmon &amp; Dill Yogurt [DE]</t>
        </is>
      </c>
      <c r="B774" s="151" t="inlineStr">
        <is>
          <t>REC-029971-4-002</t>
        </is>
      </c>
      <c r="C774" s="151" t="inlineStr">
        <is>
          <t>Green Beans CUT 1-1/2 - Fresh - very little salt</t>
        </is>
      </c>
      <c r="D774" s="151" t="inlineStr">
        <is>
          <t>SUB-014171-4-001</t>
        </is>
      </c>
      <c r="E774" s="150" t="n">
        <v>60</v>
      </c>
      <c r="F774" s="151" t="inlineStr">
        <is>
          <t>grams</t>
        </is>
      </c>
      <c r="G774" s="151" t="inlineStr">
        <is>
          <t>BLAST CHILLER, OVEN</t>
        </is>
      </c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inlineStr">
        <is>
          <t>FA-DE Spice, Sea Salt /Gewürze, Meersalz</t>
        </is>
      </c>
      <c r="X774" s="151" t="inlineStr">
        <is>
          <t>SPI-00-139378-5</t>
        </is>
      </c>
      <c r="Y774" s="151" t="inlineStr">
        <is>
          <t>0,13</t>
        </is>
      </c>
      <c r="Z774" s="149" t="inlineStr">
        <is>
          <t>0,13</t>
        </is>
      </c>
      <c r="AA774" s="151" t="inlineStr">
        <is>
          <t>grams</t>
        </is>
      </c>
      <c r="AB774" s="151" t="n"/>
      <c r="AC774" s="151" t="n"/>
      <c r="AD774" s="150" t="n">
        <v>0.73551</v>
      </c>
      <c r="AE774" s="149" t="n">
        <v>0.13</v>
      </c>
      <c r="AF774" s="151" t="inlineStr">
        <is>
          <t>grams</t>
        </is>
      </c>
      <c r="AG774" s="151" t="n"/>
      <c r="AH774" s="151" t="n"/>
    </row>
    <row r="775">
      <c r="A775" s="151" t="inlineStr">
        <is>
          <t>FV1145A - Roasted Salmon &amp; Dill Yogurt [DE]</t>
        </is>
      </c>
      <c r="B775" s="151" t="inlineStr">
        <is>
          <t>REC-029971-4-002</t>
        </is>
      </c>
      <c r="C775" s="151" t="inlineStr">
        <is>
          <t>Green Beans CUT 1-1/2 - Fresh - very little salt</t>
        </is>
      </c>
      <c r="D775" s="151" t="inlineStr">
        <is>
          <t>SUB-014171-4-001</t>
        </is>
      </c>
      <c r="E775" s="150" t="n">
        <v>60</v>
      </c>
      <c r="F775" s="151" t="inlineStr">
        <is>
          <t>grams</t>
        </is>
      </c>
      <c r="G775" s="151" t="inlineStr">
        <is>
          <t>BLAST CHILLER, OVEN</t>
        </is>
      </c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inlineStr">
        <is>
          <t>FA-DE Spice, Garlic Granulated /Gewürz, Knoblauch granuliert</t>
        </is>
      </c>
      <c r="X775" s="151" t="inlineStr">
        <is>
          <t>SPI-00-139353-5</t>
        </is>
      </c>
      <c r="Y775" s="151" t="inlineStr">
        <is>
          <t>0,32</t>
        </is>
      </c>
      <c r="Z775" s="149" t="inlineStr">
        <is>
          <t>0,32</t>
        </is>
      </c>
      <c r="AA775" s="151" t="inlineStr">
        <is>
          <t>grams</t>
        </is>
      </c>
      <c r="AB775" s="151" t="n"/>
      <c r="AC775" s="151" t="n"/>
      <c r="AD775" s="150" t="n">
        <v>0.73551</v>
      </c>
      <c r="AE775" s="149" t="n">
        <v>0.32</v>
      </c>
      <c r="AF775" s="151" t="inlineStr">
        <is>
          <t>grams</t>
        </is>
      </c>
      <c r="AG775" s="151" t="n"/>
      <c r="AH775" s="151" t="n"/>
    </row>
    <row r="776">
      <c r="A776" s="151" t="inlineStr">
        <is>
          <t>FV1145A - Roasted Salmon &amp; Dill Yogurt [DE]</t>
        </is>
      </c>
      <c r="B776" s="151" t="inlineStr">
        <is>
          <t>REC-029971-4-002</t>
        </is>
      </c>
      <c r="C776" s="151" t="inlineStr">
        <is>
          <t>Green Beans CUT 1-1/2 - Fresh - very little salt</t>
        </is>
      </c>
      <c r="D776" s="151" t="inlineStr">
        <is>
          <t>SUB-014171-4-001</t>
        </is>
      </c>
      <c r="E776" s="150" t="n">
        <v>60</v>
      </c>
      <c r="F776" s="151" t="inlineStr">
        <is>
          <t>grams</t>
        </is>
      </c>
      <c r="G776" s="151" t="inlineStr">
        <is>
          <t>BLAST CHILLER, OVEN</t>
        </is>
      </c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inlineStr">
        <is>
          <t>FA-DE Oil, Olive /Öl, Olivenöl</t>
        </is>
      </c>
      <c r="X776" s="151" t="inlineStr">
        <is>
          <t>PRO-00-139277-5</t>
        </is>
      </c>
      <c r="Y776" s="154" t="inlineStr">
        <is>
          <t>4,06</t>
        </is>
      </c>
      <c r="Z776" s="149" t="inlineStr">
        <is>
          <t>4,06</t>
        </is>
      </c>
      <c r="AA776" s="151" t="inlineStr">
        <is>
          <t>grams</t>
        </is>
      </c>
      <c r="AB776" s="151" t="n"/>
      <c r="AC776" s="151" t="n"/>
      <c r="AD776" s="150" t="n">
        <v>0.73551</v>
      </c>
      <c r="AE776" s="149" t="n">
        <v>4.06</v>
      </c>
      <c r="AF776" s="151" t="inlineStr">
        <is>
          <t>grams</t>
        </is>
      </c>
      <c r="AG776" s="151" t="n"/>
      <c r="AH776" s="151" t="n"/>
    </row>
    <row r="777">
      <c r="A777" s="151" t="inlineStr">
        <is>
          <t>FV1145A - Roasted Salmon &amp; Dill Yogurt [DE]</t>
        </is>
      </c>
      <c r="B777" s="151" t="inlineStr">
        <is>
          <t>REC-029971-4-002</t>
        </is>
      </c>
      <c r="C777" s="151" t="inlineStr">
        <is>
          <t>Green Beans CUT 1-1/2 - Fresh - very little salt</t>
        </is>
      </c>
      <c r="D777" s="151" t="inlineStr">
        <is>
          <t>SUB-014171-4-001</t>
        </is>
      </c>
      <c r="E777" s="150" t="n">
        <v>60</v>
      </c>
      <c r="F777" s="151" t="inlineStr">
        <is>
          <t>grams</t>
        </is>
      </c>
      <c r="G777" s="151" t="inlineStr">
        <is>
          <t>BLAST CHILLER, OVEN</t>
        </is>
      </c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inlineStr">
        <is>
          <t>FA-DE Spice, Black Pepper, Ground /Gewürz, schwarzer Pfeffer, gemahlen</t>
        </is>
      </c>
      <c r="X777" s="151" t="inlineStr">
        <is>
          <t>SPI-00-139334-5</t>
        </is>
      </c>
      <c r="Y777" s="151" t="inlineStr">
        <is>
          <t>0,11</t>
        </is>
      </c>
      <c r="Z777" s="149" t="inlineStr">
        <is>
          <t>0,11</t>
        </is>
      </c>
      <c r="AA777" s="151" t="inlineStr">
        <is>
          <t>grams</t>
        </is>
      </c>
      <c r="AB777" s="151" t="n"/>
      <c r="AC777" s="151" t="n"/>
      <c r="AD777" s="150" t="n">
        <v>0.73551</v>
      </c>
      <c r="AE777" s="149" t="n">
        <v>0.11</v>
      </c>
      <c r="AF777" s="151" t="inlineStr">
        <is>
          <t>grams</t>
        </is>
      </c>
      <c r="AG777" s="151" t="n"/>
      <c r="AH777" s="151" t="n"/>
    </row>
    <row r="778">
      <c r="A778" s="151" t="inlineStr">
        <is>
          <t>FV1145A - Roasted Salmon &amp; Dill Yogurt [DE]</t>
        </is>
      </c>
      <c r="B778" s="151" t="inlineStr">
        <is>
          <t>REC-029971-4-002</t>
        </is>
      </c>
      <c r="C778" s="151" t="inlineStr">
        <is>
          <t>Green Beans CUT 1-1/2 - Fresh - very little salt</t>
        </is>
      </c>
      <c r="D778" s="151" t="inlineStr">
        <is>
          <t>SUB-014171-4-001</t>
        </is>
      </c>
      <c r="E778" s="150" t="n">
        <v>60</v>
      </c>
      <c r="F778" s="151" t="inlineStr">
        <is>
          <t>grams</t>
        </is>
      </c>
      <c r="G778" s="151" t="inlineStr">
        <is>
          <t>BLAST CHILLER, OVEN</t>
        </is>
      </c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inlineStr">
        <is>
          <t>FA-DE Green Beans, Fresh, Cut 40mm /Grüne Bohnen, frisch, geschnitten 40mm</t>
        </is>
      </c>
      <c r="X778" s="151" t="inlineStr">
        <is>
          <t>PHF-00-139199-3</t>
        </is>
      </c>
      <c r="Y778" s="151" t="inlineStr">
        <is>
          <t>76,95</t>
        </is>
      </c>
      <c r="Z778" s="149" t="inlineStr">
        <is>
          <t>76,95</t>
        </is>
      </c>
      <c r="AA778" s="151" t="inlineStr">
        <is>
          <t>grams</t>
        </is>
      </c>
      <c r="AB778" s="151" t="n"/>
      <c r="AC778" s="151" t="n"/>
      <c r="AD778" s="150" t="n">
        <v>0.73551</v>
      </c>
      <c r="AE778" s="149" t="n">
        <v>76.95</v>
      </c>
      <c r="AF778" s="151" t="inlineStr">
        <is>
          <t>grams</t>
        </is>
      </c>
      <c r="AG778" s="151" t="n"/>
      <c r="AH778" s="151" t="n"/>
    </row>
    <row r="779">
      <c r="A779" s="151" t="inlineStr">
        <is>
          <t>FV1145A - Roasted Salmon &amp; Dill Yogurt [DE]</t>
        </is>
      </c>
      <c r="B779" s="151" t="inlineStr">
        <is>
          <t>REC-029971-4-002</t>
        </is>
      </c>
      <c r="C779" s="151" t="inlineStr">
        <is>
          <t>Lemon Dill Yogurt</t>
        </is>
      </c>
      <c r="D779" s="151" t="inlineStr">
        <is>
          <t>SUB-029910-4-001</t>
        </is>
      </c>
      <c r="E779" s="150" t="n">
        <v>35</v>
      </c>
      <c r="F779" s="151" t="inlineStr">
        <is>
          <t>grams</t>
        </is>
      </c>
      <c r="G779" s="151" t="inlineStr">
        <is>
          <t>CUPPING, IMMERSION BLENDER</t>
        </is>
      </c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inlineStr">
        <is>
          <t>FA-DE Yogurt, Greek, Plain /Joghurt, Griechisch, Natur</t>
        </is>
      </c>
      <c r="X779" s="151" t="inlineStr">
        <is>
          <t>DAI-00-139161-3</t>
        </is>
      </c>
      <c r="Y779" s="153" t="inlineStr">
        <is>
          <t>9,27</t>
        </is>
      </c>
      <c r="Z779" s="149" t="inlineStr">
        <is>
          <t>9,27</t>
        </is>
      </c>
      <c r="AA779" s="151" t="inlineStr">
        <is>
          <t>grams</t>
        </is>
      </c>
      <c r="AB779" s="151" t="inlineStr">
        <is>
          <t>MILCH (EINSCHLIESSLICH LAKTOSE)</t>
        </is>
      </c>
      <c r="AC779" s="151" t="n"/>
      <c r="AD779" s="150" t="n">
        <v>0.98005</v>
      </c>
      <c r="AE779" s="149" t="n">
        <v>9.27</v>
      </c>
      <c r="AF779" s="151" t="inlineStr">
        <is>
          <t>grams</t>
        </is>
      </c>
      <c r="AG779" s="151" t="n"/>
      <c r="AH779" s="151" t="n"/>
    </row>
    <row r="780">
      <c r="A780" s="151" t="inlineStr">
        <is>
          <t>FV1145A - Roasted Salmon &amp; Dill Yogurt [DE]</t>
        </is>
      </c>
      <c r="B780" s="151" t="inlineStr">
        <is>
          <t>REC-029971-4-002</t>
        </is>
      </c>
      <c r="C780" s="151" t="inlineStr">
        <is>
          <t>Lemon Dill Yogurt</t>
        </is>
      </c>
      <c r="D780" s="151" t="inlineStr">
        <is>
          <t>SUB-029910-4-001</t>
        </is>
      </c>
      <c r="E780" s="150" t="n">
        <v>35</v>
      </c>
      <c r="F780" s="151" t="inlineStr">
        <is>
          <t>grams</t>
        </is>
      </c>
      <c r="G780" s="151" t="inlineStr">
        <is>
          <t>CUPPING, IMMERSION BLENDER</t>
        </is>
      </c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inlineStr">
        <is>
          <t>FA-DE Sour Cream /Sauerrahm</t>
        </is>
      </c>
      <c r="X780" s="151" t="inlineStr">
        <is>
          <t>DAI-00-139141-3</t>
        </is>
      </c>
      <c r="Y780" s="155" t="inlineStr">
        <is>
          <t>15,07</t>
        </is>
      </c>
      <c r="Z780" s="149" t="inlineStr">
        <is>
          <t>15,07</t>
        </is>
      </c>
      <c r="AA780" s="151" t="inlineStr">
        <is>
          <t>grams</t>
        </is>
      </c>
      <c r="AB780" s="151" t="inlineStr">
        <is>
          <t>MILCH (EINSCHLIESSLICH LAKTOSE)</t>
        </is>
      </c>
      <c r="AC780" s="151" t="n"/>
      <c r="AD780" s="150" t="n">
        <v>0.98005</v>
      </c>
      <c r="AE780" s="149" t="n">
        <v>15.07</v>
      </c>
      <c r="AF780" s="151" t="inlineStr">
        <is>
          <t>grams</t>
        </is>
      </c>
      <c r="AG780" s="151" t="n"/>
      <c r="AH780" s="151" t="n"/>
    </row>
    <row r="781">
      <c r="A781" s="151" t="inlineStr">
        <is>
          <t>FV1145A - Roasted Salmon &amp; Dill Yogurt [DE]</t>
        </is>
      </c>
      <c r="B781" s="151" t="inlineStr">
        <is>
          <t>REC-029971-4-002</t>
        </is>
      </c>
      <c r="C781" s="151" t="inlineStr">
        <is>
          <t>Lemon Dill Yogurt</t>
        </is>
      </c>
      <c r="D781" s="151" t="inlineStr">
        <is>
          <t>SUB-029910-4-001</t>
        </is>
      </c>
      <c r="E781" s="150" t="n">
        <v>35</v>
      </c>
      <c r="F781" s="151" t="inlineStr">
        <is>
          <t>grams</t>
        </is>
      </c>
      <c r="G781" s="151" t="inlineStr">
        <is>
          <t>CUPPING, IMMERSION BLENDER</t>
        </is>
      </c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inlineStr">
        <is>
          <t>FA-DE Spice, Lemon Powder /Gewürz, Zitronenpulver</t>
        </is>
      </c>
      <c r="X781" s="151" t="inlineStr">
        <is>
          <t>SPI-00-139362-5</t>
        </is>
      </c>
      <c r="Y781" s="151" t="inlineStr">
        <is>
          <t>0,01</t>
        </is>
      </c>
      <c r="Z781" s="149" t="inlineStr">
        <is>
          <t>0,01</t>
        </is>
      </c>
      <c r="AA781" s="151" t="inlineStr">
        <is>
          <t>grams</t>
        </is>
      </c>
      <c r="AB781" s="151" t="n"/>
      <c r="AC781" s="151" t="n"/>
      <c r="AD781" s="150" t="n">
        <v>0.98005</v>
      </c>
      <c r="AE781" s="149" t="n">
        <v>0.01</v>
      </c>
      <c r="AF781" s="151" t="inlineStr">
        <is>
          <t>grams</t>
        </is>
      </c>
      <c r="AG781" s="151" t="n"/>
      <c r="AH781" s="151" t="n"/>
    </row>
    <row r="782">
      <c r="A782" s="151" t="inlineStr">
        <is>
          <t>FV1145A - Roasted Salmon &amp; Dill Yogurt [DE]</t>
        </is>
      </c>
      <c r="B782" s="151" t="inlineStr">
        <is>
          <t>REC-029971-4-002</t>
        </is>
      </c>
      <c r="C782" s="151" t="inlineStr">
        <is>
          <t>Lemon Dill Yogurt</t>
        </is>
      </c>
      <c r="D782" s="151" t="inlineStr">
        <is>
          <t>SUB-029910-4-001</t>
        </is>
      </c>
      <c r="E782" s="150" t="n">
        <v>35</v>
      </c>
      <c r="F782" s="151" t="inlineStr">
        <is>
          <t>grams</t>
        </is>
      </c>
      <c r="G782" s="151" t="inlineStr">
        <is>
          <t>CUPPING, IMMERSION BLENDER</t>
        </is>
      </c>
      <c r="H782" s="151" t="inlineStr">
        <is>
          <t>Roasted Garlic (use)</t>
        </is>
      </c>
      <c r="I782" s="151" t="inlineStr">
        <is>
          <t>SUB-013367-4-001</t>
        </is>
      </c>
      <c r="J782" s="150" t="n">
        <v>1.74</v>
      </c>
      <c r="K782" s="151" t="inlineStr">
        <is>
          <t>grams</t>
        </is>
      </c>
      <c r="L782" s="151" t="inlineStr">
        <is>
          <t>BLAST CHILLER, OVEN</t>
        </is>
      </c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inlineStr">
        <is>
          <t>FA-DE Garlic, Peeled, Whole Cloves [10kg] /Knoblauch, geschält, ganze Nelken [10kg]</t>
        </is>
      </c>
      <c r="X782" s="151" t="inlineStr">
        <is>
          <t>PHF-00-139197-3</t>
        </is>
      </c>
      <c r="Y782" s="151" t="inlineStr">
        <is>
          <t>1,75</t>
        </is>
      </c>
      <c r="Z782" s="149" t="inlineStr">
        <is>
          <t>1,75</t>
        </is>
      </c>
      <c r="AA782" s="151" t="inlineStr">
        <is>
          <t>grams</t>
        </is>
      </c>
      <c r="AB782" s="151" t="n"/>
      <c r="AC782" s="151" t="n"/>
      <c r="AD782" s="150" t="n">
        <v>0.56691</v>
      </c>
      <c r="AE782" s="149" t="n">
        <v>1.75</v>
      </c>
      <c r="AF782" s="151" t="inlineStr">
        <is>
          <t>grams</t>
        </is>
      </c>
      <c r="AG782" s="151" t="n"/>
      <c r="AH782" s="151" t="n"/>
    </row>
    <row r="783">
      <c r="A783" s="151" t="inlineStr">
        <is>
          <t>FV1145A - Roasted Salmon &amp; Dill Yogurt [DE]</t>
        </is>
      </c>
      <c r="B783" s="151" t="inlineStr">
        <is>
          <t>REC-029971-4-002</t>
        </is>
      </c>
      <c r="C783" s="151" t="inlineStr">
        <is>
          <t>Lemon Dill Yogurt</t>
        </is>
      </c>
      <c r="D783" s="151" t="inlineStr">
        <is>
          <t>SUB-029910-4-001</t>
        </is>
      </c>
      <c r="E783" s="150" t="n">
        <v>35</v>
      </c>
      <c r="F783" s="151" t="inlineStr">
        <is>
          <t>grams</t>
        </is>
      </c>
      <c r="G783" s="151" t="inlineStr">
        <is>
          <t>CUPPING, IMMERSION BLENDER</t>
        </is>
      </c>
      <c r="H783" s="151" t="inlineStr">
        <is>
          <t>Roasted Garlic (use)</t>
        </is>
      </c>
      <c r="I783" s="151" t="inlineStr">
        <is>
          <t>SUB-013367-4-001</t>
        </is>
      </c>
      <c r="J783" s="150" t="n">
        <v>1.74</v>
      </c>
      <c r="K783" s="151" t="inlineStr">
        <is>
          <t>grams</t>
        </is>
      </c>
      <c r="L783" s="151" t="inlineStr">
        <is>
          <t>BLAST CHILLER, OVEN</t>
        </is>
      </c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inlineStr">
        <is>
          <t>FA-DE Oil, Olive /Öl, Olivenöl</t>
        </is>
      </c>
      <c r="X783" s="151" t="inlineStr">
        <is>
          <t>PRO-00-139277-5</t>
        </is>
      </c>
      <c r="Y783" s="153" t="inlineStr">
        <is>
          <t>1,31</t>
        </is>
      </c>
      <c r="Z783" s="149" t="inlineStr">
        <is>
          <t>1,31</t>
        </is>
      </c>
      <c r="AA783" s="151" t="inlineStr">
        <is>
          <t>grams</t>
        </is>
      </c>
      <c r="AB783" s="151" t="n"/>
      <c r="AC783" s="151" t="n"/>
      <c r="AD783" s="150" t="n">
        <v>0.56691</v>
      </c>
      <c r="AE783" s="149" t="n">
        <v>1.31</v>
      </c>
      <c r="AF783" s="151" t="inlineStr">
        <is>
          <t>grams</t>
        </is>
      </c>
      <c r="AG783" s="151" t="n"/>
      <c r="AH783" s="151" t="n"/>
    </row>
    <row r="784">
      <c r="A784" s="151" t="inlineStr">
        <is>
          <t>FV1145A - Roasted Salmon &amp; Dill Yogurt [DE]</t>
        </is>
      </c>
      <c r="B784" s="151" t="inlineStr">
        <is>
          <t>REC-029971-4-002</t>
        </is>
      </c>
      <c r="C784" s="151" t="inlineStr">
        <is>
          <t>Lemon Dill Yogurt</t>
        </is>
      </c>
      <c r="D784" s="151" t="inlineStr">
        <is>
          <t>SUB-029910-4-001</t>
        </is>
      </c>
      <c r="E784" s="150" t="n">
        <v>35</v>
      </c>
      <c r="F784" s="151" t="inlineStr">
        <is>
          <t>grams</t>
        </is>
      </c>
      <c r="G784" s="151" t="inlineStr">
        <is>
          <t>CUPPING, IMMERSION BLENDER</t>
        </is>
      </c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inlineStr">
        <is>
          <t>FA-DE Spice, Black Pepper, Ground /Gewürz, schwarzer Pfeffer, gemahlen</t>
        </is>
      </c>
      <c r="X784" s="151" t="inlineStr">
        <is>
          <t>SPI-00-139334-5</t>
        </is>
      </c>
      <c r="Y784" s="151" t="inlineStr">
        <is>
          <t>0,1</t>
        </is>
      </c>
      <c r="Z784" s="149" t="inlineStr">
        <is>
          <t>0,1</t>
        </is>
      </c>
      <c r="AA784" s="151" t="inlineStr">
        <is>
          <t>grams</t>
        </is>
      </c>
      <c r="AB784" s="151" t="n"/>
      <c r="AC784" s="151" t="n"/>
      <c r="AD784" s="150" t="n">
        <v>0.98005</v>
      </c>
      <c r="AE784" s="149" t="n">
        <v>0.1</v>
      </c>
      <c r="AF784" s="151" t="inlineStr">
        <is>
          <t>grams</t>
        </is>
      </c>
      <c r="AG784" s="151" t="n"/>
      <c r="AH784" s="151" t="n"/>
    </row>
    <row r="785">
      <c r="A785" s="151" t="inlineStr">
        <is>
          <t>FV1145A - Roasted Salmon &amp; Dill Yogurt [DE]</t>
        </is>
      </c>
      <c r="B785" s="151" t="inlineStr">
        <is>
          <t>REC-029971-4-002</t>
        </is>
      </c>
      <c r="C785" s="151" t="inlineStr">
        <is>
          <t>Lemon Dill Yogurt</t>
        </is>
      </c>
      <c r="D785" s="151" t="inlineStr">
        <is>
          <t>SUB-029910-4-001</t>
        </is>
      </c>
      <c r="E785" s="150" t="n">
        <v>35</v>
      </c>
      <c r="F785" s="151" t="inlineStr">
        <is>
          <t>grams</t>
        </is>
      </c>
      <c r="G785" s="151" t="inlineStr">
        <is>
          <t>CUPPING, IMMERSION BLENDER</t>
        </is>
      </c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inlineStr">
        <is>
          <t>FA-DE Milk, Whole /Milch, voll</t>
        </is>
      </c>
      <c r="X785" s="151" t="inlineStr">
        <is>
          <t>DAI-00-139142-3</t>
        </is>
      </c>
      <c r="Y785" s="151" t="inlineStr">
        <is>
          <t>7,53</t>
        </is>
      </c>
      <c r="Z785" s="149" t="inlineStr">
        <is>
          <t>7,53</t>
        </is>
      </c>
      <c r="AA785" s="151" t="inlineStr">
        <is>
          <t>grams</t>
        </is>
      </c>
      <c r="AB785" s="151" t="inlineStr">
        <is>
          <t>MILCH (EINSCHLIESSLICH LAKTOSE)</t>
        </is>
      </c>
      <c r="AC785" s="151" t="n"/>
      <c r="AD785" s="150" t="n">
        <v>0.98005</v>
      </c>
      <c r="AE785" s="149" t="n">
        <v>7.53</v>
      </c>
      <c r="AF785" s="151" t="inlineStr">
        <is>
          <t>grams</t>
        </is>
      </c>
      <c r="AG785" s="151" t="n"/>
      <c r="AH785" s="151" t="n"/>
    </row>
    <row r="786">
      <c r="A786" s="151" t="inlineStr">
        <is>
          <t>FV1145A - Roasted Salmon &amp; Dill Yogurt [DE]</t>
        </is>
      </c>
      <c r="B786" s="151" t="inlineStr">
        <is>
          <t>REC-029971-4-002</t>
        </is>
      </c>
      <c r="C786" s="151" t="inlineStr">
        <is>
          <t>Lemon Dill Yogurt</t>
        </is>
      </c>
      <c r="D786" s="151" t="inlineStr">
        <is>
          <t>SUB-029910-4-001</t>
        </is>
      </c>
      <c r="E786" s="150" t="n">
        <v>35</v>
      </c>
      <c r="F786" s="151" t="inlineStr">
        <is>
          <t>grams</t>
        </is>
      </c>
      <c r="G786" s="151" t="inlineStr">
        <is>
          <t>CUPPING, IMMERSION BLENDER</t>
        </is>
      </c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inlineStr">
        <is>
          <t>FA-DE Juice, Lemon /Saft, Zitrone</t>
        </is>
      </c>
      <c r="X786" s="151" t="inlineStr">
        <is>
          <t>PRO-00-139265-5</t>
        </is>
      </c>
      <c r="Y786" s="151" t="inlineStr">
        <is>
          <t>1,39</t>
        </is>
      </c>
      <c r="Z786" s="149" t="inlineStr">
        <is>
          <t>1,39</t>
        </is>
      </c>
      <c r="AA786" s="151" t="inlineStr">
        <is>
          <t>grams</t>
        </is>
      </c>
      <c r="AB786" s="151" t="n"/>
      <c r="AC786" s="151" t="n"/>
      <c r="AD786" s="150" t="n">
        <v>0.98005</v>
      </c>
      <c r="AE786" s="149" t="n">
        <v>1.39</v>
      </c>
      <c r="AF786" s="151" t="inlineStr">
        <is>
          <t>grams</t>
        </is>
      </c>
      <c r="AG786" s="151" t="n"/>
      <c r="AH786" s="151" t="n"/>
    </row>
    <row r="787">
      <c r="A787" s="151" t="inlineStr">
        <is>
          <t>FV1145A - Roasted Salmon &amp; Dill Yogurt [DE]</t>
        </is>
      </c>
      <c r="B787" s="151" t="inlineStr">
        <is>
          <t>REC-029971-4-002</t>
        </is>
      </c>
      <c r="C787" s="151" t="inlineStr">
        <is>
          <t>Lemon Dill Yogurt</t>
        </is>
      </c>
      <c r="D787" s="151" t="inlineStr">
        <is>
          <t>SUB-029910-4-001</t>
        </is>
      </c>
      <c r="E787" s="150" t="n">
        <v>35</v>
      </c>
      <c r="F787" s="151" t="inlineStr">
        <is>
          <t>grams</t>
        </is>
      </c>
      <c r="G787" s="151" t="inlineStr">
        <is>
          <t>CUPPING, IMMERSION BLENDER</t>
        </is>
      </c>
      <c r="H787" s="151" t="inlineStr">
        <is>
          <t>Picked Dill Leaves</t>
        </is>
      </c>
      <c r="I787" s="151" t="inlineStr">
        <is>
          <t>SUB-029918-4-001</t>
        </is>
      </c>
      <c r="J787" s="150" t="n">
        <v>0.6</v>
      </c>
      <c r="K787" s="151" t="inlineStr">
        <is>
          <t>grams</t>
        </is>
      </c>
      <c r="L787" s="151" t="inlineStr">
        <is>
          <t>DEBOX, STAGING</t>
        </is>
      </c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inlineStr">
        <is>
          <t>FA-DE Dill, Fresh/Dill, frisch</t>
        </is>
      </c>
      <c r="X787" s="151" t="inlineStr">
        <is>
          <t>PHF-00-139200-3</t>
        </is>
      </c>
      <c r="Y787" s="153" t="inlineStr">
        <is>
          <t>1,21</t>
        </is>
      </c>
      <c r="Z787" s="149" t="inlineStr">
        <is>
          <t>0,6</t>
        </is>
      </c>
      <c r="AA787" s="151" t="inlineStr">
        <is>
          <t>grams</t>
        </is>
      </c>
      <c r="AB787" s="151" t="n"/>
      <c r="AC787" s="151" t="n"/>
      <c r="AD787" s="150" t="n">
        <v>1</v>
      </c>
      <c r="AE787" s="149" t="n">
        <v>0.6</v>
      </c>
      <c r="AF787" s="151" t="inlineStr">
        <is>
          <t>grams</t>
        </is>
      </c>
      <c r="AG787" s="151" t="n"/>
      <c r="AH787" s="151" t="n"/>
    </row>
    <row r="788">
      <c r="A788" s="151" t="inlineStr">
        <is>
          <t>FV1145A - Roasted Salmon &amp; Dill Yogurt [DKSE]</t>
        </is>
      </c>
      <c r="B788" s="151" t="inlineStr">
        <is>
          <t>REC-029971-4-001</t>
        </is>
      </c>
      <c r="C788" s="151" t="inlineStr">
        <is>
          <t>Italian Roasted Diced Potatoes</t>
        </is>
      </c>
      <c r="D788" s="151" t="inlineStr">
        <is>
          <t>SUB-029885-4-001</t>
        </is>
      </c>
      <c r="E788" s="150" t="n">
        <v>100</v>
      </c>
      <c r="F788" s="151" t="inlineStr">
        <is>
          <t>grams</t>
        </is>
      </c>
      <c r="G788" s="151" t="inlineStr">
        <is>
          <t>BLAST CHILLER, OVEN</t>
        </is>
      </c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inlineStr">
        <is>
          <t>FA-DE Potatoes, Diced 10mm /Kartoffeln, gewürfelt, 10 mm</t>
        </is>
      </c>
      <c r="X788" s="151" t="inlineStr">
        <is>
          <t>PHF-00-139219-3</t>
        </is>
      </c>
      <c r="Y788" s="151" t="inlineStr">
        <is>
          <t>131,4</t>
        </is>
      </c>
      <c r="Z788" s="149" t="inlineStr">
        <is>
          <t>131,4</t>
        </is>
      </c>
      <c r="AA788" s="151" t="inlineStr">
        <is>
          <t>grams</t>
        </is>
      </c>
      <c r="AB788" s="151" t="n"/>
      <c r="AC788" s="151" t="n"/>
      <c r="AD788" s="150" t="n">
        <v>0.7037099999999999</v>
      </c>
      <c r="AE788" s="149" t="n">
        <v>131.4</v>
      </c>
      <c r="AF788" s="151" t="inlineStr">
        <is>
          <t>grams</t>
        </is>
      </c>
      <c r="AG788" s="151" t="n"/>
      <c r="AH788" s="151" t="n"/>
    </row>
    <row r="789">
      <c r="A789" s="151" t="inlineStr">
        <is>
          <t>FV1145A - Roasted Salmon &amp; Dill Yogurt [DKSE]</t>
        </is>
      </c>
      <c r="B789" s="151" t="inlineStr">
        <is>
          <t>REC-029971-4-001</t>
        </is>
      </c>
      <c r="C789" s="151" t="inlineStr">
        <is>
          <t>Italian Roasted Diced Potatoes</t>
        </is>
      </c>
      <c r="D789" s="151" t="inlineStr">
        <is>
          <t>SUB-029885-4-001</t>
        </is>
      </c>
      <c r="E789" s="150" t="n">
        <v>100</v>
      </c>
      <c r="F789" s="151" t="inlineStr">
        <is>
          <t>grams</t>
        </is>
      </c>
      <c r="G789" s="151" t="inlineStr">
        <is>
          <t>BLAST CHILLER, OVEN</t>
        </is>
      </c>
      <c r="H789" s="151" t="inlineStr">
        <is>
          <t>Roasted Garlic (use)</t>
        </is>
      </c>
      <c r="I789" s="151" t="inlineStr">
        <is>
          <t>SUB-013367-4-001</t>
        </is>
      </c>
      <c r="J789" s="150" t="n">
        <v>5.79</v>
      </c>
      <c r="K789" s="151" t="inlineStr">
        <is>
          <t>grams</t>
        </is>
      </c>
      <c r="L789" s="151" t="inlineStr">
        <is>
          <t>BLAST CHILLER, OVEN</t>
        </is>
      </c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inlineStr">
        <is>
          <t>FA-DE Garlic, Peeled, Whole Cloves [10kg] /Knoblauch, geschält, ganze Nelken [10kg]</t>
        </is>
      </c>
      <c r="X789" s="151" t="inlineStr">
        <is>
          <t>PHF-00-139197-3</t>
        </is>
      </c>
      <c r="Y789" s="151" t="inlineStr">
        <is>
          <t>5,84</t>
        </is>
      </c>
      <c r="Z789" s="149" t="inlineStr">
        <is>
          <t>5,84</t>
        </is>
      </c>
      <c r="AA789" s="151" t="inlineStr">
        <is>
          <t>grams</t>
        </is>
      </c>
      <c r="AB789" s="151" t="n"/>
      <c r="AC789" s="151" t="n"/>
      <c r="AD789" s="150" t="n">
        <v>0.56691</v>
      </c>
      <c r="AE789" s="149" t="n">
        <v>5.84</v>
      </c>
      <c r="AF789" s="151" t="inlineStr">
        <is>
          <t>grams</t>
        </is>
      </c>
      <c r="AG789" s="151" t="n"/>
      <c r="AH789" s="151" t="n"/>
    </row>
    <row r="790">
      <c r="A790" s="151" t="inlineStr">
        <is>
          <t>FV1145A - Roasted Salmon &amp; Dill Yogurt [DKSE]</t>
        </is>
      </c>
      <c r="B790" s="151" t="inlineStr">
        <is>
          <t>REC-029971-4-001</t>
        </is>
      </c>
      <c r="C790" s="151" t="inlineStr">
        <is>
          <t>Italian Roasted Diced Potatoes</t>
        </is>
      </c>
      <c r="D790" s="151" t="inlineStr">
        <is>
          <t>SUB-029885-4-001</t>
        </is>
      </c>
      <c r="E790" s="150" t="n">
        <v>100</v>
      </c>
      <c r="F790" s="151" t="inlineStr">
        <is>
          <t>grams</t>
        </is>
      </c>
      <c r="G790" s="151" t="inlineStr">
        <is>
          <t>BLAST CHILLER, OVEN</t>
        </is>
      </c>
      <c r="H790" s="151" t="inlineStr">
        <is>
          <t>Roasted Garlic (use)</t>
        </is>
      </c>
      <c r="I790" s="151" t="inlineStr">
        <is>
          <t>SUB-013367-4-001</t>
        </is>
      </c>
      <c r="J790" s="150" t="n">
        <v>5.79</v>
      </c>
      <c r="K790" s="151" t="inlineStr">
        <is>
          <t>grams</t>
        </is>
      </c>
      <c r="L790" s="151" t="inlineStr">
        <is>
          <t>BLAST CHILLER, OVEN</t>
        </is>
      </c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inlineStr">
        <is>
          <t>FA-DE Oil, Olive /Öl, Olivenöl</t>
        </is>
      </c>
      <c r="X790" s="151" t="inlineStr">
        <is>
          <t>PRO-00-139277-5</t>
        </is>
      </c>
      <c r="Y790" s="151" t="inlineStr">
        <is>
          <t>4,38</t>
        </is>
      </c>
      <c r="Z790" s="149" t="inlineStr">
        <is>
          <t>4,38</t>
        </is>
      </c>
      <c r="AA790" s="151" t="inlineStr">
        <is>
          <t>grams</t>
        </is>
      </c>
      <c r="AB790" s="151" t="n"/>
      <c r="AC790" s="151" t="n"/>
      <c r="AD790" s="150" t="n">
        <v>0.56691</v>
      </c>
      <c r="AE790" s="149" t="n">
        <v>4.38</v>
      </c>
      <c r="AF790" s="151" t="inlineStr">
        <is>
          <t>grams</t>
        </is>
      </c>
      <c r="AG790" s="151" t="n"/>
      <c r="AH790" s="151" t="n"/>
    </row>
    <row r="791">
      <c r="A791" s="151" t="inlineStr">
        <is>
          <t>FV1145A - Roasted Salmon &amp; Dill Yogurt [DKSE]</t>
        </is>
      </c>
      <c r="B791" s="151" t="inlineStr">
        <is>
          <t>REC-029971-4-001</t>
        </is>
      </c>
      <c r="C791" s="151" t="inlineStr">
        <is>
          <t>Italian Roasted Diced Potatoes</t>
        </is>
      </c>
      <c r="D791" s="151" t="inlineStr">
        <is>
          <t>SUB-029885-4-001</t>
        </is>
      </c>
      <c r="E791" s="150" t="n">
        <v>100</v>
      </c>
      <c r="F791" s="151" t="inlineStr">
        <is>
          <t>grams</t>
        </is>
      </c>
      <c r="G791" s="151" t="inlineStr">
        <is>
          <t>BLAST CHILLER, OVEN</t>
        </is>
      </c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inlineStr">
        <is>
          <t>FA-DE Oil, Olive /Öl, Olivenöl</t>
        </is>
      </c>
      <c r="X791" s="151" t="inlineStr">
        <is>
          <t>PRO-00-139277-5</t>
        </is>
      </c>
      <c r="Y791" s="151" t="inlineStr">
        <is>
          <t>2,93</t>
        </is>
      </c>
      <c r="Z791" s="149" t="inlineStr">
        <is>
          <t>2,93</t>
        </is>
      </c>
      <c r="AA791" s="151" t="inlineStr">
        <is>
          <t>grams</t>
        </is>
      </c>
      <c r="AB791" s="151" t="n"/>
      <c r="AC791" s="151" t="n"/>
      <c r="AD791" s="150" t="n">
        <v>0.7037099999999999</v>
      </c>
      <c r="AE791" s="149" t="n">
        <v>2.93</v>
      </c>
      <c r="AF791" s="151" t="inlineStr">
        <is>
          <t>grams</t>
        </is>
      </c>
      <c r="AG791" s="151" t="n"/>
      <c r="AH791" s="151" t="n"/>
    </row>
    <row r="792">
      <c r="A792" s="151" t="inlineStr">
        <is>
          <t>FV1145A - Roasted Salmon &amp; Dill Yogurt [DKSE]</t>
        </is>
      </c>
      <c r="B792" s="151" t="inlineStr">
        <is>
          <t>REC-029971-4-001</t>
        </is>
      </c>
      <c r="C792" s="151" t="inlineStr">
        <is>
          <t>Italian Roasted Diced Potatoes</t>
        </is>
      </c>
      <c r="D792" s="151" t="inlineStr">
        <is>
          <t>SUB-029885-4-001</t>
        </is>
      </c>
      <c r="E792" s="150" t="n">
        <v>100</v>
      </c>
      <c r="F792" s="151" t="inlineStr">
        <is>
          <t>grams</t>
        </is>
      </c>
      <c r="G792" s="151" t="inlineStr">
        <is>
          <t>BLAST CHILLER, OVEN</t>
        </is>
      </c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inlineStr">
        <is>
          <t>FA-DE Spice, Sea Salt /Gewürze, Meersalz</t>
        </is>
      </c>
      <c r="X792" s="151" t="inlineStr">
        <is>
          <t>SPI-00-139378-5</t>
        </is>
      </c>
      <c r="Y792" s="151" t="inlineStr">
        <is>
          <t>0,67</t>
        </is>
      </c>
      <c r="Z792" s="149" t="inlineStr">
        <is>
          <t>0,67</t>
        </is>
      </c>
      <c r="AA792" s="151" t="inlineStr">
        <is>
          <t>grams</t>
        </is>
      </c>
      <c r="AB792" s="151" t="n"/>
      <c r="AC792" s="151" t="n"/>
      <c r="AD792" s="150" t="n">
        <v>0.7037099999999999</v>
      </c>
      <c r="AE792" s="149" t="n">
        <v>0.67</v>
      </c>
      <c r="AF792" s="151" t="inlineStr">
        <is>
          <t>grams</t>
        </is>
      </c>
      <c r="AG792" s="151" t="n"/>
      <c r="AH792" s="151" t="n"/>
    </row>
    <row r="793">
      <c r="A793" s="151" t="inlineStr">
        <is>
          <t>FV1145A - Roasted Salmon &amp; Dill Yogurt [DKSE]</t>
        </is>
      </c>
      <c r="B793" s="151" t="inlineStr">
        <is>
          <t>REC-029971-4-001</t>
        </is>
      </c>
      <c r="C793" s="151" t="inlineStr">
        <is>
          <t>Italian Roasted Diced Potatoes</t>
        </is>
      </c>
      <c r="D793" s="151" t="inlineStr">
        <is>
          <t>SUB-029885-4-001</t>
        </is>
      </c>
      <c r="E793" s="150" t="n">
        <v>100</v>
      </c>
      <c r="F793" s="151" t="inlineStr">
        <is>
          <t>grams</t>
        </is>
      </c>
      <c r="G793" s="151" t="inlineStr">
        <is>
          <t>BLAST CHILLER, OVEN</t>
        </is>
      </c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inlineStr">
        <is>
          <t>FA-DE Spice, Parsley Dried /Gewürze, getrocknete Petersilie</t>
        </is>
      </c>
      <c r="X793" s="151" t="inlineStr">
        <is>
          <t>SPI-00-139374-5</t>
        </is>
      </c>
      <c r="Y793" s="151" t="inlineStr">
        <is>
          <t>0,47</t>
        </is>
      </c>
      <c r="Z793" s="149" t="inlineStr">
        <is>
          <t>0,47</t>
        </is>
      </c>
      <c r="AA793" s="151" t="inlineStr">
        <is>
          <t>grams</t>
        </is>
      </c>
      <c r="AB793" s="151" t="n"/>
      <c r="AC793" s="151" t="n"/>
      <c r="AD793" s="150" t="n">
        <v>0.7037099999999999</v>
      </c>
      <c r="AE793" s="149" t="n">
        <v>0.47</v>
      </c>
      <c r="AF793" s="151" t="inlineStr">
        <is>
          <t>grams</t>
        </is>
      </c>
      <c r="AG793" s="151" t="n"/>
      <c r="AH793" s="151" t="n"/>
    </row>
    <row r="794">
      <c r="A794" s="151" t="inlineStr">
        <is>
          <t>FV1145A - Roasted Salmon &amp; Dill Yogurt [DKSE]</t>
        </is>
      </c>
      <c r="B794" s="151" t="inlineStr">
        <is>
          <t>REC-029971-4-001</t>
        </is>
      </c>
      <c r="C794" s="151" t="inlineStr">
        <is>
          <t>Italian Roasted Diced Potatoes</t>
        </is>
      </c>
      <c r="D794" s="151" t="inlineStr">
        <is>
          <t>SUB-029885-4-001</t>
        </is>
      </c>
      <c r="E794" s="150" t="n">
        <v>100</v>
      </c>
      <c r="F794" s="151" t="inlineStr">
        <is>
          <t>grams</t>
        </is>
      </c>
      <c r="G794" s="151" t="inlineStr">
        <is>
          <t>BLAST CHILLER, OVEN</t>
        </is>
      </c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inlineStr">
        <is>
          <t>FA-DE Spice, Dried Onion Flakes /Gewürze, getrocknete Zwiebelflocken</t>
        </is>
      </c>
      <c r="X794" s="151" t="inlineStr">
        <is>
          <t>SPI-00-139348-5</t>
        </is>
      </c>
      <c r="Y794" s="151" t="inlineStr">
        <is>
          <t>0,66</t>
        </is>
      </c>
      <c r="Z794" s="149" t="inlineStr">
        <is>
          <t>0,66</t>
        </is>
      </c>
      <c r="AA794" s="151" t="inlineStr">
        <is>
          <t>grams</t>
        </is>
      </c>
      <c r="AB794" s="151" t="n"/>
      <c r="AC794" s="151" t="n"/>
      <c r="AD794" s="150" t="n">
        <v>0.7037099999999999</v>
      </c>
      <c r="AE794" s="149" t="n">
        <v>0.66</v>
      </c>
      <c r="AF794" s="151" t="inlineStr">
        <is>
          <t>grams</t>
        </is>
      </c>
      <c r="AG794" s="151" t="n"/>
      <c r="AH794" s="151" t="n"/>
    </row>
    <row r="795">
      <c r="A795" s="151" t="inlineStr">
        <is>
          <t>FV1145A - Roasted Salmon &amp; Dill Yogurt [DKSE]</t>
        </is>
      </c>
      <c r="B795" s="151" t="inlineStr">
        <is>
          <t>REC-029971-4-001</t>
        </is>
      </c>
      <c r="C795" s="151" t="inlineStr">
        <is>
          <t>Italian Roasted Diced Potatoes</t>
        </is>
      </c>
      <c r="D795" s="151" t="inlineStr">
        <is>
          <t>SUB-029885-4-001</t>
        </is>
      </c>
      <c r="E795" s="150" t="n">
        <v>100</v>
      </c>
      <c r="F795" s="151" t="inlineStr">
        <is>
          <t>grams</t>
        </is>
      </c>
      <c r="G795" s="151" t="inlineStr">
        <is>
          <t>BLAST CHILLER, OVEN</t>
        </is>
      </c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inlineStr">
        <is>
          <t>FA-DE Spice, Oregano Dry /Gewürz, Oregano trocken</t>
        </is>
      </c>
      <c r="X795" s="151" t="inlineStr">
        <is>
          <t>SPI-00-139372-5</t>
        </is>
      </c>
      <c r="Y795" s="151" t="inlineStr">
        <is>
          <t>0,18</t>
        </is>
      </c>
      <c r="Z795" s="149" t="inlineStr">
        <is>
          <t>0,18</t>
        </is>
      </c>
      <c r="AA795" s="151" t="inlineStr">
        <is>
          <t>grams</t>
        </is>
      </c>
      <c r="AB795" s="151" t="n"/>
      <c r="AC795" s="151" t="n"/>
      <c r="AD795" s="150" t="n">
        <v>0.7037099999999999</v>
      </c>
      <c r="AE795" s="149" t="n">
        <v>0.18</v>
      </c>
      <c r="AF795" s="151" t="inlineStr">
        <is>
          <t>grams</t>
        </is>
      </c>
      <c r="AG795" s="151" t="n"/>
      <c r="AH795" s="151" t="n"/>
    </row>
    <row r="796">
      <c r="A796" s="151" t="inlineStr">
        <is>
          <t>FV1145A - Roasted Salmon &amp; Dill Yogurt [DKSE]</t>
        </is>
      </c>
      <c r="B796" s="151" t="inlineStr">
        <is>
          <t>REC-029971-4-001</t>
        </is>
      </c>
      <c r="C796" s="151" t="inlineStr">
        <is>
          <t>Cooked 10mm diced Spanish Onions</t>
        </is>
      </c>
      <c r="D796" s="151" t="inlineStr">
        <is>
          <t>SUB-029899-4-001</t>
        </is>
      </c>
      <c r="E796" s="150" t="n">
        <v>30</v>
      </c>
      <c r="F796" s="151" t="inlineStr">
        <is>
          <t>grams</t>
        </is>
      </c>
      <c r="G796" s="151" t="inlineStr">
        <is>
          <t>BLAST CHILLER, OVEN</t>
        </is>
      </c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inlineStr">
        <is>
          <t>FA-DE Onion, Spanish, Diced 10mm /Zwiebel, Spanisch, gewürfelt 10 mm</t>
        </is>
      </c>
      <c r="X796" s="151" t="inlineStr">
        <is>
          <t>PHF-00-139209-3</t>
        </is>
      </c>
      <c r="Y796" s="151" t="inlineStr">
        <is>
          <t>37,87</t>
        </is>
      </c>
      <c r="Z796" s="149" t="inlineStr">
        <is>
          <t>37,87</t>
        </is>
      </c>
      <c r="AA796" s="151" t="inlineStr">
        <is>
          <t>grams</t>
        </is>
      </c>
      <c r="AB796" s="151" t="n"/>
      <c r="AC796" s="151" t="n"/>
      <c r="AD796" s="150" t="n">
        <v>0.7566000000000001</v>
      </c>
      <c r="AE796" s="149" t="n">
        <v>37.87</v>
      </c>
      <c r="AF796" s="151" t="inlineStr">
        <is>
          <t>grams</t>
        </is>
      </c>
      <c r="AG796" s="151" t="n"/>
      <c r="AH796" s="151" t="n"/>
    </row>
    <row r="797">
      <c r="A797" s="151" t="inlineStr">
        <is>
          <t>FV1145A - Roasted Salmon &amp; Dill Yogurt [DKSE]</t>
        </is>
      </c>
      <c r="B797" s="151" t="inlineStr">
        <is>
          <t>REC-029971-4-001</t>
        </is>
      </c>
      <c r="C797" s="151" t="inlineStr">
        <is>
          <t>Cooked 10mm diced Spanish Onions</t>
        </is>
      </c>
      <c r="D797" s="151" t="inlineStr">
        <is>
          <t>SUB-029899-4-001</t>
        </is>
      </c>
      <c r="E797" s="150" t="n">
        <v>30</v>
      </c>
      <c r="F797" s="151" t="inlineStr">
        <is>
          <t>grams</t>
        </is>
      </c>
      <c r="G797" s="151" t="inlineStr">
        <is>
          <t>BLAST CHILLER, OVEN</t>
        </is>
      </c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inlineStr">
        <is>
          <t>FA-DE Oil, Olive /Öl, Olivenöl</t>
        </is>
      </c>
      <c r="X797" s="151" t="inlineStr">
        <is>
          <t>PRO-00-139277-5</t>
        </is>
      </c>
      <c r="Y797" s="151" t="inlineStr">
        <is>
          <t>1,71</t>
        </is>
      </c>
      <c r="Z797" s="149" t="inlineStr">
        <is>
          <t>1,71</t>
        </is>
      </c>
      <c r="AA797" s="151" t="inlineStr">
        <is>
          <t>grams</t>
        </is>
      </c>
      <c r="AB797" s="151" t="n"/>
      <c r="AC797" s="151" t="n"/>
      <c r="AD797" s="150" t="n">
        <v>0.7566000000000001</v>
      </c>
      <c r="AE797" s="149" t="n">
        <v>1.71</v>
      </c>
      <c r="AF797" s="151" t="inlineStr">
        <is>
          <t>grams</t>
        </is>
      </c>
      <c r="AG797" s="151" t="n"/>
      <c r="AH797" s="151" t="n"/>
    </row>
    <row r="798">
      <c r="A798" s="151" t="inlineStr">
        <is>
          <t>FV1145A - Roasted Salmon &amp; Dill Yogurt [DKSE]</t>
        </is>
      </c>
      <c r="B798" s="151" t="inlineStr">
        <is>
          <t>REC-029971-4-001</t>
        </is>
      </c>
      <c r="C798" s="151" t="inlineStr">
        <is>
          <t>Cooked 10mm diced Spanish Onions</t>
        </is>
      </c>
      <c r="D798" s="151" t="inlineStr">
        <is>
          <t>SUB-029899-4-001</t>
        </is>
      </c>
      <c r="E798" s="150" t="n">
        <v>30</v>
      </c>
      <c r="F798" s="151" t="inlineStr">
        <is>
          <t>grams</t>
        </is>
      </c>
      <c r="G798" s="151" t="inlineStr">
        <is>
          <t>BLAST CHILLER, OVEN</t>
        </is>
      </c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inlineStr">
        <is>
          <t>FA-DE Spice, Sea Salt /Gewürze, Meersalz</t>
        </is>
      </c>
      <c r="X798" s="151" t="inlineStr">
        <is>
          <t>SPI-00-139378-5</t>
        </is>
      </c>
      <c r="Y798" s="151" t="inlineStr">
        <is>
          <t>0,07</t>
        </is>
      </c>
      <c r="Z798" s="149" t="inlineStr">
        <is>
          <t>0,07</t>
        </is>
      </c>
      <c r="AA798" s="151" t="inlineStr">
        <is>
          <t>grams</t>
        </is>
      </c>
      <c r="AB798" s="151" t="n"/>
      <c r="AC798" s="151" t="n"/>
      <c r="AD798" s="150" t="n">
        <v>0.7566000000000001</v>
      </c>
      <c r="AE798" s="149" t="n">
        <v>0.07000000000000001</v>
      </c>
      <c r="AF798" s="151" t="inlineStr">
        <is>
          <t>grams</t>
        </is>
      </c>
      <c r="AG798" s="151" t="n"/>
      <c r="AH798" s="151" t="n"/>
    </row>
    <row r="799">
      <c r="A799" s="151" t="inlineStr">
        <is>
          <t>FV1145A - Roasted Salmon &amp; Dill Yogurt [DKSE]</t>
        </is>
      </c>
      <c r="B799" s="151" t="inlineStr">
        <is>
          <t>REC-029971-4-001</t>
        </is>
      </c>
      <c r="C799" s="151" t="inlineStr">
        <is>
          <t>Moroccan Salmon Batch</t>
        </is>
      </c>
      <c r="D799" s="151" t="inlineStr">
        <is>
          <t>SUB-029902-4-001</t>
        </is>
      </c>
      <c r="E799" s="150" t="n">
        <v>1</v>
      </c>
      <c r="F799" s="151" t="inlineStr">
        <is>
          <t>each</t>
        </is>
      </c>
      <c r="G799" s="151" t="inlineStr">
        <is>
          <t>BLAST CHILLER, HAND MARINADE, OVEN, THAW</t>
        </is>
      </c>
      <c r="H799" s="151" t="inlineStr">
        <is>
          <t>Moroccan Salmon Marinade</t>
        </is>
      </c>
      <c r="I799" s="151" t="inlineStr">
        <is>
          <t>SUB-029903-4-001</t>
        </is>
      </c>
      <c r="J799" s="150" t="n">
        <v>9.92</v>
      </c>
      <c r="K799" s="151" t="inlineStr">
        <is>
          <t>grams</t>
        </is>
      </c>
      <c r="L799" s="151" t="inlineStr">
        <is>
          <t>IMMERSION BLENDER</t>
        </is>
      </c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inlineStr">
        <is>
          <t>FA-DE Oil, Olive /Öl, Olivenöl</t>
        </is>
      </c>
      <c r="X799" s="151" t="inlineStr">
        <is>
          <t>PRO-00-139277-5</t>
        </is>
      </c>
      <c r="Y799" s="151" t="inlineStr">
        <is>
          <t>3,3</t>
        </is>
      </c>
      <c r="Z799" s="149" t="inlineStr">
        <is>
          <t>3,3</t>
        </is>
      </c>
      <c r="AA799" s="151" t="inlineStr">
        <is>
          <t>grams</t>
        </is>
      </c>
      <c r="AB799" s="151" t="n"/>
      <c r="AC799" s="151" t="n"/>
      <c r="AD799" s="150" t="n">
        <v>0.99899</v>
      </c>
      <c r="AE799" s="149" t="n">
        <v>3.3</v>
      </c>
      <c r="AF799" s="151" t="inlineStr">
        <is>
          <t>grams</t>
        </is>
      </c>
      <c r="AG799" s="151" t="n"/>
      <c r="AH799" s="151" t="n"/>
    </row>
    <row r="800">
      <c r="A800" s="151" t="inlineStr">
        <is>
          <t>FV1145A - Roasted Salmon &amp; Dill Yogurt [DKSE]</t>
        </is>
      </c>
      <c r="B800" s="151" t="inlineStr">
        <is>
          <t>REC-029971-4-001</t>
        </is>
      </c>
      <c r="C800" s="151" t="inlineStr">
        <is>
          <t>Moroccan Salmon Batch</t>
        </is>
      </c>
      <c r="D800" s="151" t="inlineStr">
        <is>
          <t>SUB-029902-4-001</t>
        </is>
      </c>
      <c r="E800" s="150" t="n">
        <v>1</v>
      </c>
      <c r="F800" s="151" t="inlineStr">
        <is>
          <t>each</t>
        </is>
      </c>
      <c r="G800" s="151" t="inlineStr">
        <is>
          <t>BLAST CHILLER, HAND MARINADE, OVEN, THAW</t>
        </is>
      </c>
      <c r="H800" s="151" t="inlineStr">
        <is>
          <t>Moroccan Salmon Marinade</t>
        </is>
      </c>
      <c r="I800" s="151" t="inlineStr">
        <is>
          <t>SUB-029903-4-001</t>
        </is>
      </c>
      <c r="J800" s="150" t="n">
        <v>9.92</v>
      </c>
      <c r="K800" s="151" t="inlineStr">
        <is>
          <t>grams</t>
        </is>
      </c>
      <c r="L800" s="151" t="inlineStr">
        <is>
          <t>IMMERSION BLENDER</t>
        </is>
      </c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inlineStr">
        <is>
          <t>FA-DE Yogurt, Greek, Plain /Joghurt, Griechisch, Natur</t>
        </is>
      </c>
      <c r="X800" s="151" t="inlineStr">
        <is>
          <t>DAI-00-139161-3</t>
        </is>
      </c>
      <c r="Y800" s="151" t="inlineStr">
        <is>
          <t>3,3</t>
        </is>
      </c>
      <c r="Z800" s="149" t="inlineStr">
        <is>
          <t>3,3</t>
        </is>
      </c>
      <c r="AA800" s="151" t="inlineStr">
        <is>
          <t>grams</t>
        </is>
      </c>
      <c r="AB800" s="151" t="inlineStr">
        <is>
          <t>MILCH (EINSCHLIESSLICH LAKTOSE)</t>
        </is>
      </c>
      <c r="AC800" s="151" t="n"/>
      <c r="AD800" s="150" t="n">
        <v>0.99899</v>
      </c>
      <c r="AE800" s="149" t="n">
        <v>3.3</v>
      </c>
      <c r="AF800" s="151" t="inlineStr">
        <is>
          <t>grams</t>
        </is>
      </c>
      <c r="AG800" s="151" t="n"/>
      <c r="AH800" s="151" t="n"/>
    </row>
    <row r="801">
      <c r="A801" s="151" t="inlineStr">
        <is>
          <t>FV1145A - Roasted Salmon &amp; Dill Yogurt [DKSE]</t>
        </is>
      </c>
      <c r="B801" s="151" t="inlineStr">
        <is>
          <t>REC-029971-4-001</t>
        </is>
      </c>
      <c r="C801" s="151" t="inlineStr">
        <is>
          <t>Moroccan Salmon Batch</t>
        </is>
      </c>
      <c r="D801" s="151" t="inlineStr">
        <is>
          <t>SUB-029902-4-001</t>
        </is>
      </c>
      <c r="E801" s="150" t="n">
        <v>1</v>
      </c>
      <c r="F801" s="151" t="inlineStr">
        <is>
          <t>each</t>
        </is>
      </c>
      <c r="G801" s="151" t="inlineStr">
        <is>
          <t>BLAST CHILLER, HAND MARINADE, OVEN, THAW</t>
        </is>
      </c>
      <c r="H801" s="151" t="inlineStr">
        <is>
          <t>Moroccan Salmon Marinade</t>
        </is>
      </c>
      <c r="I801" s="151" t="inlineStr">
        <is>
          <t>SUB-029903-4-001</t>
        </is>
      </c>
      <c r="J801" s="150" t="n">
        <v>9.92</v>
      </c>
      <c r="K801" s="151" t="inlineStr">
        <is>
          <t>grams</t>
        </is>
      </c>
      <c r="L801" s="151" t="inlineStr">
        <is>
          <t>IMMERSION BLENDER</t>
        </is>
      </c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inlineStr">
        <is>
          <t>FA-DE Spice, Smoked Paprika /Gewürz, geräucherter Paprika</t>
        </is>
      </c>
      <c r="X801" s="151" t="inlineStr">
        <is>
          <t>SPI-00-139383-5</t>
        </is>
      </c>
      <c r="Y801" s="151" t="inlineStr">
        <is>
          <t>0,31</t>
        </is>
      </c>
      <c r="Z801" s="149" t="inlineStr">
        <is>
          <t>0,31</t>
        </is>
      </c>
      <c r="AA801" s="151" t="inlineStr">
        <is>
          <t>grams</t>
        </is>
      </c>
      <c r="AB801" s="151" t="n"/>
      <c r="AC801" s="151" t="n"/>
      <c r="AD801" s="150" t="n">
        <v>0.99899</v>
      </c>
      <c r="AE801" s="149" t="n">
        <v>0.31</v>
      </c>
      <c r="AF801" s="151" t="inlineStr">
        <is>
          <t>grams</t>
        </is>
      </c>
      <c r="AG801" s="151" t="n"/>
      <c r="AH801" s="151" t="n"/>
    </row>
    <row r="802">
      <c r="A802" s="151" t="inlineStr">
        <is>
          <t>FV1145A - Roasted Salmon &amp; Dill Yogurt [DKSE]</t>
        </is>
      </c>
      <c r="B802" s="151" t="inlineStr">
        <is>
          <t>REC-029971-4-001</t>
        </is>
      </c>
      <c r="C802" s="151" t="inlineStr">
        <is>
          <t>Moroccan Salmon Batch</t>
        </is>
      </c>
      <c r="D802" s="151" t="inlineStr">
        <is>
          <t>SUB-029902-4-001</t>
        </is>
      </c>
      <c r="E802" s="150" t="n">
        <v>1</v>
      </c>
      <c r="F802" s="151" t="inlineStr">
        <is>
          <t>each</t>
        </is>
      </c>
      <c r="G802" s="151" t="inlineStr">
        <is>
          <t>BLAST CHILLER, HAND MARINADE, OVEN, THAW</t>
        </is>
      </c>
      <c r="H802" s="151" t="inlineStr">
        <is>
          <t>Moroccan Salmon Marinade</t>
        </is>
      </c>
      <c r="I802" s="151" t="inlineStr">
        <is>
          <t>SUB-029903-4-001</t>
        </is>
      </c>
      <c r="J802" s="150" t="n">
        <v>9.92</v>
      </c>
      <c r="K802" s="151" t="inlineStr">
        <is>
          <t>grams</t>
        </is>
      </c>
      <c r="L802" s="151" t="inlineStr">
        <is>
          <t>IMMERSION BLENDER</t>
        </is>
      </c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inlineStr">
        <is>
          <t>FA-DE Spice, Cumin Ground /Gewürz, gemahlener Kreuzkümmel</t>
        </is>
      </c>
      <c r="X802" s="151" t="inlineStr">
        <is>
          <t>SPI-00-139345-5</t>
        </is>
      </c>
      <c r="Y802" s="151" t="inlineStr">
        <is>
          <t>0,36</t>
        </is>
      </c>
      <c r="Z802" s="149" t="inlineStr">
        <is>
          <t>0,36</t>
        </is>
      </c>
      <c r="AA802" s="151" t="inlineStr">
        <is>
          <t>grams</t>
        </is>
      </c>
      <c r="AB802" s="151" t="n"/>
      <c r="AC802" s="151" t="n"/>
      <c r="AD802" s="150" t="n">
        <v>0.99899</v>
      </c>
      <c r="AE802" s="149" t="n">
        <v>0.36</v>
      </c>
      <c r="AF802" s="151" t="inlineStr">
        <is>
          <t>grams</t>
        </is>
      </c>
      <c r="AG802" s="151" t="n"/>
      <c r="AH802" s="151" t="n"/>
    </row>
    <row r="803">
      <c r="A803" s="151" t="inlineStr">
        <is>
          <t>FV1145A - Roasted Salmon &amp; Dill Yogurt [DKSE]</t>
        </is>
      </c>
      <c r="B803" s="151" t="inlineStr">
        <is>
          <t>REC-029971-4-001</t>
        </is>
      </c>
      <c r="C803" s="151" t="inlineStr">
        <is>
          <t>Moroccan Salmon Batch</t>
        </is>
      </c>
      <c r="D803" s="151" t="inlineStr">
        <is>
          <t>SUB-029902-4-001</t>
        </is>
      </c>
      <c r="E803" s="150" t="n">
        <v>1</v>
      </c>
      <c r="F803" s="151" t="inlineStr">
        <is>
          <t>each</t>
        </is>
      </c>
      <c r="G803" s="151" t="inlineStr">
        <is>
          <t>BLAST CHILLER, HAND MARINADE, OVEN, THAW</t>
        </is>
      </c>
      <c r="H803" s="151" t="inlineStr">
        <is>
          <t>Moroccan Salmon Marinade</t>
        </is>
      </c>
      <c r="I803" s="151" t="inlineStr">
        <is>
          <t>SUB-029903-4-001</t>
        </is>
      </c>
      <c r="J803" s="150" t="n">
        <v>9.92</v>
      </c>
      <c r="K803" s="151" t="inlineStr">
        <is>
          <t>grams</t>
        </is>
      </c>
      <c r="L803" s="151" t="inlineStr">
        <is>
          <t>IMMERSION BLENDER</t>
        </is>
      </c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inlineStr">
        <is>
          <t>FA-DE Spice, Sea Salt /Gewürze, Meersalz</t>
        </is>
      </c>
      <c r="X803" s="151" t="inlineStr">
        <is>
          <t>SPI-00-139378-5</t>
        </is>
      </c>
      <c r="Y803" s="151" t="inlineStr">
        <is>
          <t>0,41</t>
        </is>
      </c>
      <c r="Z803" s="149" t="inlineStr">
        <is>
          <t>0,41</t>
        </is>
      </c>
      <c r="AA803" s="151" t="inlineStr">
        <is>
          <t>grams</t>
        </is>
      </c>
      <c r="AB803" s="151" t="n"/>
      <c r="AC803" s="151" t="n"/>
      <c r="AD803" s="150" t="n">
        <v>0.99899</v>
      </c>
      <c r="AE803" s="149" t="n">
        <v>0.41</v>
      </c>
      <c r="AF803" s="151" t="inlineStr">
        <is>
          <t>grams</t>
        </is>
      </c>
      <c r="AG803" s="151" t="n"/>
      <c r="AH803" s="151" t="n"/>
    </row>
    <row r="804">
      <c r="A804" s="151" t="inlineStr">
        <is>
          <t>FV1145A - Roasted Salmon &amp; Dill Yogurt [DKSE]</t>
        </is>
      </c>
      <c r="B804" s="151" t="inlineStr">
        <is>
          <t>REC-029971-4-001</t>
        </is>
      </c>
      <c r="C804" s="151" t="inlineStr">
        <is>
          <t>Moroccan Salmon Batch</t>
        </is>
      </c>
      <c r="D804" s="151" t="inlineStr">
        <is>
          <t>SUB-029902-4-001</t>
        </is>
      </c>
      <c r="E804" s="150" t="n">
        <v>1</v>
      </c>
      <c r="F804" s="151" t="inlineStr">
        <is>
          <t>each</t>
        </is>
      </c>
      <c r="G804" s="151" t="inlineStr">
        <is>
          <t>BLAST CHILLER, HAND MARINADE, OVEN, THAW</t>
        </is>
      </c>
      <c r="H804" s="151" t="inlineStr">
        <is>
          <t>Moroccan Salmon Marinade</t>
        </is>
      </c>
      <c r="I804" s="151" t="inlineStr">
        <is>
          <t>SUB-029903-4-001</t>
        </is>
      </c>
      <c r="J804" s="150" t="n">
        <v>9.92</v>
      </c>
      <c r="K804" s="151" t="inlineStr">
        <is>
          <t>grams</t>
        </is>
      </c>
      <c r="L804" s="151" t="inlineStr">
        <is>
          <t>IMMERSION BLENDER</t>
        </is>
      </c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inlineStr">
        <is>
          <t>FA-DE Spice, Onion Powder, Toasted /Gewürze, Zwiebelpulver, geröstet</t>
        </is>
      </c>
      <c r="X804" s="151" t="inlineStr">
        <is>
          <t>SPI-00-139371-5</t>
        </is>
      </c>
      <c r="Y804" s="151" t="inlineStr">
        <is>
          <t>0,08</t>
        </is>
      </c>
      <c r="Z804" s="149" t="inlineStr">
        <is>
          <t>0,08</t>
        </is>
      </c>
      <c r="AA804" s="151" t="inlineStr">
        <is>
          <t>grams</t>
        </is>
      </c>
      <c r="AB804" s="151" t="n"/>
      <c r="AC804" s="151" t="n"/>
      <c r="AD804" s="150" t="n">
        <v>0.99899</v>
      </c>
      <c r="AE804" s="149" t="n">
        <v>0.08</v>
      </c>
      <c r="AF804" s="151" t="inlineStr">
        <is>
          <t>grams</t>
        </is>
      </c>
      <c r="AG804" s="151" t="n"/>
      <c r="AH804" s="151" t="n"/>
    </row>
    <row r="805">
      <c r="A805" s="151" t="inlineStr">
        <is>
          <t>FV1145A - Roasted Salmon &amp; Dill Yogurt [DKSE]</t>
        </is>
      </c>
      <c r="B805" s="151" t="inlineStr">
        <is>
          <t>REC-029971-4-001</t>
        </is>
      </c>
      <c r="C805" s="151" t="inlineStr">
        <is>
          <t>Moroccan Salmon Batch</t>
        </is>
      </c>
      <c r="D805" s="151" t="inlineStr">
        <is>
          <t>SUB-029902-4-001</t>
        </is>
      </c>
      <c r="E805" s="150" t="n">
        <v>1</v>
      </c>
      <c r="F805" s="151" t="inlineStr">
        <is>
          <t>each</t>
        </is>
      </c>
      <c r="G805" s="151" t="inlineStr">
        <is>
          <t>BLAST CHILLER, HAND MARINADE, OVEN, THAW</t>
        </is>
      </c>
      <c r="H805" s="151" t="inlineStr">
        <is>
          <t>Moroccan Salmon Marinade</t>
        </is>
      </c>
      <c r="I805" s="151" t="inlineStr">
        <is>
          <t>SUB-029903-4-001</t>
        </is>
      </c>
      <c r="J805" s="150" t="n">
        <v>9.92</v>
      </c>
      <c r="K805" s="151" t="inlineStr">
        <is>
          <t>grams</t>
        </is>
      </c>
      <c r="L805" s="151" t="inlineStr">
        <is>
          <t>IMMERSION BLENDER</t>
        </is>
      </c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inlineStr">
        <is>
          <t>FA-DE Spice, Ginger Ground /Gewürze, gemahlener Ingwer</t>
        </is>
      </c>
      <c r="X805" s="151" t="inlineStr">
        <is>
          <t>SPI-00-139355-5</t>
        </is>
      </c>
      <c r="Y805" s="151" t="inlineStr">
        <is>
          <t>0,05</t>
        </is>
      </c>
      <c r="Z805" s="149" t="inlineStr">
        <is>
          <t>0,05</t>
        </is>
      </c>
      <c r="AA805" s="151" t="inlineStr">
        <is>
          <t>grams</t>
        </is>
      </c>
      <c r="AB805" s="151" t="n"/>
      <c r="AC805" s="151" t="n"/>
      <c r="AD805" s="150" t="n">
        <v>0.99899</v>
      </c>
      <c r="AE805" s="149" t="n">
        <v>0.05</v>
      </c>
      <c r="AF805" s="151" t="inlineStr">
        <is>
          <t>grams</t>
        </is>
      </c>
      <c r="AG805" s="151" t="n"/>
      <c r="AH805" s="151" t="n"/>
    </row>
    <row r="806">
      <c r="A806" s="151" t="inlineStr">
        <is>
          <t>FV1145A - Roasted Salmon &amp; Dill Yogurt [DKSE]</t>
        </is>
      </c>
      <c r="B806" s="151" t="inlineStr">
        <is>
          <t>REC-029971-4-001</t>
        </is>
      </c>
      <c r="C806" s="151" t="inlineStr">
        <is>
          <t>Moroccan Salmon Batch</t>
        </is>
      </c>
      <c r="D806" s="151" t="inlineStr">
        <is>
          <t>SUB-029902-4-001</t>
        </is>
      </c>
      <c r="E806" s="150" t="n">
        <v>1</v>
      </c>
      <c r="F806" s="151" t="inlineStr">
        <is>
          <t>each</t>
        </is>
      </c>
      <c r="G806" s="151" t="inlineStr">
        <is>
          <t>BLAST CHILLER, HAND MARINADE, OVEN, THAW</t>
        </is>
      </c>
      <c r="H806" s="151" t="inlineStr">
        <is>
          <t>Moroccan Salmon Marinade</t>
        </is>
      </c>
      <c r="I806" s="151" t="inlineStr">
        <is>
          <t>SUB-029903-4-001</t>
        </is>
      </c>
      <c r="J806" s="150" t="n">
        <v>9.92</v>
      </c>
      <c r="K806" s="151" t="inlineStr">
        <is>
          <t>grams</t>
        </is>
      </c>
      <c r="L806" s="151" t="inlineStr">
        <is>
          <t>IMMERSION BLENDER</t>
        </is>
      </c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inlineStr">
        <is>
          <t>FA-DE Spice, Harissa Powder /Gewürz, Harissa-Pulver</t>
        </is>
      </c>
      <c r="X806" s="151" t="inlineStr">
        <is>
          <t>SPI-00-139323-5</t>
        </is>
      </c>
      <c r="Y806" s="151" t="inlineStr">
        <is>
          <t>0,36</t>
        </is>
      </c>
      <c r="Z806" s="149" t="inlineStr">
        <is>
          <t>0,36</t>
        </is>
      </c>
      <c r="AA806" s="151" t="inlineStr">
        <is>
          <t>grams</t>
        </is>
      </c>
      <c r="AB806" s="151" t="n"/>
      <c r="AC806" s="151" t="n"/>
      <c r="AD806" s="150" t="n">
        <v>0.99899</v>
      </c>
      <c r="AE806" s="149" t="n">
        <v>0.36</v>
      </c>
      <c r="AF806" s="151" t="inlineStr">
        <is>
          <t>grams</t>
        </is>
      </c>
      <c r="AG806" s="151" t="n"/>
      <c r="AH806" s="151" t="n"/>
    </row>
    <row r="807">
      <c r="A807" s="151" t="inlineStr">
        <is>
          <t>FV1145A - Roasted Salmon &amp; Dill Yogurt [DKSE]</t>
        </is>
      </c>
      <c r="B807" s="151" t="inlineStr">
        <is>
          <t>REC-029971-4-001</t>
        </is>
      </c>
      <c r="C807" s="151" t="inlineStr">
        <is>
          <t>Moroccan Salmon Batch</t>
        </is>
      </c>
      <c r="D807" s="151" t="inlineStr">
        <is>
          <t>SUB-029902-4-001</t>
        </is>
      </c>
      <c r="E807" s="150" t="n">
        <v>1</v>
      </c>
      <c r="F807" s="151" t="inlineStr">
        <is>
          <t>each</t>
        </is>
      </c>
      <c r="G807" s="151" t="inlineStr">
        <is>
          <t>BLAST CHILLER, HAND MARINADE, OVEN, THAW</t>
        </is>
      </c>
      <c r="H807" s="151" t="inlineStr">
        <is>
          <t>Moroccan Salmon Marinade</t>
        </is>
      </c>
      <c r="I807" s="151" t="inlineStr">
        <is>
          <t>SUB-029903-4-001</t>
        </is>
      </c>
      <c r="J807" s="150" t="n">
        <v>9.92</v>
      </c>
      <c r="K807" s="151" t="inlineStr">
        <is>
          <t>grams</t>
        </is>
      </c>
      <c r="L807" s="151" t="inlineStr">
        <is>
          <t>IMMERSION BLENDER</t>
        </is>
      </c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inlineStr">
        <is>
          <t>FA-DE Spice, Turmeric /Gewürz, Kurkuma</t>
        </is>
      </c>
      <c r="X807" s="151" t="inlineStr">
        <is>
          <t>SPI-00-139384-5</t>
        </is>
      </c>
      <c r="Y807" s="151" t="inlineStr">
        <is>
          <t>0,05</t>
        </is>
      </c>
      <c r="Z807" s="149" t="inlineStr">
        <is>
          <t>0,05</t>
        </is>
      </c>
      <c r="AA807" s="151" t="inlineStr">
        <is>
          <t>grams</t>
        </is>
      </c>
      <c r="AB807" s="151" t="n"/>
      <c r="AC807" s="151" t="n"/>
      <c r="AD807" s="150" t="n">
        <v>0.99899</v>
      </c>
      <c r="AE807" s="149" t="n">
        <v>0.05</v>
      </c>
      <c r="AF807" s="151" t="inlineStr">
        <is>
          <t>grams</t>
        </is>
      </c>
      <c r="AG807" s="151" t="n"/>
      <c r="AH807" s="151" t="n"/>
    </row>
    <row r="808">
      <c r="A808" s="151" t="inlineStr">
        <is>
          <t>FV1145A - Roasted Salmon &amp; Dill Yogurt [DKSE]</t>
        </is>
      </c>
      <c r="B808" s="151" t="inlineStr">
        <is>
          <t>REC-029971-4-001</t>
        </is>
      </c>
      <c r="C808" s="151" t="inlineStr">
        <is>
          <t>Moroccan Salmon Batch</t>
        </is>
      </c>
      <c r="D808" s="151" t="inlineStr">
        <is>
          <t>SUB-029902-4-001</t>
        </is>
      </c>
      <c r="E808" s="150" t="n">
        <v>1</v>
      </c>
      <c r="F808" s="151" t="inlineStr">
        <is>
          <t>each</t>
        </is>
      </c>
      <c r="G808" s="151" t="inlineStr">
        <is>
          <t>BLAST CHILLER, HAND MARINADE, OVEN, THAW</t>
        </is>
      </c>
      <c r="H808" s="151" t="inlineStr">
        <is>
          <t>Moroccan Salmon Marinade</t>
        </is>
      </c>
      <c r="I808" s="151" t="inlineStr">
        <is>
          <t>SUB-029903-4-001</t>
        </is>
      </c>
      <c r="J808" s="150" t="n">
        <v>9.92</v>
      </c>
      <c r="K808" s="151" t="inlineStr">
        <is>
          <t>grams</t>
        </is>
      </c>
      <c r="L808" s="151" t="inlineStr">
        <is>
          <t>IMMERSION BLENDER</t>
        </is>
      </c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inlineStr">
        <is>
          <t>FA-DE Parsley, Chopped /Petersilie, gehackt</t>
        </is>
      </c>
      <c r="X808" s="151" t="inlineStr">
        <is>
          <t>PHF-00-139215-3</t>
        </is>
      </c>
      <c r="Y808" s="151" t="inlineStr">
        <is>
          <t>0,83</t>
        </is>
      </c>
      <c r="Z808" s="149" t="inlineStr">
        <is>
          <t>0,83</t>
        </is>
      </c>
      <c r="AA808" s="151" t="inlineStr">
        <is>
          <t>grams</t>
        </is>
      </c>
      <c r="AB808" s="151" t="n"/>
      <c r="AC808" s="151" t="n"/>
      <c r="AD808" s="150" t="n">
        <v>0.99899</v>
      </c>
      <c r="AE808" s="149" t="n">
        <v>0.83</v>
      </c>
      <c r="AF808" s="151" t="inlineStr">
        <is>
          <t>grams</t>
        </is>
      </c>
      <c r="AG808" s="151" t="n"/>
      <c r="AH808" s="151" t="n"/>
    </row>
    <row r="809">
      <c r="A809" s="151" t="inlineStr">
        <is>
          <t>FV1145A - Roasted Salmon &amp; Dill Yogurt [DKSE]</t>
        </is>
      </c>
      <c r="B809" s="151" t="inlineStr">
        <is>
          <t>REC-029971-4-001</t>
        </is>
      </c>
      <c r="C809" s="151" t="inlineStr">
        <is>
          <t>Moroccan Salmon Batch</t>
        </is>
      </c>
      <c r="D809" s="151" t="inlineStr">
        <is>
          <t>SUB-029902-4-001</t>
        </is>
      </c>
      <c r="E809" s="150" t="n">
        <v>1</v>
      </c>
      <c r="F809" s="151" t="inlineStr">
        <is>
          <t>each</t>
        </is>
      </c>
      <c r="G809" s="151" t="inlineStr">
        <is>
          <t>BLAST CHILLER, HAND MARINADE, OVEN, THAW</t>
        </is>
      </c>
      <c r="H809" s="151" t="inlineStr">
        <is>
          <t>Moroccan Salmon Marinade</t>
        </is>
      </c>
      <c r="I809" s="151" t="inlineStr">
        <is>
          <t>SUB-029903-4-001</t>
        </is>
      </c>
      <c r="J809" s="150" t="n">
        <v>9.92</v>
      </c>
      <c r="K809" s="151" t="inlineStr">
        <is>
          <t>grams</t>
        </is>
      </c>
      <c r="L809" s="151" t="inlineStr">
        <is>
          <t>IMMERSION BLENDER</t>
        </is>
      </c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inlineStr">
        <is>
          <t>FA-DE Coriander, Chopped /Koriander, gehackt</t>
        </is>
      </c>
      <c r="X809" s="151" t="inlineStr">
        <is>
          <t>PHF-00-139192-3</t>
        </is>
      </c>
      <c r="Y809" s="151" t="inlineStr">
        <is>
          <t>0,83</t>
        </is>
      </c>
      <c r="Z809" s="149" t="inlineStr">
        <is>
          <t>0,83</t>
        </is>
      </c>
      <c r="AA809" s="151" t="inlineStr">
        <is>
          <t>grams</t>
        </is>
      </c>
      <c r="AB809" s="151" t="n"/>
      <c r="AC809" s="151" t="n"/>
      <c r="AD809" s="150" t="n">
        <v>0.99899</v>
      </c>
      <c r="AE809" s="149" t="n">
        <v>0.83</v>
      </c>
      <c r="AF809" s="151" t="inlineStr">
        <is>
          <t>grams</t>
        </is>
      </c>
      <c r="AG809" s="151" t="n"/>
      <c r="AH809" s="151" t="n"/>
    </row>
    <row r="810">
      <c r="A810" s="151" t="inlineStr">
        <is>
          <t>FV1145A - Roasted Salmon &amp; Dill Yogurt [DKSE]</t>
        </is>
      </c>
      <c r="B810" s="151" t="inlineStr">
        <is>
          <t>REC-029971-4-001</t>
        </is>
      </c>
      <c r="C810" s="151" t="inlineStr">
        <is>
          <t>Moroccan Salmon Batch</t>
        </is>
      </c>
      <c r="D810" s="151" t="inlineStr">
        <is>
          <t>SUB-029902-4-001</t>
        </is>
      </c>
      <c r="E810" s="150" t="n">
        <v>1</v>
      </c>
      <c r="F810" s="151" t="inlineStr">
        <is>
          <t>each</t>
        </is>
      </c>
      <c r="G810" s="151" t="inlineStr">
        <is>
          <t>BLAST CHILLER, HAND MARINADE, OVEN, THAW</t>
        </is>
      </c>
      <c r="H810" s="151" t="inlineStr">
        <is>
          <t>Moroccan Salmon Marinade</t>
        </is>
      </c>
      <c r="I810" s="151" t="inlineStr">
        <is>
          <t>SUB-029903-4-001</t>
        </is>
      </c>
      <c r="J810" s="150" t="n">
        <v>9.92</v>
      </c>
      <c r="K810" s="151" t="inlineStr">
        <is>
          <t>grams</t>
        </is>
      </c>
      <c r="L810" s="151" t="inlineStr">
        <is>
          <t>IMMERSION BLENDER</t>
        </is>
      </c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inlineStr">
        <is>
          <t>FA-DE Zest, Lemon/Gewürz, Zitronenschale</t>
        </is>
      </c>
      <c r="X810" s="151" t="inlineStr">
        <is>
          <t>PHF-00-139247-3</t>
        </is>
      </c>
      <c r="Y810" s="151" t="inlineStr">
        <is>
          <t>0,05</t>
        </is>
      </c>
      <c r="Z810" s="149" t="inlineStr">
        <is>
          <t>0,05</t>
        </is>
      </c>
      <c r="AA810" s="151" t="inlineStr">
        <is>
          <t>grams</t>
        </is>
      </c>
      <c r="AB810" s="151" t="n"/>
      <c r="AC810" s="151" t="n"/>
      <c r="AD810" s="150" t="n">
        <v>0.99899</v>
      </c>
      <c r="AE810" s="149" t="n">
        <v>0.05</v>
      </c>
      <c r="AF810" s="151" t="inlineStr">
        <is>
          <t>grams</t>
        </is>
      </c>
      <c r="AG810" s="151" t="n"/>
      <c r="AH810" s="151" t="n"/>
    </row>
    <row r="811">
      <c r="A811" s="151" t="inlineStr">
        <is>
          <t>FV1145A - Roasted Salmon &amp; Dill Yogurt [DKSE]</t>
        </is>
      </c>
      <c r="B811" s="151" t="inlineStr">
        <is>
          <t>REC-029971-4-001</t>
        </is>
      </c>
      <c r="C811" s="151" t="inlineStr">
        <is>
          <t>Moroccan Salmon Batch</t>
        </is>
      </c>
      <c r="D811" s="151" t="inlineStr">
        <is>
          <t>SUB-029902-4-001</t>
        </is>
      </c>
      <c r="E811" s="150" t="n">
        <v>1</v>
      </c>
      <c r="F811" s="151" t="inlineStr">
        <is>
          <t>each</t>
        </is>
      </c>
      <c r="G811" s="151" t="inlineStr">
        <is>
          <t>BLAST CHILLER, HAND MARINADE, OVEN, THAW</t>
        </is>
      </c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inlineStr">
        <is>
          <t>FA-DE Salmon, Skinless, Boneless, Filet/Lachs, ohne Haut, ohne Knochen, Filet - IQF</t>
        </is>
      </c>
      <c r="X811" s="151" t="inlineStr">
        <is>
          <t>PTN-00-139968-1</t>
        </is>
      </c>
      <c r="Y811" s="150" t="n">
        <v>140</v>
      </c>
      <c r="Z811" s="152" t="n">
        <v>140</v>
      </c>
      <c r="AA811" s="151" t="inlineStr">
        <is>
          <t>grams</t>
        </is>
      </c>
      <c r="AB811" s="151" t="inlineStr">
        <is>
          <t>FISCH</t>
        </is>
      </c>
      <c r="AC811" s="151" t="n"/>
      <c r="AD811" s="150" t="n">
        <v>0.79893</v>
      </c>
      <c r="AE811" s="152" t="n">
        <v>140</v>
      </c>
      <c r="AF811" s="151" t="inlineStr">
        <is>
          <t>grams</t>
        </is>
      </c>
      <c r="AG811" s="151" t="n"/>
      <c r="AH811" s="151" t="n"/>
    </row>
    <row r="812">
      <c r="A812" s="151" t="inlineStr">
        <is>
          <t>FV1145A - Roasted Salmon &amp; Dill Yogurt [DKSE]</t>
        </is>
      </c>
      <c r="B812" s="151" t="inlineStr">
        <is>
          <t>REC-029971-4-001</t>
        </is>
      </c>
      <c r="C812" s="151" t="inlineStr">
        <is>
          <t>Moroccan Salmon Batch</t>
        </is>
      </c>
      <c r="D812" s="151" t="inlineStr">
        <is>
          <t>SUB-029902-4-001</t>
        </is>
      </c>
      <c r="E812" s="150" t="n">
        <v>1</v>
      </c>
      <c r="F812" s="151" t="inlineStr">
        <is>
          <t>each</t>
        </is>
      </c>
      <c r="G812" s="151" t="inlineStr">
        <is>
          <t>BLAST CHILLER, HAND MARINADE, OVEN, THAW</t>
        </is>
      </c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inlineStr">
        <is>
          <t>FA-DE Spice, Sea Salt /Gewürze, Meersalz</t>
        </is>
      </c>
      <c r="X812" s="151" t="inlineStr">
        <is>
          <t>SPI-00-139378-5</t>
        </is>
      </c>
      <c r="Y812" s="151" t="inlineStr">
        <is>
          <t>0,28</t>
        </is>
      </c>
      <c r="Z812" s="149" t="inlineStr">
        <is>
          <t>0,28</t>
        </is>
      </c>
      <c r="AA812" s="151" t="inlineStr">
        <is>
          <t>grams</t>
        </is>
      </c>
      <c r="AB812" s="151" t="n"/>
      <c r="AC812" s="151" t="n"/>
      <c r="AD812" s="150" t="n">
        <v>0.79893</v>
      </c>
      <c r="AE812" s="149" t="n">
        <v>0.28</v>
      </c>
      <c r="AF812" s="151" t="inlineStr">
        <is>
          <t>grams</t>
        </is>
      </c>
      <c r="AG812" s="151" t="n"/>
      <c r="AH812" s="151" t="n"/>
    </row>
    <row r="813">
      <c r="A813" s="151" t="inlineStr">
        <is>
          <t>FV1145A - Roasted Salmon &amp; Dill Yogurt [DKSE]</t>
        </is>
      </c>
      <c r="B813" s="151" t="inlineStr">
        <is>
          <t>REC-029971-4-001</t>
        </is>
      </c>
      <c r="C813" s="151" t="inlineStr">
        <is>
          <t>Roasted Red Peppers - Diced (half pepper)</t>
        </is>
      </c>
      <c r="D813" s="151" t="inlineStr">
        <is>
          <t>SUB-029906-4-001</t>
        </is>
      </c>
      <c r="E813" s="150" t="n">
        <v>30</v>
      </c>
      <c r="F813" s="151" t="inlineStr">
        <is>
          <t>grams</t>
        </is>
      </c>
      <c r="G813" s="151" t="inlineStr">
        <is>
          <t>BLAST CHILLER, OVEN</t>
        </is>
      </c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inlineStr">
        <is>
          <t>FA-DE Bell Peppers, Red, Diced 10mm /Paprika, rot, gewürfelt 10 mm</t>
        </is>
      </c>
      <c r="X813" s="151" t="inlineStr">
        <is>
          <t>PHF-00-139179-3</t>
        </is>
      </c>
      <c r="Y813" s="151" t="inlineStr">
        <is>
          <t>36,82</t>
        </is>
      </c>
      <c r="Z813" s="149" t="inlineStr">
        <is>
          <t>36,82</t>
        </is>
      </c>
      <c r="AA813" s="151" t="inlineStr">
        <is>
          <t>grams</t>
        </is>
      </c>
      <c r="AB813" s="151" t="n"/>
      <c r="AC813" s="151" t="n"/>
      <c r="AD813" s="150" t="n">
        <v>0.7464499999999999</v>
      </c>
      <c r="AE813" s="149" t="n">
        <v>36.82</v>
      </c>
      <c r="AF813" s="151" t="inlineStr">
        <is>
          <t>grams</t>
        </is>
      </c>
      <c r="AG813" s="151" t="n"/>
      <c r="AH813" s="151" t="n"/>
    </row>
    <row r="814">
      <c r="A814" s="151" t="inlineStr">
        <is>
          <t>FV1145A - Roasted Salmon &amp; Dill Yogurt [DKSE]</t>
        </is>
      </c>
      <c r="B814" s="151" t="inlineStr">
        <is>
          <t>REC-029971-4-001</t>
        </is>
      </c>
      <c r="C814" s="151" t="inlineStr">
        <is>
          <t>Roasted Red Peppers - Diced (half pepper)</t>
        </is>
      </c>
      <c r="D814" s="151" t="inlineStr">
        <is>
          <t>SUB-029906-4-001</t>
        </is>
      </c>
      <c r="E814" s="150" t="n">
        <v>30</v>
      </c>
      <c r="F814" s="151" t="inlineStr">
        <is>
          <t>grams</t>
        </is>
      </c>
      <c r="G814" s="151" t="inlineStr">
        <is>
          <t>BLAST CHILLER, OVEN</t>
        </is>
      </c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inlineStr">
        <is>
          <t>FA-DE Oil, Olive /Öl, Olivenöl</t>
        </is>
      </c>
      <c r="X814" s="151" t="inlineStr">
        <is>
          <t>PRO-00-139277-5</t>
        </is>
      </c>
      <c r="Y814" s="151" t="inlineStr">
        <is>
          <t>1,38</t>
        </is>
      </c>
      <c r="Z814" s="149" t="inlineStr">
        <is>
          <t>1,38</t>
        </is>
      </c>
      <c r="AA814" s="151" t="inlineStr">
        <is>
          <t>grams</t>
        </is>
      </c>
      <c r="AB814" s="151" t="n"/>
      <c r="AC814" s="151" t="n"/>
      <c r="AD814" s="150" t="n">
        <v>0.7464499999999999</v>
      </c>
      <c r="AE814" s="149" t="n">
        <v>1.38</v>
      </c>
      <c r="AF814" s="151" t="inlineStr">
        <is>
          <t>grams</t>
        </is>
      </c>
      <c r="AG814" s="151" t="n"/>
      <c r="AH814" s="151" t="n"/>
    </row>
    <row r="815">
      <c r="A815" s="151" t="inlineStr">
        <is>
          <t>FV1145A - Roasted Salmon &amp; Dill Yogurt [DKSE]</t>
        </is>
      </c>
      <c r="B815" s="151" t="inlineStr">
        <is>
          <t>REC-029971-4-001</t>
        </is>
      </c>
      <c r="C815" s="151" t="inlineStr">
        <is>
          <t>Roasted Red Peppers - Diced (half pepper)</t>
        </is>
      </c>
      <c r="D815" s="151" t="inlineStr">
        <is>
          <t>SUB-029906-4-001</t>
        </is>
      </c>
      <c r="E815" s="150" t="n">
        <v>30</v>
      </c>
      <c r="F815" s="151" t="inlineStr">
        <is>
          <t>grams</t>
        </is>
      </c>
      <c r="G815" s="151" t="inlineStr">
        <is>
          <t>BLAST CHILLER, OVEN</t>
        </is>
      </c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inlineStr">
        <is>
          <t>FA-DE Garlic, IQF, Diced 4 mm /Knoblauch, IQF, gewürfelt 4 mm</t>
        </is>
      </c>
      <c r="X815" s="151" t="inlineStr">
        <is>
          <t>PHF-00-139237-1</t>
        </is>
      </c>
      <c r="Y815" s="151" t="inlineStr">
        <is>
          <t>1,38</t>
        </is>
      </c>
      <c r="Z815" s="149" t="inlineStr">
        <is>
          <t>1,38</t>
        </is>
      </c>
      <c r="AA815" s="151" t="inlineStr">
        <is>
          <t>grams</t>
        </is>
      </c>
      <c r="AB815" s="151" t="inlineStr">
        <is>
          <t>SCHWEFELDIOXIDE UND SULFITE</t>
        </is>
      </c>
      <c r="AC815" s="151" t="n"/>
      <c r="AD815" s="150" t="n">
        <v>0.7464499999999999</v>
      </c>
      <c r="AE815" s="149" t="n">
        <v>1.38</v>
      </c>
      <c r="AF815" s="151" t="inlineStr">
        <is>
          <t>grams</t>
        </is>
      </c>
      <c r="AG815" s="151" t="n"/>
      <c r="AH815" s="151" t="n"/>
    </row>
    <row r="816">
      <c r="A816" s="151" t="inlineStr">
        <is>
          <t>FV1145A - Roasted Salmon &amp; Dill Yogurt [DKSE]</t>
        </is>
      </c>
      <c r="B816" s="151" t="inlineStr">
        <is>
          <t>REC-029971-4-001</t>
        </is>
      </c>
      <c r="C816" s="151" t="inlineStr">
        <is>
          <t>Roasted Red Peppers - Diced (half pepper)</t>
        </is>
      </c>
      <c r="D816" s="151" t="inlineStr">
        <is>
          <t>SUB-029906-4-001</t>
        </is>
      </c>
      <c r="E816" s="150" t="n">
        <v>30</v>
      </c>
      <c r="F816" s="151" t="inlineStr">
        <is>
          <t>grams</t>
        </is>
      </c>
      <c r="G816" s="151" t="inlineStr">
        <is>
          <t>BLAST CHILLER, OVEN</t>
        </is>
      </c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inlineStr">
        <is>
          <t>FA-DE Spice, Sea Salt /Gewürze, Meersalz</t>
        </is>
      </c>
      <c r="X816" s="151" t="inlineStr">
        <is>
          <t>SPI-00-139378-5</t>
        </is>
      </c>
      <c r="Y816" s="151" t="inlineStr">
        <is>
          <t>0,21</t>
        </is>
      </c>
      <c r="Z816" s="149" t="inlineStr">
        <is>
          <t>0,21</t>
        </is>
      </c>
      <c r="AA816" s="151" t="inlineStr">
        <is>
          <t>grams</t>
        </is>
      </c>
      <c r="AB816" s="151" t="n"/>
      <c r="AC816" s="151" t="n"/>
      <c r="AD816" s="150" t="n">
        <v>0.7464499999999999</v>
      </c>
      <c r="AE816" s="149" t="n">
        <v>0.21</v>
      </c>
      <c r="AF816" s="151" t="inlineStr">
        <is>
          <t>grams</t>
        </is>
      </c>
      <c r="AG816" s="151" t="n"/>
      <c r="AH816" s="151" t="n"/>
    </row>
    <row r="817">
      <c r="A817" s="151" t="inlineStr">
        <is>
          <t>FV1145A - Roasted Salmon &amp; Dill Yogurt [DKSE]</t>
        </is>
      </c>
      <c r="B817" s="151" t="inlineStr">
        <is>
          <t>REC-029971-4-001</t>
        </is>
      </c>
      <c r="C817" s="151" t="inlineStr">
        <is>
          <t>Roasted Red Peppers - Diced (half pepper)</t>
        </is>
      </c>
      <c r="D817" s="151" t="inlineStr">
        <is>
          <t>SUB-029906-4-001</t>
        </is>
      </c>
      <c r="E817" s="150" t="n">
        <v>30</v>
      </c>
      <c r="F817" s="151" t="inlineStr">
        <is>
          <t>grams</t>
        </is>
      </c>
      <c r="G817" s="151" t="inlineStr">
        <is>
          <t>BLAST CHILLER, OVEN</t>
        </is>
      </c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inlineStr">
        <is>
          <t>FA-DE Spice, Black Pepper, Ground /Gewürz, schwarzer Pfeffer, gemahlen</t>
        </is>
      </c>
      <c r="X817" s="151" t="inlineStr">
        <is>
          <t>SPI-00-139334-5</t>
        </is>
      </c>
      <c r="Y817" s="151" t="inlineStr">
        <is>
          <t>0,18</t>
        </is>
      </c>
      <c r="Z817" s="149" t="inlineStr">
        <is>
          <t>0,18</t>
        </is>
      </c>
      <c r="AA817" s="151" t="inlineStr">
        <is>
          <t>grams</t>
        </is>
      </c>
      <c r="AB817" s="151" t="n"/>
      <c r="AC817" s="151" t="n"/>
      <c r="AD817" s="150" t="n">
        <v>0.7464499999999999</v>
      </c>
      <c r="AE817" s="149" t="n">
        <v>0.18</v>
      </c>
      <c r="AF817" s="151" t="inlineStr">
        <is>
          <t>grams</t>
        </is>
      </c>
      <c r="AG817" s="151" t="n"/>
      <c r="AH817" s="151" t="n"/>
    </row>
    <row r="818">
      <c r="A818" s="151" t="inlineStr">
        <is>
          <t>FV1145A - Roasted Salmon &amp; Dill Yogurt [DKSE]</t>
        </is>
      </c>
      <c r="B818" s="151" t="inlineStr">
        <is>
          <t>REC-029971-4-001</t>
        </is>
      </c>
      <c r="C818" s="151" t="inlineStr">
        <is>
          <t>Roasted Red Peppers - Diced (half pepper)</t>
        </is>
      </c>
      <c r="D818" s="151" t="inlineStr">
        <is>
          <t>SUB-029906-4-001</t>
        </is>
      </c>
      <c r="E818" s="150" t="n">
        <v>30</v>
      </c>
      <c r="F818" s="151" t="inlineStr">
        <is>
          <t>grams</t>
        </is>
      </c>
      <c r="G818" s="151" t="inlineStr">
        <is>
          <t>BLAST CHILLER, OVEN</t>
        </is>
      </c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inlineStr">
        <is>
          <t>FA-DE Spice, Garlic Granulated /Gewürz, Knoblauch granuliert</t>
        </is>
      </c>
      <c r="X818" s="151" t="inlineStr">
        <is>
          <t>SPI-00-139353-5</t>
        </is>
      </c>
      <c r="Y818" s="151" t="inlineStr">
        <is>
          <t>0,23</t>
        </is>
      </c>
      <c r="Z818" s="149" t="inlineStr">
        <is>
          <t>0,23</t>
        </is>
      </c>
      <c r="AA818" s="151" t="inlineStr">
        <is>
          <t>grams</t>
        </is>
      </c>
      <c r="AB818" s="151" t="n"/>
      <c r="AC818" s="151" t="n"/>
      <c r="AD818" s="150" t="n">
        <v>0.7464499999999999</v>
      </c>
      <c r="AE818" s="149" t="n">
        <v>0.23</v>
      </c>
      <c r="AF818" s="151" t="inlineStr">
        <is>
          <t>grams</t>
        </is>
      </c>
      <c r="AG818" s="151" t="n"/>
      <c r="AH818" s="151" t="n"/>
    </row>
    <row r="819">
      <c r="A819" s="151" t="inlineStr">
        <is>
          <t>FV1145A - Roasted Salmon &amp; Dill Yogurt [DKSE]</t>
        </is>
      </c>
      <c r="B819" s="151" t="inlineStr">
        <is>
          <t>REC-029971-4-001</t>
        </is>
      </c>
      <c r="C819" s="151" t="inlineStr">
        <is>
          <t>Green Beans CUT 1-1/2 - Fresh - very little salt</t>
        </is>
      </c>
      <c r="D819" s="151" t="inlineStr">
        <is>
          <t>SUB-014171-4-001</t>
        </is>
      </c>
      <c r="E819" s="150" t="n">
        <v>60</v>
      </c>
      <c r="F819" s="151" t="inlineStr">
        <is>
          <t>grams</t>
        </is>
      </c>
      <c r="G819" s="151" t="inlineStr">
        <is>
          <t>BLAST CHILLER, OVEN</t>
        </is>
      </c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inlineStr">
        <is>
          <t>FA-DE Spice, Sea Salt /Gewürze, Meersalz</t>
        </is>
      </c>
      <c r="X819" s="151" t="inlineStr">
        <is>
          <t>SPI-00-139378-5</t>
        </is>
      </c>
      <c r="Y819" s="151" t="inlineStr">
        <is>
          <t>0,13</t>
        </is>
      </c>
      <c r="Z819" s="149" t="inlineStr">
        <is>
          <t>0,13</t>
        </is>
      </c>
      <c r="AA819" s="151" t="inlineStr">
        <is>
          <t>grams</t>
        </is>
      </c>
      <c r="AB819" s="151" t="n"/>
      <c r="AC819" s="151" t="n"/>
      <c r="AD819" s="150" t="n">
        <v>0.73551</v>
      </c>
      <c r="AE819" s="149" t="n">
        <v>0.13</v>
      </c>
      <c r="AF819" s="151" t="inlineStr">
        <is>
          <t>grams</t>
        </is>
      </c>
      <c r="AG819" s="151" t="n"/>
      <c r="AH819" s="151" t="n"/>
    </row>
    <row r="820">
      <c r="A820" s="151" t="inlineStr">
        <is>
          <t>FV1145A - Roasted Salmon &amp; Dill Yogurt [DKSE]</t>
        </is>
      </c>
      <c r="B820" s="151" t="inlineStr">
        <is>
          <t>REC-029971-4-001</t>
        </is>
      </c>
      <c r="C820" s="151" t="inlineStr">
        <is>
          <t>Green Beans CUT 1-1/2 - Fresh - very little salt</t>
        </is>
      </c>
      <c r="D820" s="151" t="inlineStr">
        <is>
          <t>SUB-014171-4-001</t>
        </is>
      </c>
      <c r="E820" s="150" t="n">
        <v>60</v>
      </c>
      <c r="F820" s="151" t="inlineStr">
        <is>
          <t>grams</t>
        </is>
      </c>
      <c r="G820" s="151" t="inlineStr">
        <is>
          <t>BLAST CHILLER, OVEN</t>
        </is>
      </c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inlineStr">
        <is>
          <t>FA-DE Spice, Garlic Granulated /Gewürz, Knoblauch granuliert</t>
        </is>
      </c>
      <c r="X820" s="151" t="inlineStr">
        <is>
          <t>SPI-00-139353-5</t>
        </is>
      </c>
      <c r="Y820" s="151" t="inlineStr">
        <is>
          <t>0,32</t>
        </is>
      </c>
      <c r="Z820" s="149" t="inlineStr">
        <is>
          <t>0,32</t>
        </is>
      </c>
      <c r="AA820" s="151" t="inlineStr">
        <is>
          <t>grams</t>
        </is>
      </c>
      <c r="AB820" s="151" t="n"/>
      <c r="AC820" s="151" t="n"/>
      <c r="AD820" s="150" t="n">
        <v>0.73551</v>
      </c>
      <c r="AE820" s="149" t="n">
        <v>0.32</v>
      </c>
      <c r="AF820" s="151" t="inlineStr">
        <is>
          <t>grams</t>
        </is>
      </c>
      <c r="AG820" s="151" t="n"/>
      <c r="AH820" s="151" t="n"/>
    </row>
    <row r="821">
      <c r="A821" s="151" t="inlineStr">
        <is>
          <t>FV1145A - Roasted Salmon &amp; Dill Yogurt [DKSE]</t>
        </is>
      </c>
      <c r="B821" s="151" t="inlineStr">
        <is>
          <t>REC-029971-4-001</t>
        </is>
      </c>
      <c r="C821" s="151" t="inlineStr">
        <is>
          <t>Green Beans CUT 1-1/2 - Fresh - very little salt</t>
        </is>
      </c>
      <c r="D821" s="151" t="inlineStr">
        <is>
          <t>SUB-014171-4-001</t>
        </is>
      </c>
      <c r="E821" s="150" t="n">
        <v>60</v>
      </c>
      <c r="F821" s="151" t="inlineStr">
        <is>
          <t>grams</t>
        </is>
      </c>
      <c r="G821" s="151" t="inlineStr">
        <is>
          <t>BLAST CHILLER, OVEN</t>
        </is>
      </c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inlineStr">
        <is>
          <t>FA-DE Oil, Olive /Öl, Olivenöl</t>
        </is>
      </c>
      <c r="X821" s="151" t="inlineStr">
        <is>
          <t>PRO-00-139277-5</t>
        </is>
      </c>
      <c r="Y821" s="154" t="inlineStr">
        <is>
          <t>4,06</t>
        </is>
      </c>
      <c r="Z821" s="149" t="inlineStr">
        <is>
          <t>4,06</t>
        </is>
      </c>
      <c r="AA821" s="151" t="inlineStr">
        <is>
          <t>grams</t>
        </is>
      </c>
      <c r="AB821" s="151" t="n"/>
      <c r="AC821" s="151" t="n"/>
      <c r="AD821" s="150" t="n">
        <v>0.73551</v>
      </c>
      <c r="AE821" s="149" t="n">
        <v>4.06</v>
      </c>
      <c r="AF821" s="151" t="inlineStr">
        <is>
          <t>grams</t>
        </is>
      </c>
      <c r="AG821" s="151" t="n"/>
      <c r="AH821" s="151" t="n"/>
    </row>
    <row r="822">
      <c r="A822" s="151" t="inlineStr">
        <is>
          <t>FV1145A - Roasted Salmon &amp; Dill Yogurt [DKSE]</t>
        </is>
      </c>
      <c r="B822" s="151" t="inlineStr">
        <is>
          <t>REC-029971-4-001</t>
        </is>
      </c>
      <c r="C822" s="151" t="inlineStr">
        <is>
          <t>Green Beans CUT 1-1/2 - Fresh - very little salt</t>
        </is>
      </c>
      <c r="D822" s="151" t="inlineStr">
        <is>
          <t>SUB-014171-4-001</t>
        </is>
      </c>
      <c r="E822" s="150" t="n">
        <v>60</v>
      </c>
      <c r="F822" s="151" t="inlineStr">
        <is>
          <t>grams</t>
        </is>
      </c>
      <c r="G822" s="151" t="inlineStr">
        <is>
          <t>BLAST CHILLER, OVEN</t>
        </is>
      </c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inlineStr">
        <is>
          <t>FA-DE Spice, Black Pepper, Ground /Gewürz, schwarzer Pfeffer, gemahlen</t>
        </is>
      </c>
      <c r="X822" s="151" t="inlineStr">
        <is>
          <t>SPI-00-139334-5</t>
        </is>
      </c>
      <c r="Y822" s="151" t="inlineStr">
        <is>
          <t>0,11</t>
        </is>
      </c>
      <c r="Z822" s="149" t="inlineStr">
        <is>
          <t>0,11</t>
        </is>
      </c>
      <c r="AA822" s="151" t="inlineStr">
        <is>
          <t>grams</t>
        </is>
      </c>
      <c r="AB822" s="151" t="n"/>
      <c r="AC822" s="151" t="n"/>
      <c r="AD822" s="150" t="n">
        <v>0.73551</v>
      </c>
      <c r="AE822" s="149" t="n">
        <v>0.11</v>
      </c>
      <c r="AF822" s="151" t="inlineStr">
        <is>
          <t>grams</t>
        </is>
      </c>
      <c r="AG822" s="151" t="n"/>
      <c r="AH822" s="151" t="n"/>
    </row>
    <row r="823">
      <c r="A823" s="151" t="inlineStr">
        <is>
          <t>FV1145A - Roasted Salmon &amp; Dill Yogurt [DKSE]</t>
        </is>
      </c>
      <c r="B823" s="151" t="inlineStr">
        <is>
          <t>REC-029971-4-001</t>
        </is>
      </c>
      <c r="C823" s="151" t="inlineStr">
        <is>
          <t>Green Beans CUT 1-1/2 - Fresh - very little salt</t>
        </is>
      </c>
      <c r="D823" s="151" t="inlineStr">
        <is>
          <t>SUB-014171-4-001</t>
        </is>
      </c>
      <c r="E823" s="150" t="n">
        <v>60</v>
      </c>
      <c r="F823" s="151" t="inlineStr">
        <is>
          <t>grams</t>
        </is>
      </c>
      <c r="G823" s="151" t="inlineStr">
        <is>
          <t>BLAST CHILLER, OVEN</t>
        </is>
      </c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inlineStr">
        <is>
          <t>FA-DE Green Beans, Fresh, Cut 40mm /Grüne Bohnen, frisch, geschnitten 40mm</t>
        </is>
      </c>
      <c r="X823" s="151" t="inlineStr">
        <is>
          <t>PHF-00-139199-3</t>
        </is>
      </c>
      <c r="Y823" s="151" t="inlineStr">
        <is>
          <t>76,95</t>
        </is>
      </c>
      <c r="Z823" s="149" t="inlineStr">
        <is>
          <t>76,95</t>
        </is>
      </c>
      <c r="AA823" s="151" t="inlineStr">
        <is>
          <t>grams</t>
        </is>
      </c>
      <c r="AB823" s="151" t="n"/>
      <c r="AC823" s="151" t="n"/>
      <c r="AD823" s="150" t="n">
        <v>0.73551</v>
      </c>
      <c r="AE823" s="149" t="n">
        <v>76.95</v>
      </c>
      <c r="AF823" s="151" t="inlineStr">
        <is>
          <t>grams</t>
        </is>
      </c>
      <c r="AG823" s="151" t="n"/>
      <c r="AH823" s="151" t="n"/>
    </row>
    <row r="824">
      <c r="A824" s="151" t="inlineStr">
        <is>
          <t>FV1145A - Roasted Salmon &amp; Dill Yogurt [DKSE]</t>
        </is>
      </c>
      <c r="B824" s="151" t="inlineStr">
        <is>
          <t>REC-029971-4-001</t>
        </is>
      </c>
      <c r="C824" s="151" t="inlineStr">
        <is>
          <t>Lemon Dill Yogurt</t>
        </is>
      </c>
      <c r="D824" s="151" t="inlineStr">
        <is>
          <t>SUB-029910-4-001</t>
        </is>
      </c>
      <c r="E824" s="150" t="n">
        <v>35</v>
      </c>
      <c r="F824" s="151" t="inlineStr">
        <is>
          <t>grams</t>
        </is>
      </c>
      <c r="G824" s="151" t="inlineStr">
        <is>
          <t>CUPPING, IMMERSION BLENDER</t>
        </is>
      </c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inlineStr">
        <is>
          <t>FA-DE Yogurt, Greek, Plain /Joghurt, Griechisch, Natur</t>
        </is>
      </c>
      <c r="X824" s="151" t="inlineStr">
        <is>
          <t>DAI-00-139161-3</t>
        </is>
      </c>
      <c r="Y824" s="153" t="inlineStr">
        <is>
          <t>9,27</t>
        </is>
      </c>
      <c r="Z824" s="149" t="inlineStr">
        <is>
          <t>9,27</t>
        </is>
      </c>
      <c r="AA824" s="151" t="inlineStr">
        <is>
          <t>grams</t>
        </is>
      </c>
      <c r="AB824" s="151" t="inlineStr">
        <is>
          <t>MILCH (EINSCHLIESSLICH LAKTOSE)</t>
        </is>
      </c>
      <c r="AC824" s="151" t="n"/>
      <c r="AD824" s="150" t="n">
        <v>0.98005</v>
      </c>
      <c r="AE824" s="149" t="n">
        <v>9.27</v>
      </c>
      <c r="AF824" s="151" t="inlineStr">
        <is>
          <t>grams</t>
        </is>
      </c>
      <c r="AG824" s="151" t="n"/>
      <c r="AH824" s="151" t="n"/>
    </row>
    <row r="825">
      <c r="A825" s="151" t="inlineStr">
        <is>
          <t>FV1145A - Roasted Salmon &amp; Dill Yogurt [DKSE]</t>
        </is>
      </c>
      <c r="B825" s="151" t="inlineStr">
        <is>
          <t>REC-029971-4-001</t>
        </is>
      </c>
      <c r="C825" s="151" t="inlineStr">
        <is>
          <t>Lemon Dill Yogurt</t>
        </is>
      </c>
      <c r="D825" s="151" t="inlineStr">
        <is>
          <t>SUB-029910-4-001</t>
        </is>
      </c>
      <c r="E825" s="150" t="n">
        <v>35</v>
      </c>
      <c r="F825" s="151" t="inlineStr">
        <is>
          <t>grams</t>
        </is>
      </c>
      <c r="G825" s="151" t="inlineStr">
        <is>
          <t>CUPPING, IMMERSION BLENDER</t>
        </is>
      </c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inlineStr">
        <is>
          <t>FA-DE Sour Cream /Sauerrahm</t>
        </is>
      </c>
      <c r="X825" s="151" t="inlineStr">
        <is>
          <t>DAI-00-139141-3</t>
        </is>
      </c>
      <c r="Y825" s="155" t="inlineStr">
        <is>
          <t>15,07</t>
        </is>
      </c>
      <c r="Z825" s="149" t="inlineStr">
        <is>
          <t>15,07</t>
        </is>
      </c>
      <c r="AA825" s="151" t="inlineStr">
        <is>
          <t>grams</t>
        </is>
      </c>
      <c r="AB825" s="151" t="inlineStr">
        <is>
          <t>MILCH (EINSCHLIESSLICH LAKTOSE)</t>
        </is>
      </c>
      <c r="AC825" s="151" t="n"/>
      <c r="AD825" s="150" t="n">
        <v>0.98005</v>
      </c>
      <c r="AE825" s="149" t="n">
        <v>15.07</v>
      </c>
      <c r="AF825" s="151" t="inlineStr">
        <is>
          <t>grams</t>
        </is>
      </c>
      <c r="AG825" s="151" t="n"/>
      <c r="AH825" s="151" t="n"/>
    </row>
    <row r="826">
      <c r="A826" s="151" t="inlineStr">
        <is>
          <t>FV1145A - Roasted Salmon &amp; Dill Yogurt [DKSE]</t>
        </is>
      </c>
      <c r="B826" s="151" t="inlineStr">
        <is>
          <t>REC-029971-4-001</t>
        </is>
      </c>
      <c r="C826" s="151" t="inlineStr">
        <is>
          <t>Lemon Dill Yogurt</t>
        </is>
      </c>
      <c r="D826" s="151" t="inlineStr">
        <is>
          <t>SUB-029910-4-001</t>
        </is>
      </c>
      <c r="E826" s="150" t="n">
        <v>35</v>
      </c>
      <c r="F826" s="151" t="inlineStr">
        <is>
          <t>grams</t>
        </is>
      </c>
      <c r="G826" s="151" t="inlineStr">
        <is>
          <t>CUPPING, IMMERSION BLENDER</t>
        </is>
      </c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inlineStr">
        <is>
          <t>FA-DE Spice, Lemon Powder /Gewürz, Zitronenpulver</t>
        </is>
      </c>
      <c r="X826" s="151" t="inlineStr">
        <is>
          <t>SPI-00-139362-5</t>
        </is>
      </c>
      <c r="Y826" s="151" t="inlineStr">
        <is>
          <t>0,01</t>
        </is>
      </c>
      <c r="Z826" s="149" t="inlineStr">
        <is>
          <t>0,01</t>
        </is>
      </c>
      <c r="AA826" s="151" t="inlineStr">
        <is>
          <t>grams</t>
        </is>
      </c>
      <c r="AB826" s="151" t="n"/>
      <c r="AC826" s="151" t="n"/>
      <c r="AD826" s="150" t="n">
        <v>0.98005</v>
      </c>
      <c r="AE826" s="149" t="n">
        <v>0.01</v>
      </c>
      <c r="AF826" s="151" t="inlineStr">
        <is>
          <t>grams</t>
        </is>
      </c>
      <c r="AG826" s="151" t="n"/>
      <c r="AH826" s="151" t="n"/>
    </row>
    <row r="827">
      <c r="A827" s="151" t="inlineStr">
        <is>
          <t>FV1145A - Roasted Salmon &amp; Dill Yogurt [DKSE]</t>
        </is>
      </c>
      <c r="B827" s="151" t="inlineStr">
        <is>
          <t>REC-029971-4-001</t>
        </is>
      </c>
      <c r="C827" s="151" t="inlineStr">
        <is>
          <t>Lemon Dill Yogurt</t>
        </is>
      </c>
      <c r="D827" s="151" t="inlineStr">
        <is>
          <t>SUB-029910-4-001</t>
        </is>
      </c>
      <c r="E827" s="150" t="n">
        <v>35</v>
      </c>
      <c r="F827" s="151" t="inlineStr">
        <is>
          <t>grams</t>
        </is>
      </c>
      <c r="G827" s="151" t="inlineStr">
        <is>
          <t>CUPPING, IMMERSION BLENDER</t>
        </is>
      </c>
      <c r="H827" s="151" t="inlineStr">
        <is>
          <t>Roasted Garlic (use)</t>
        </is>
      </c>
      <c r="I827" s="151" t="inlineStr">
        <is>
          <t>SUB-013367-4-001</t>
        </is>
      </c>
      <c r="J827" s="150" t="n">
        <v>1.74</v>
      </c>
      <c r="K827" s="151" t="inlineStr">
        <is>
          <t>grams</t>
        </is>
      </c>
      <c r="L827" s="151" t="inlineStr">
        <is>
          <t>BLAST CHILLER, OVEN</t>
        </is>
      </c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inlineStr">
        <is>
          <t>FA-DE Garlic, Peeled, Whole Cloves [10kg] /Knoblauch, geschält, ganze Nelken [10kg]</t>
        </is>
      </c>
      <c r="X827" s="151" t="inlineStr">
        <is>
          <t>PHF-00-139197-3</t>
        </is>
      </c>
      <c r="Y827" s="151" t="inlineStr">
        <is>
          <t>1,75</t>
        </is>
      </c>
      <c r="Z827" s="149" t="inlineStr">
        <is>
          <t>1,75</t>
        </is>
      </c>
      <c r="AA827" s="151" t="inlineStr">
        <is>
          <t>grams</t>
        </is>
      </c>
      <c r="AB827" s="151" t="n"/>
      <c r="AC827" s="151" t="n"/>
      <c r="AD827" s="150" t="n">
        <v>0.56691</v>
      </c>
      <c r="AE827" s="149" t="n">
        <v>1.75</v>
      </c>
      <c r="AF827" s="151" t="inlineStr">
        <is>
          <t>grams</t>
        </is>
      </c>
      <c r="AG827" s="151" t="n"/>
      <c r="AH827" s="151" t="n"/>
    </row>
    <row r="828">
      <c r="A828" s="151" t="inlineStr">
        <is>
          <t>FV1145A - Roasted Salmon &amp; Dill Yogurt [DKSE]</t>
        </is>
      </c>
      <c r="B828" s="151" t="inlineStr">
        <is>
          <t>REC-029971-4-001</t>
        </is>
      </c>
      <c r="C828" s="151" t="inlineStr">
        <is>
          <t>Lemon Dill Yogurt</t>
        </is>
      </c>
      <c r="D828" s="151" t="inlineStr">
        <is>
          <t>SUB-029910-4-001</t>
        </is>
      </c>
      <c r="E828" s="150" t="n">
        <v>35</v>
      </c>
      <c r="F828" s="151" t="inlineStr">
        <is>
          <t>grams</t>
        </is>
      </c>
      <c r="G828" s="151" t="inlineStr">
        <is>
          <t>CUPPING, IMMERSION BLENDER</t>
        </is>
      </c>
      <c r="H828" s="151" t="inlineStr">
        <is>
          <t>Roasted Garlic (use)</t>
        </is>
      </c>
      <c r="I828" s="151" t="inlineStr">
        <is>
          <t>SUB-013367-4-001</t>
        </is>
      </c>
      <c r="J828" s="150" t="n">
        <v>1.74</v>
      </c>
      <c r="K828" s="151" t="inlineStr">
        <is>
          <t>grams</t>
        </is>
      </c>
      <c r="L828" s="151" t="inlineStr">
        <is>
          <t>BLAST CHILLER, OVEN</t>
        </is>
      </c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inlineStr">
        <is>
          <t>FA-DE Oil, Olive /Öl, Olivenöl</t>
        </is>
      </c>
      <c r="X828" s="151" t="inlineStr">
        <is>
          <t>PRO-00-139277-5</t>
        </is>
      </c>
      <c r="Y828" s="153" t="inlineStr">
        <is>
          <t>1,31</t>
        </is>
      </c>
      <c r="Z828" s="149" t="inlineStr">
        <is>
          <t>1,31</t>
        </is>
      </c>
      <c r="AA828" s="151" t="inlineStr">
        <is>
          <t>grams</t>
        </is>
      </c>
      <c r="AB828" s="151" t="n"/>
      <c r="AC828" s="151" t="n"/>
      <c r="AD828" s="150" t="n">
        <v>0.56691</v>
      </c>
      <c r="AE828" s="149" t="n">
        <v>1.31</v>
      </c>
      <c r="AF828" s="151" t="inlineStr">
        <is>
          <t>grams</t>
        </is>
      </c>
      <c r="AG828" s="151" t="n"/>
      <c r="AH828" s="151" t="n"/>
    </row>
    <row r="829">
      <c r="A829" s="151" t="inlineStr">
        <is>
          <t>FV1145A - Roasted Salmon &amp; Dill Yogurt [DKSE]</t>
        </is>
      </c>
      <c r="B829" s="151" t="inlineStr">
        <is>
          <t>REC-029971-4-001</t>
        </is>
      </c>
      <c r="C829" s="151" t="inlineStr">
        <is>
          <t>Lemon Dill Yogurt</t>
        </is>
      </c>
      <c r="D829" s="151" t="inlineStr">
        <is>
          <t>SUB-029910-4-001</t>
        </is>
      </c>
      <c r="E829" s="150" t="n">
        <v>35</v>
      </c>
      <c r="F829" s="151" t="inlineStr">
        <is>
          <t>grams</t>
        </is>
      </c>
      <c r="G829" s="151" t="inlineStr">
        <is>
          <t>CUPPING, IMMERSION BLENDER</t>
        </is>
      </c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inlineStr">
        <is>
          <t>FA-DE Spice, Black Pepper, Ground /Gewürz, schwarzer Pfeffer, gemahlen</t>
        </is>
      </c>
      <c r="X829" s="151" t="inlineStr">
        <is>
          <t>SPI-00-139334-5</t>
        </is>
      </c>
      <c r="Y829" s="151" t="inlineStr">
        <is>
          <t>0,1</t>
        </is>
      </c>
      <c r="Z829" s="149" t="inlineStr">
        <is>
          <t>0,1</t>
        </is>
      </c>
      <c r="AA829" s="151" t="inlineStr">
        <is>
          <t>grams</t>
        </is>
      </c>
      <c r="AB829" s="151" t="n"/>
      <c r="AC829" s="151" t="n"/>
      <c r="AD829" s="150" t="n">
        <v>0.98005</v>
      </c>
      <c r="AE829" s="149" t="n">
        <v>0.1</v>
      </c>
      <c r="AF829" s="151" t="inlineStr">
        <is>
          <t>grams</t>
        </is>
      </c>
      <c r="AG829" s="151" t="n"/>
      <c r="AH829" s="151" t="n"/>
    </row>
    <row r="830">
      <c r="A830" s="151" t="inlineStr">
        <is>
          <t>FV1145A - Roasted Salmon &amp; Dill Yogurt [DKSE]</t>
        </is>
      </c>
      <c r="B830" s="151" t="inlineStr">
        <is>
          <t>REC-029971-4-001</t>
        </is>
      </c>
      <c r="C830" s="151" t="inlineStr">
        <is>
          <t>Lemon Dill Yogurt</t>
        </is>
      </c>
      <c r="D830" s="151" t="inlineStr">
        <is>
          <t>SUB-029910-4-001</t>
        </is>
      </c>
      <c r="E830" s="150" t="n">
        <v>35</v>
      </c>
      <c r="F830" s="151" t="inlineStr">
        <is>
          <t>grams</t>
        </is>
      </c>
      <c r="G830" s="151" t="inlineStr">
        <is>
          <t>CUPPING, IMMERSION BLENDER</t>
        </is>
      </c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inlineStr">
        <is>
          <t>FA-DE Milk, Whole /Milch, voll</t>
        </is>
      </c>
      <c r="X830" s="151" t="inlineStr">
        <is>
          <t>DAI-00-139142-3</t>
        </is>
      </c>
      <c r="Y830" s="151" t="inlineStr">
        <is>
          <t>7,53</t>
        </is>
      </c>
      <c r="Z830" s="149" t="inlineStr">
        <is>
          <t>7,53</t>
        </is>
      </c>
      <c r="AA830" s="151" t="inlineStr">
        <is>
          <t>grams</t>
        </is>
      </c>
      <c r="AB830" s="151" t="inlineStr">
        <is>
          <t>MILCH (EINSCHLIESSLICH LAKTOSE)</t>
        </is>
      </c>
      <c r="AC830" s="151" t="n"/>
      <c r="AD830" s="150" t="n">
        <v>0.98005</v>
      </c>
      <c r="AE830" s="149" t="n">
        <v>7.53</v>
      </c>
      <c r="AF830" s="151" t="inlineStr">
        <is>
          <t>grams</t>
        </is>
      </c>
      <c r="AG830" s="151" t="n"/>
      <c r="AH830" s="151" t="n"/>
    </row>
    <row r="831">
      <c r="A831" s="151" t="inlineStr">
        <is>
          <t>FV1145A - Roasted Salmon &amp; Dill Yogurt [DKSE]</t>
        </is>
      </c>
      <c r="B831" s="151" t="inlineStr">
        <is>
          <t>REC-029971-4-001</t>
        </is>
      </c>
      <c r="C831" s="151" t="inlineStr">
        <is>
          <t>Lemon Dill Yogurt</t>
        </is>
      </c>
      <c r="D831" s="151" t="inlineStr">
        <is>
          <t>SUB-029910-4-001</t>
        </is>
      </c>
      <c r="E831" s="150" t="n">
        <v>35</v>
      </c>
      <c r="F831" s="151" t="inlineStr">
        <is>
          <t>grams</t>
        </is>
      </c>
      <c r="G831" s="151" t="inlineStr">
        <is>
          <t>CUPPING, IMMERSION BLENDER</t>
        </is>
      </c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inlineStr">
        <is>
          <t>FA-DE Juice, Lemon /Saft, Zitrone</t>
        </is>
      </c>
      <c r="X831" s="151" t="inlineStr">
        <is>
          <t>PRO-00-139265-5</t>
        </is>
      </c>
      <c r="Y831" s="151" t="inlineStr">
        <is>
          <t>1,39</t>
        </is>
      </c>
      <c r="Z831" s="149" t="inlineStr">
        <is>
          <t>1,39</t>
        </is>
      </c>
      <c r="AA831" s="151" t="inlineStr">
        <is>
          <t>grams</t>
        </is>
      </c>
      <c r="AB831" s="151" t="n"/>
      <c r="AC831" s="151" t="n"/>
      <c r="AD831" s="150" t="n">
        <v>0.98005</v>
      </c>
      <c r="AE831" s="149" t="n">
        <v>1.39</v>
      </c>
      <c r="AF831" s="151" t="inlineStr">
        <is>
          <t>grams</t>
        </is>
      </c>
      <c r="AG831" s="151" t="n"/>
      <c r="AH831" s="151" t="n"/>
    </row>
    <row r="832">
      <c r="A832" s="151" t="inlineStr">
        <is>
          <t>FV1145A - Roasted Salmon &amp; Dill Yogurt [DKSE]</t>
        </is>
      </c>
      <c r="B832" s="151" t="inlineStr">
        <is>
          <t>REC-029971-4-001</t>
        </is>
      </c>
      <c r="C832" s="151" t="inlineStr">
        <is>
          <t>Lemon Dill Yogurt</t>
        </is>
      </c>
      <c r="D832" s="151" t="inlineStr">
        <is>
          <t>SUB-029910-4-001</t>
        </is>
      </c>
      <c r="E832" s="150" t="n">
        <v>35</v>
      </c>
      <c r="F832" s="151" t="inlineStr">
        <is>
          <t>grams</t>
        </is>
      </c>
      <c r="G832" s="151" t="inlineStr">
        <is>
          <t>CUPPING, IMMERSION BLENDER</t>
        </is>
      </c>
      <c r="H832" s="151" t="inlineStr">
        <is>
          <t>Picked Dill Leaves</t>
        </is>
      </c>
      <c r="I832" s="151" t="inlineStr">
        <is>
          <t>SUB-029918-4-001</t>
        </is>
      </c>
      <c r="J832" s="150" t="n">
        <v>0.6</v>
      </c>
      <c r="K832" s="151" t="inlineStr">
        <is>
          <t>grams</t>
        </is>
      </c>
      <c r="L832" s="151" t="inlineStr">
        <is>
          <t>DEBOX, STAGING</t>
        </is>
      </c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inlineStr">
        <is>
          <t>FA-DE Dill, Fresh/Dill, frisch</t>
        </is>
      </c>
      <c r="X832" s="151" t="inlineStr">
        <is>
          <t>PHF-00-139200-3</t>
        </is>
      </c>
      <c r="Y832" s="153" t="inlineStr">
        <is>
          <t>1,21</t>
        </is>
      </c>
      <c r="Z832" s="149" t="inlineStr">
        <is>
          <t>0,6</t>
        </is>
      </c>
      <c r="AA832" s="151" t="inlineStr">
        <is>
          <t>grams</t>
        </is>
      </c>
      <c r="AB832" s="151" t="n"/>
      <c r="AC832" s="151" t="n"/>
      <c r="AD832" s="150" t="n">
        <v>1</v>
      </c>
      <c r="AE832" s="149" t="n">
        <v>0.6</v>
      </c>
      <c r="AF832" s="151" t="inlineStr">
        <is>
          <t>grams</t>
        </is>
      </c>
      <c r="AG832" s="151" t="n"/>
      <c r="AH832" s="151" t="n"/>
    </row>
    <row r="833">
      <c r="A833" s="151" t="inlineStr">
        <is>
          <t>FV4006A - Pork tenderloin in sun dried tomato sauce [BNL]</t>
        </is>
      </c>
      <c r="B833" s="151" t="inlineStr">
        <is>
          <t>REC-014085-4-001</t>
        </is>
      </c>
      <c r="C833" s="151" t="inlineStr">
        <is>
          <t>Mash - Roasted Garlic Cauliflower Mashed</t>
        </is>
      </c>
      <c r="D833" s="151" t="inlineStr">
        <is>
          <t>SUB-013673-4-001</t>
        </is>
      </c>
      <c r="E833" s="150" t="n">
        <v>100</v>
      </c>
      <c r="F833" s="151" t="inlineStr">
        <is>
          <t>grams</t>
        </is>
      </c>
      <c r="G833" s="151" t="inlineStr">
        <is>
          <t>BLAST CHILLER, BRAISER, IMMERSION BLENDER, SPICE PORTIONING</t>
        </is>
      </c>
      <c r="H833" s="151" t="inlineStr">
        <is>
          <t>Steamed Cauliflower Rice</t>
        </is>
      </c>
      <c r="I833" s="151" t="inlineStr">
        <is>
          <t>SUB-029075-4-001</t>
        </is>
      </c>
      <c r="J833" s="150" t="n">
        <v>71.84</v>
      </c>
      <c r="K833" s="151" t="inlineStr">
        <is>
          <t>grams</t>
        </is>
      </c>
      <c r="L833" s="151" t="inlineStr">
        <is>
          <t>OVEN</t>
        </is>
      </c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inlineStr">
        <is>
          <t>FA-DE Cauliflower, Riced, IQF /Blumenkohl, Reis, IQF</t>
        </is>
      </c>
      <c r="X833" s="151" t="inlineStr">
        <is>
          <t>PHF-00-139233-1</t>
        </is>
      </c>
      <c r="Y833" s="151" t="inlineStr">
        <is>
          <t>75,65</t>
        </is>
      </c>
      <c r="Z833" s="149" t="inlineStr">
        <is>
          <t>75,65</t>
        </is>
      </c>
      <c r="AA833" s="151" t="inlineStr">
        <is>
          <t>grams</t>
        </is>
      </c>
      <c r="AB833" s="151" t="n"/>
      <c r="AC833" s="151" t="n"/>
      <c r="AD833" s="150" t="n">
        <v>0.94962</v>
      </c>
      <c r="AE833" s="149" t="n">
        <v>75.65000000000001</v>
      </c>
      <c r="AF833" s="151" t="inlineStr">
        <is>
          <t>grams</t>
        </is>
      </c>
      <c r="AG833" s="151" t="n"/>
      <c r="AH833" s="151" t="n"/>
    </row>
    <row r="834">
      <c r="A834" s="151" t="inlineStr">
        <is>
          <t>FV4006A - Pork tenderloin in sun dried tomato sauce [BNL]</t>
        </is>
      </c>
      <c r="B834" s="151" t="inlineStr">
        <is>
          <t>REC-014085-4-001</t>
        </is>
      </c>
      <c r="C834" s="151" t="inlineStr">
        <is>
          <t>Mash - Roasted Garlic Cauliflower Mashed</t>
        </is>
      </c>
      <c r="D834" s="151" t="inlineStr">
        <is>
          <t>SUB-013673-4-001</t>
        </is>
      </c>
      <c r="E834" s="150" t="n">
        <v>100</v>
      </c>
      <c r="F834" s="151" t="inlineStr">
        <is>
          <t>grams</t>
        </is>
      </c>
      <c r="G834" s="151" t="inlineStr">
        <is>
          <t>BLAST CHILLER, BRAISER, IMMERSION BLENDER, SPICE PORTIONING</t>
        </is>
      </c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inlineStr">
        <is>
          <t>FA-DE Butter, Unsalted /Butter, ungesalzen</t>
        </is>
      </c>
      <c r="X834" s="151" t="inlineStr">
        <is>
          <t>DAI-00-139146-3</t>
        </is>
      </c>
      <c r="Y834" s="151" t="inlineStr">
        <is>
          <t>10,64</t>
        </is>
      </c>
      <c r="Z834" s="149" t="inlineStr">
        <is>
          <t>10,64</t>
        </is>
      </c>
      <c r="AA834" s="151" t="inlineStr">
        <is>
          <t>grams</t>
        </is>
      </c>
      <c r="AB834" s="151" t="inlineStr">
        <is>
          <t>MILCH (EINSCHLIESSLICH LAKTOSE)</t>
        </is>
      </c>
      <c r="AC834" s="151" t="n"/>
      <c r="AD834" s="150" t="n">
        <v>0.98398</v>
      </c>
      <c r="AE834" s="149" t="n">
        <v>10.64</v>
      </c>
      <c r="AF834" s="151" t="inlineStr">
        <is>
          <t>grams</t>
        </is>
      </c>
      <c r="AG834" s="151" t="n"/>
      <c r="AH834" s="151" t="n"/>
    </row>
    <row r="835">
      <c r="A835" s="151" t="inlineStr">
        <is>
          <t>FV4006A - Pork tenderloin in sun dried tomato sauce [BNL]</t>
        </is>
      </c>
      <c r="B835" s="151" t="inlineStr">
        <is>
          <t>REC-014085-4-001</t>
        </is>
      </c>
      <c r="C835" s="151" t="inlineStr">
        <is>
          <t>Mash - Roasted Garlic Cauliflower Mashed</t>
        </is>
      </c>
      <c r="D835" s="151" t="inlineStr">
        <is>
          <t>SUB-013673-4-001</t>
        </is>
      </c>
      <c r="E835" s="150" t="n">
        <v>100</v>
      </c>
      <c r="F835" s="151" t="inlineStr">
        <is>
          <t>grams</t>
        </is>
      </c>
      <c r="G835" s="151" t="inlineStr">
        <is>
          <t>BLAST CHILLER, BRAISER, IMMERSION BLENDER, SPICE PORTIONING</t>
        </is>
      </c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inlineStr">
        <is>
          <t>FA-DE Cheese, Cream, 13% Fat (Milk) /Käse, Sahne, 13% Fett</t>
        </is>
      </c>
      <c r="X835" s="151" t="inlineStr">
        <is>
          <t>DAI-00-139122-3</t>
        </is>
      </c>
      <c r="Y835" s="151" t="inlineStr">
        <is>
          <t>15,96</t>
        </is>
      </c>
      <c r="Z835" s="149" t="inlineStr">
        <is>
          <t>15,96</t>
        </is>
      </c>
      <c r="AA835" s="151" t="inlineStr">
        <is>
          <t>grams</t>
        </is>
      </c>
      <c r="AB835" s="151" t="inlineStr">
        <is>
          <t>MILCH (EINSCHLIESSLICH LAKTOSE)</t>
        </is>
      </c>
      <c r="AC835" s="151" t="n"/>
      <c r="AD835" s="150" t="n">
        <v>0.98398</v>
      </c>
      <c r="AE835" s="149" t="n">
        <v>15.96</v>
      </c>
      <c r="AF835" s="151" t="inlineStr">
        <is>
          <t>grams</t>
        </is>
      </c>
      <c r="AG835" s="151" t="n"/>
      <c r="AH835" s="151" t="n"/>
    </row>
    <row r="836">
      <c r="A836" s="151" t="inlineStr">
        <is>
          <t>FV4006A - Pork tenderloin in sun dried tomato sauce [BNL]</t>
        </is>
      </c>
      <c r="B836" s="151" t="inlineStr">
        <is>
          <t>REC-014085-4-001</t>
        </is>
      </c>
      <c r="C836" s="151" t="inlineStr">
        <is>
          <t>Mash - Roasted Garlic Cauliflower Mashed</t>
        </is>
      </c>
      <c r="D836" s="151" t="inlineStr">
        <is>
          <t>SUB-013673-4-001</t>
        </is>
      </c>
      <c r="E836" s="150" t="n">
        <v>100</v>
      </c>
      <c r="F836" s="151" t="inlineStr">
        <is>
          <t>grams</t>
        </is>
      </c>
      <c r="G836" s="151" t="inlineStr">
        <is>
          <t>BLAST CHILLER, BRAISER, IMMERSION BLENDER, SPICE PORTIONING</t>
        </is>
      </c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inlineStr">
        <is>
          <t>FA-DE Spice, Sea Salt /Gewürze, Meersalz</t>
        </is>
      </c>
      <c r="X836" s="151" t="inlineStr">
        <is>
          <t>SPI-00-139378-5</t>
        </is>
      </c>
      <c r="Y836" s="151" t="inlineStr">
        <is>
          <t>0,49</t>
        </is>
      </c>
      <c r="Z836" s="149" t="inlineStr">
        <is>
          <t>0,49</t>
        </is>
      </c>
      <c r="AA836" s="151" t="inlineStr">
        <is>
          <t>grams</t>
        </is>
      </c>
      <c r="AB836" s="151" t="n"/>
      <c r="AC836" s="151" t="n"/>
      <c r="AD836" s="150" t="n">
        <v>0.98398</v>
      </c>
      <c r="AE836" s="149" t="n">
        <v>0.49</v>
      </c>
      <c r="AF836" s="151" t="inlineStr">
        <is>
          <t>grams</t>
        </is>
      </c>
      <c r="AG836" s="151" t="n"/>
      <c r="AH836" s="151" t="n"/>
    </row>
    <row r="837">
      <c r="A837" s="151" t="inlineStr">
        <is>
          <t>FV4006A - Pork tenderloin in sun dried tomato sauce [BNL]</t>
        </is>
      </c>
      <c r="B837" s="151" t="inlineStr">
        <is>
          <t>REC-014085-4-001</t>
        </is>
      </c>
      <c r="C837" s="151" t="inlineStr">
        <is>
          <t>Mash - Roasted Garlic Cauliflower Mashed</t>
        </is>
      </c>
      <c r="D837" s="151" t="inlineStr">
        <is>
          <t>SUB-013673-4-001</t>
        </is>
      </c>
      <c r="E837" s="150" t="n">
        <v>100</v>
      </c>
      <c r="F837" s="151" t="inlineStr">
        <is>
          <t>grams</t>
        </is>
      </c>
      <c r="G837" s="151" t="inlineStr">
        <is>
          <t>BLAST CHILLER, BRAISER, IMMERSION BLENDER, SPICE PORTIONING</t>
        </is>
      </c>
      <c r="H837" s="151" t="inlineStr">
        <is>
          <t>Roasted Garlic (use)</t>
        </is>
      </c>
      <c r="I837" s="151" t="inlineStr">
        <is>
          <t>SUB-013367-4-001</t>
        </is>
      </c>
      <c r="J837" s="150" t="n">
        <v>2.69</v>
      </c>
      <c r="K837" s="151" t="inlineStr">
        <is>
          <t>grams</t>
        </is>
      </c>
      <c r="L837" s="151" t="inlineStr">
        <is>
          <t>BLAST CHILLER, OVEN</t>
        </is>
      </c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inlineStr">
        <is>
          <t>FA-DE Garlic, Peeled, Whole Cloves [10kg] /Knoblauch, geschält, ganze Nelken [10kg]</t>
        </is>
      </c>
      <c r="X837" s="151" t="inlineStr">
        <is>
          <t>PHF-00-139197-3</t>
        </is>
      </c>
      <c r="Y837" s="151" t="inlineStr">
        <is>
          <t>2,71</t>
        </is>
      </c>
      <c r="Z837" s="149" t="inlineStr">
        <is>
          <t>2,71</t>
        </is>
      </c>
      <c r="AA837" s="151" t="inlineStr">
        <is>
          <t>grams</t>
        </is>
      </c>
      <c r="AB837" s="151" t="n"/>
      <c r="AC837" s="151" t="n"/>
      <c r="AD837" s="150" t="n">
        <v>0.56691</v>
      </c>
      <c r="AE837" s="149" t="n">
        <v>2.71</v>
      </c>
      <c r="AF837" s="151" t="inlineStr">
        <is>
          <t>grams</t>
        </is>
      </c>
      <c r="AG837" s="151" t="n"/>
      <c r="AH837" s="151" t="n"/>
    </row>
    <row r="838">
      <c r="A838" s="151" t="inlineStr">
        <is>
          <t>FV4006A - Pork tenderloin in sun dried tomato sauce [BNL]</t>
        </is>
      </c>
      <c r="B838" s="151" t="inlineStr">
        <is>
          <t>REC-014085-4-001</t>
        </is>
      </c>
      <c r="C838" s="151" t="inlineStr">
        <is>
          <t>Mash - Roasted Garlic Cauliflower Mashed</t>
        </is>
      </c>
      <c r="D838" s="151" t="inlineStr">
        <is>
          <t>SUB-013673-4-001</t>
        </is>
      </c>
      <c r="E838" s="150" t="n">
        <v>100</v>
      </c>
      <c r="F838" s="151" t="inlineStr">
        <is>
          <t>grams</t>
        </is>
      </c>
      <c r="G838" s="151" t="inlineStr">
        <is>
          <t>BLAST CHILLER, BRAISER, IMMERSION BLENDER, SPICE PORTIONING</t>
        </is>
      </c>
      <c r="H838" s="151" t="inlineStr">
        <is>
          <t>Roasted Garlic (use)</t>
        </is>
      </c>
      <c r="I838" s="151" t="inlineStr">
        <is>
          <t>SUB-013367-4-001</t>
        </is>
      </c>
      <c r="J838" s="150" t="n">
        <v>2.69</v>
      </c>
      <c r="K838" s="151" t="inlineStr">
        <is>
          <t>grams</t>
        </is>
      </c>
      <c r="L838" s="151" t="inlineStr">
        <is>
          <t>BLAST CHILLER, OVEN</t>
        </is>
      </c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inlineStr">
        <is>
          <t>FA-DE Oil, Olive /Öl, Olivenöl</t>
        </is>
      </c>
      <c r="X838" s="151" t="inlineStr">
        <is>
          <t>PRO-00-139277-5</t>
        </is>
      </c>
      <c r="Y838" s="154" t="inlineStr">
        <is>
          <t>2,04</t>
        </is>
      </c>
      <c r="Z838" s="149" t="inlineStr">
        <is>
          <t>2,04</t>
        </is>
      </c>
      <c r="AA838" s="151" t="inlineStr">
        <is>
          <t>grams</t>
        </is>
      </c>
      <c r="AB838" s="151" t="n"/>
      <c r="AC838" s="151" t="n"/>
      <c r="AD838" s="150" t="n">
        <v>0.56691</v>
      </c>
      <c r="AE838" s="149" t="n">
        <v>2.04</v>
      </c>
      <c r="AF838" s="151" t="inlineStr">
        <is>
          <t>grams</t>
        </is>
      </c>
      <c r="AG838" s="151" t="n"/>
      <c r="AH838" s="151" t="n"/>
    </row>
    <row r="839">
      <c r="A839" s="151" t="inlineStr">
        <is>
          <t>FV4006A - Pork tenderloin in sun dried tomato sauce [BNL]</t>
        </is>
      </c>
      <c r="B839" s="151" t="inlineStr">
        <is>
          <t>REC-014085-4-001</t>
        </is>
      </c>
      <c r="C839" s="151" t="inlineStr">
        <is>
          <t>Pork tenderloin - herb marinade</t>
        </is>
      </c>
      <c r="D839" s="151" t="inlineStr">
        <is>
          <t>SUB-013466-4-001</t>
        </is>
      </c>
      <c r="E839" s="150" t="n">
        <v>140</v>
      </c>
      <c r="F839" s="151" t="inlineStr">
        <is>
          <t>grams</t>
        </is>
      </c>
      <c r="G839" s="151" t="inlineStr">
        <is>
          <t>BLAST CHILLER, GRILL, MARINADE, OVEN, SLICER</t>
        </is>
      </c>
      <c r="H839" s="151" t="inlineStr">
        <is>
          <t>Pork Tenderloin - HERB BRINED</t>
        </is>
      </c>
      <c r="I839" s="151" t="inlineStr">
        <is>
          <t>SUB-013465-4-001</t>
        </is>
      </c>
      <c r="J839" s="150" t="n">
        <v>170</v>
      </c>
      <c r="K839" s="151" t="inlineStr">
        <is>
          <t>grams</t>
        </is>
      </c>
      <c r="L839" s="151" t="inlineStr">
        <is>
          <t>BRINE</t>
        </is>
      </c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inlineStr">
        <is>
          <t>FA-DE Water / Wasser</t>
        </is>
      </c>
      <c r="X839" s="151" t="inlineStr">
        <is>
          <t>OTH-00-144038-5</t>
        </is>
      </c>
      <c r="Y839" s="150" t="n">
        <v>170</v>
      </c>
      <c r="Z839" s="152" t="n">
        <v>170</v>
      </c>
      <c r="AA839" s="151" t="inlineStr">
        <is>
          <t>grams</t>
        </is>
      </c>
      <c r="AB839" s="151" t="n"/>
      <c r="AC839" s="151" t="n"/>
      <c r="AD839" s="150" t="n">
        <v>0.49656</v>
      </c>
      <c r="AE839" s="152" t="n">
        <v>170</v>
      </c>
      <c r="AF839" s="151" t="inlineStr">
        <is>
          <t>grams</t>
        </is>
      </c>
      <c r="AG839" s="151" t="n"/>
      <c r="AH839" s="151" t="n"/>
    </row>
    <row r="840">
      <c r="A840" s="151" t="inlineStr">
        <is>
          <t>FV4006A - Pork tenderloin in sun dried tomato sauce [BNL]</t>
        </is>
      </c>
      <c r="B840" s="151" t="inlineStr">
        <is>
          <t>REC-014085-4-001</t>
        </is>
      </c>
      <c r="C840" s="151" t="inlineStr">
        <is>
          <t>Pork tenderloin - herb marinade</t>
        </is>
      </c>
      <c r="D840" s="151" t="inlineStr">
        <is>
          <t>SUB-013466-4-001</t>
        </is>
      </c>
      <c r="E840" s="150" t="n">
        <v>140</v>
      </c>
      <c r="F840" s="151" t="inlineStr">
        <is>
          <t>grams</t>
        </is>
      </c>
      <c r="G840" s="151" t="inlineStr">
        <is>
          <t>BLAST CHILLER, GRILL, MARINADE, OVEN, SLICER</t>
        </is>
      </c>
      <c r="H840" s="151" t="inlineStr">
        <is>
          <t>Pork Tenderloin - HERB BRINED</t>
        </is>
      </c>
      <c r="I840" s="151" t="inlineStr">
        <is>
          <t>SUB-013465-4-001</t>
        </is>
      </c>
      <c r="J840" s="150" t="n">
        <v>170</v>
      </c>
      <c r="K840" s="151" t="inlineStr">
        <is>
          <t>grams</t>
        </is>
      </c>
      <c r="L840" s="151" t="inlineStr">
        <is>
          <t>BRINE</t>
        </is>
      </c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inlineStr">
        <is>
          <t>FA-DE Spice, Thyme Dry /Gewürz, Thymian trocken</t>
        </is>
      </c>
      <c r="X840" s="151" t="inlineStr">
        <is>
          <t>SPI-00-139385-5</t>
        </is>
      </c>
      <c r="Y840" s="151" t="inlineStr">
        <is>
          <t>0,28</t>
        </is>
      </c>
      <c r="Z840" s="149" t="inlineStr">
        <is>
          <t>0,28</t>
        </is>
      </c>
      <c r="AA840" s="151" t="inlineStr">
        <is>
          <t>grams</t>
        </is>
      </c>
      <c r="AB840" s="151" t="n"/>
      <c r="AC840" s="151" t="n"/>
      <c r="AD840" s="150" t="n">
        <v>0.49656</v>
      </c>
      <c r="AE840" s="149" t="n">
        <v>0.28</v>
      </c>
      <c r="AF840" s="151" t="inlineStr">
        <is>
          <t>grams</t>
        </is>
      </c>
      <c r="AG840" s="151" t="n"/>
      <c r="AH840" s="151" t="n"/>
    </row>
    <row r="841">
      <c r="A841" s="151" t="inlineStr">
        <is>
          <t>FV4006A - Pork tenderloin in sun dried tomato sauce [BNL]</t>
        </is>
      </c>
      <c r="B841" s="151" t="inlineStr">
        <is>
          <t>REC-014085-4-001</t>
        </is>
      </c>
      <c r="C841" s="151" t="inlineStr">
        <is>
          <t>Pork tenderloin - herb marinade</t>
        </is>
      </c>
      <c r="D841" s="151" t="inlineStr">
        <is>
          <t>SUB-013466-4-001</t>
        </is>
      </c>
      <c r="E841" s="150" t="n">
        <v>140</v>
      </c>
      <c r="F841" s="151" t="inlineStr">
        <is>
          <t>grams</t>
        </is>
      </c>
      <c r="G841" s="151" t="inlineStr">
        <is>
          <t>BLAST CHILLER, GRILL, MARINADE, OVEN, SLICER</t>
        </is>
      </c>
      <c r="H841" s="151" t="inlineStr">
        <is>
          <t>Pork Tenderloin - HERB BRINED</t>
        </is>
      </c>
      <c r="I841" s="151" t="inlineStr">
        <is>
          <t>SUB-013465-4-001</t>
        </is>
      </c>
      <c r="J841" s="150" t="n">
        <v>170</v>
      </c>
      <c r="K841" s="151" t="inlineStr">
        <is>
          <t>grams</t>
        </is>
      </c>
      <c r="L841" s="151" t="inlineStr">
        <is>
          <t>BRINE</t>
        </is>
      </c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inlineStr">
        <is>
          <t>FA-DE Pork, Tenderloin /Schweinefleisch, Filet</t>
        </is>
      </c>
      <c r="X841" s="151" t="inlineStr">
        <is>
          <t>PTN-00-139310-3</t>
        </is>
      </c>
      <c r="Y841" s="150" t="n">
        <v>170</v>
      </c>
      <c r="Z841" s="152" t="n">
        <v>170</v>
      </c>
      <c r="AA841" s="151" t="inlineStr">
        <is>
          <t>grams</t>
        </is>
      </c>
      <c r="AB841" s="151" t="n"/>
      <c r="AC841" s="151" t="n"/>
      <c r="AD841" s="150" t="n">
        <v>0.49656</v>
      </c>
      <c r="AE841" s="152" t="n">
        <v>170</v>
      </c>
      <c r="AF841" s="151" t="inlineStr">
        <is>
          <t>grams</t>
        </is>
      </c>
      <c r="AG841" s="151" t="n"/>
      <c r="AH841" s="151" t="n"/>
    </row>
    <row r="842">
      <c r="A842" s="151" t="inlineStr">
        <is>
          <t>FV4006A - Pork tenderloin in sun dried tomato sauce [BNL]</t>
        </is>
      </c>
      <c r="B842" s="151" t="inlineStr">
        <is>
          <t>REC-014085-4-001</t>
        </is>
      </c>
      <c r="C842" s="151" t="inlineStr">
        <is>
          <t>Pork tenderloin - herb marinade</t>
        </is>
      </c>
      <c r="D842" s="151" t="inlineStr">
        <is>
          <t>SUB-013466-4-001</t>
        </is>
      </c>
      <c r="E842" s="150" t="n">
        <v>140</v>
      </c>
      <c r="F842" s="151" t="inlineStr">
        <is>
          <t>grams</t>
        </is>
      </c>
      <c r="G842" s="151" t="inlineStr">
        <is>
          <t>BLAST CHILLER, GRILL, MARINADE, OVEN, SLICER</t>
        </is>
      </c>
      <c r="H842" s="151" t="inlineStr">
        <is>
          <t>Pork Tenderloin - HERB BRINED</t>
        </is>
      </c>
      <c r="I842" s="151" t="inlineStr">
        <is>
          <t>SUB-013465-4-001</t>
        </is>
      </c>
      <c r="J842" s="150" t="n">
        <v>170</v>
      </c>
      <c r="K842" s="151" t="inlineStr">
        <is>
          <t>grams</t>
        </is>
      </c>
      <c r="L842" s="151" t="inlineStr">
        <is>
          <t>BRINE</t>
        </is>
      </c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inlineStr">
        <is>
          <t>FA-DE Spice, Sage, Rubbed /Gewürz, Salbei, gerieben</t>
        </is>
      </c>
      <c r="X842" s="151" t="inlineStr">
        <is>
          <t>SPI-00-139377-5</t>
        </is>
      </c>
      <c r="Y842" s="151" t="inlineStr">
        <is>
          <t>0,28</t>
        </is>
      </c>
      <c r="Z842" s="149" t="inlineStr">
        <is>
          <t>0,28</t>
        </is>
      </c>
      <c r="AA842" s="151" t="inlineStr">
        <is>
          <t>grams</t>
        </is>
      </c>
      <c r="AB842" s="151" t="n"/>
      <c r="AC842" s="151" t="n"/>
      <c r="AD842" s="150" t="n">
        <v>0.49656</v>
      </c>
      <c r="AE842" s="149" t="n">
        <v>0.28</v>
      </c>
      <c r="AF842" s="151" t="inlineStr">
        <is>
          <t>grams</t>
        </is>
      </c>
      <c r="AG842" s="151" t="n"/>
      <c r="AH842" s="151" t="n"/>
    </row>
    <row r="843">
      <c r="A843" s="151" t="inlineStr">
        <is>
          <t>FV4006A - Pork tenderloin in sun dried tomato sauce [BNL]</t>
        </is>
      </c>
      <c r="B843" s="151" t="inlineStr">
        <is>
          <t>REC-014085-4-001</t>
        </is>
      </c>
      <c r="C843" s="151" t="inlineStr">
        <is>
          <t>Pork tenderloin - herb marinade</t>
        </is>
      </c>
      <c r="D843" s="151" t="inlineStr">
        <is>
          <t>SUB-013466-4-001</t>
        </is>
      </c>
      <c r="E843" s="150" t="n">
        <v>140</v>
      </c>
      <c r="F843" s="151" t="inlineStr">
        <is>
          <t>grams</t>
        </is>
      </c>
      <c r="G843" s="151" t="inlineStr">
        <is>
          <t>BLAST CHILLER, GRILL, MARINADE, OVEN, SLICER</t>
        </is>
      </c>
      <c r="H843" s="151" t="inlineStr">
        <is>
          <t>Pork Tenderloin - HERB BRINED</t>
        </is>
      </c>
      <c r="I843" s="151" t="inlineStr">
        <is>
          <t>SUB-013465-4-001</t>
        </is>
      </c>
      <c r="J843" s="150" t="n">
        <v>170</v>
      </c>
      <c r="K843" s="151" t="inlineStr">
        <is>
          <t>grams</t>
        </is>
      </c>
      <c r="L843" s="151" t="inlineStr">
        <is>
          <t>BRINE</t>
        </is>
      </c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inlineStr">
        <is>
          <t>FA-DE Spice, Sea Salt /Gewürze, Meersalz</t>
        </is>
      </c>
      <c r="X843" s="151" t="inlineStr">
        <is>
          <t>SPI-00-139378-5</t>
        </is>
      </c>
      <c r="Y843" s="151" t="inlineStr">
        <is>
          <t>1,5</t>
        </is>
      </c>
      <c r="Z843" s="149" t="inlineStr">
        <is>
          <t>1,5</t>
        </is>
      </c>
      <c r="AA843" s="151" t="inlineStr">
        <is>
          <t>grams</t>
        </is>
      </c>
      <c r="AB843" s="151" t="n"/>
      <c r="AC843" s="151" t="n"/>
      <c r="AD843" s="150" t="n">
        <v>0.49656</v>
      </c>
      <c r="AE843" s="149" t="n">
        <v>1.5</v>
      </c>
      <c r="AF843" s="151" t="inlineStr">
        <is>
          <t>grams</t>
        </is>
      </c>
      <c r="AG843" s="151" t="n"/>
      <c r="AH843" s="151" t="n"/>
    </row>
    <row r="844">
      <c r="A844" s="151" t="inlineStr">
        <is>
          <t>FV4006A - Pork tenderloin in sun dried tomato sauce [BNL]</t>
        </is>
      </c>
      <c r="B844" s="151" t="inlineStr">
        <is>
          <t>REC-014085-4-001</t>
        </is>
      </c>
      <c r="C844" s="151" t="inlineStr">
        <is>
          <t>Pork tenderloin - herb marinade</t>
        </is>
      </c>
      <c r="D844" s="151" t="inlineStr">
        <is>
          <t>SUB-013466-4-001</t>
        </is>
      </c>
      <c r="E844" s="150" t="n">
        <v>140</v>
      </c>
      <c r="F844" s="151" t="inlineStr">
        <is>
          <t>grams</t>
        </is>
      </c>
      <c r="G844" s="151" t="inlineStr">
        <is>
          <t>BLAST CHILLER, GRILL, MARINADE, OVEN, SLICER</t>
        </is>
      </c>
      <c r="H844" s="151" t="inlineStr">
        <is>
          <t>Pork Tenderloin - HERB BRINED</t>
        </is>
      </c>
      <c r="I844" s="151" t="inlineStr">
        <is>
          <t>SUB-013465-4-001</t>
        </is>
      </c>
      <c r="J844" s="150" t="n">
        <v>170</v>
      </c>
      <c r="K844" s="151" t="inlineStr">
        <is>
          <t>grams</t>
        </is>
      </c>
      <c r="L844" s="151" t="inlineStr">
        <is>
          <t>BRINE</t>
        </is>
      </c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inlineStr">
        <is>
          <t>FA-DE Dried Rosemary/Rosmarin getrocknet</t>
        </is>
      </c>
      <c r="X844" s="151" t="inlineStr">
        <is>
          <t>SPI-00-143552-5</t>
        </is>
      </c>
      <c r="Y844" s="151" t="inlineStr">
        <is>
          <t>0,28</t>
        </is>
      </c>
      <c r="Z844" s="149" t="inlineStr">
        <is>
          <t>0,28</t>
        </is>
      </c>
      <c r="AA844" s="151" t="inlineStr">
        <is>
          <t>grams</t>
        </is>
      </c>
      <c r="AB844" s="151" t="n"/>
      <c r="AC844" s="151" t="n"/>
      <c r="AD844" s="150" t="n">
        <v>0.49656</v>
      </c>
      <c r="AE844" s="149" t="n">
        <v>0.28</v>
      </c>
      <c r="AF844" s="151" t="inlineStr">
        <is>
          <t>grams</t>
        </is>
      </c>
      <c r="AG844" s="151" t="n"/>
      <c r="AH844" s="151" t="n"/>
    </row>
    <row r="845">
      <c r="A845" s="151" t="inlineStr">
        <is>
          <t>FV4006A - Pork tenderloin in sun dried tomato sauce [BNL]</t>
        </is>
      </c>
      <c r="B845" s="151" t="inlineStr">
        <is>
          <t>REC-014085-4-001</t>
        </is>
      </c>
      <c r="C845" s="151" t="inlineStr">
        <is>
          <t>Pork tenderloin - herb marinade</t>
        </is>
      </c>
      <c r="D845" s="151" t="inlineStr">
        <is>
          <t>SUB-013466-4-001</t>
        </is>
      </c>
      <c r="E845" s="150" t="n">
        <v>140</v>
      </c>
      <c r="F845" s="151" t="inlineStr">
        <is>
          <t>grams</t>
        </is>
      </c>
      <c r="G845" s="151" t="inlineStr">
        <is>
          <t>BLAST CHILLER, GRILL, MARINADE, OVEN, SLICER</t>
        </is>
      </c>
      <c r="H845" s="151" t="inlineStr">
        <is>
          <t>Herb Marinade for Pork Tenderloin</t>
        </is>
      </c>
      <c r="I845" s="151" t="inlineStr">
        <is>
          <t>SUB-031651-4-001</t>
        </is>
      </c>
      <c r="J845" s="150" t="n">
        <v>12</v>
      </c>
      <c r="K845" s="151" t="inlineStr">
        <is>
          <t>grams</t>
        </is>
      </c>
      <c r="L845" s="151" t="inlineStr">
        <is>
          <t>UNCATEGORIZED BOM</t>
        </is>
      </c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inlineStr">
        <is>
          <t>FA-DE Oil, Olive /Öl, Olivenöl</t>
        </is>
      </c>
      <c r="X845" s="151" t="inlineStr">
        <is>
          <t>PRO-00-139277-5</t>
        </is>
      </c>
      <c r="Y845" s="155" t="inlineStr">
        <is>
          <t>11,1</t>
        </is>
      </c>
      <c r="Z845" s="149" t="inlineStr">
        <is>
          <t>11,1</t>
        </is>
      </c>
      <c r="AA845" s="151" t="inlineStr">
        <is>
          <t>grams</t>
        </is>
      </c>
      <c r="AB845" s="151" t="n"/>
      <c r="AC845" s="151" t="n"/>
      <c r="AD845" s="150" t="n">
        <v>0.99855</v>
      </c>
      <c r="AE845" s="149" t="n">
        <v>11.1</v>
      </c>
      <c r="AF845" s="151" t="inlineStr">
        <is>
          <t>grams</t>
        </is>
      </c>
      <c r="AG845" s="151" t="n"/>
      <c r="AH845" s="151" t="n"/>
    </row>
    <row r="846">
      <c r="A846" s="151" t="inlineStr">
        <is>
          <t>FV4006A - Pork tenderloin in sun dried tomato sauce [BNL]</t>
        </is>
      </c>
      <c r="B846" s="151" t="inlineStr">
        <is>
          <t>REC-014085-4-001</t>
        </is>
      </c>
      <c r="C846" s="151" t="inlineStr">
        <is>
          <t>Pork tenderloin - herb marinade</t>
        </is>
      </c>
      <c r="D846" s="151" t="inlineStr">
        <is>
          <t>SUB-013466-4-001</t>
        </is>
      </c>
      <c r="E846" s="150" t="n">
        <v>140</v>
      </c>
      <c r="F846" s="151" t="inlineStr">
        <is>
          <t>grams</t>
        </is>
      </c>
      <c r="G846" s="151" t="inlineStr">
        <is>
          <t>BLAST CHILLER, GRILL, MARINADE, OVEN, SLICER</t>
        </is>
      </c>
      <c r="H846" s="151" t="inlineStr">
        <is>
          <t>Herb Marinade for Pork Tenderloin</t>
        </is>
      </c>
      <c r="I846" s="151" t="inlineStr">
        <is>
          <t>SUB-031651-4-001</t>
        </is>
      </c>
      <c r="J846" s="150" t="n">
        <v>12</v>
      </c>
      <c r="K846" s="151" t="inlineStr">
        <is>
          <t>grams</t>
        </is>
      </c>
      <c r="L846" s="151" t="inlineStr">
        <is>
          <t>UNCATEGORIZED BOM</t>
        </is>
      </c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inlineStr">
        <is>
          <t>FA-DE Spice, Oregano Dry /Gewürz, Oregano trocken</t>
        </is>
      </c>
      <c r="X846" s="151" t="inlineStr">
        <is>
          <t>SPI-00-139372-5</t>
        </is>
      </c>
      <c r="Y846" s="151" t="inlineStr">
        <is>
          <t>0,03</t>
        </is>
      </c>
      <c r="Z846" s="149" t="inlineStr">
        <is>
          <t>0,03</t>
        </is>
      </c>
      <c r="AA846" s="151" t="inlineStr">
        <is>
          <t>grams</t>
        </is>
      </c>
      <c r="AB846" s="151" t="n"/>
      <c r="AC846" s="151" t="n"/>
      <c r="AD846" s="150" t="n">
        <v>0.99855</v>
      </c>
      <c r="AE846" s="149" t="n">
        <v>0.03</v>
      </c>
      <c r="AF846" s="151" t="inlineStr">
        <is>
          <t>grams</t>
        </is>
      </c>
      <c r="AG846" s="151" t="n"/>
      <c r="AH846" s="151" t="n"/>
    </row>
    <row r="847">
      <c r="A847" s="151" t="inlineStr">
        <is>
          <t>FV4006A - Pork tenderloin in sun dried tomato sauce [BNL]</t>
        </is>
      </c>
      <c r="B847" s="151" t="inlineStr">
        <is>
          <t>REC-014085-4-001</t>
        </is>
      </c>
      <c r="C847" s="151" t="inlineStr">
        <is>
          <t>Pork tenderloin - herb marinade</t>
        </is>
      </c>
      <c r="D847" s="151" t="inlineStr">
        <is>
          <t>SUB-013466-4-001</t>
        </is>
      </c>
      <c r="E847" s="150" t="n">
        <v>140</v>
      </c>
      <c r="F847" s="151" t="inlineStr">
        <is>
          <t>grams</t>
        </is>
      </c>
      <c r="G847" s="151" t="inlineStr">
        <is>
          <t>BLAST CHILLER, GRILL, MARINADE, OVEN, SLICER</t>
        </is>
      </c>
      <c r="H847" s="151" t="inlineStr">
        <is>
          <t>Herb Marinade for Pork Tenderloin</t>
        </is>
      </c>
      <c r="I847" s="151" t="inlineStr">
        <is>
          <t>SUB-031651-4-001</t>
        </is>
      </c>
      <c r="J847" s="150" t="n">
        <v>12</v>
      </c>
      <c r="K847" s="151" t="inlineStr">
        <is>
          <t>grams</t>
        </is>
      </c>
      <c r="L847" s="151" t="inlineStr">
        <is>
          <t>UNCATEGORIZED BOM</t>
        </is>
      </c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inlineStr">
        <is>
          <t>FA-DE Spice, Garlic Granulated /Gewürz, Knoblauch granuliert</t>
        </is>
      </c>
      <c r="X847" s="151" t="inlineStr">
        <is>
          <t>SPI-00-139353-5</t>
        </is>
      </c>
      <c r="Y847" s="151" t="inlineStr">
        <is>
          <t>0,24</t>
        </is>
      </c>
      <c r="Z847" s="149" t="inlineStr">
        <is>
          <t>0,24</t>
        </is>
      </c>
      <c r="AA847" s="151" t="inlineStr">
        <is>
          <t>grams</t>
        </is>
      </c>
      <c r="AB847" s="151" t="n"/>
      <c r="AC847" s="151" t="n"/>
      <c r="AD847" s="150" t="n">
        <v>0.99855</v>
      </c>
      <c r="AE847" s="149" t="n">
        <v>0.24</v>
      </c>
      <c r="AF847" s="151" t="inlineStr">
        <is>
          <t>grams</t>
        </is>
      </c>
      <c r="AG847" s="151" t="n"/>
      <c r="AH847" s="151" t="n"/>
    </row>
    <row r="848">
      <c r="A848" s="151" t="inlineStr">
        <is>
          <t>FV4006A - Pork tenderloin in sun dried tomato sauce [BNL]</t>
        </is>
      </c>
      <c r="B848" s="151" t="inlineStr">
        <is>
          <t>REC-014085-4-001</t>
        </is>
      </c>
      <c r="C848" s="151" t="inlineStr">
        <is>
          <t>Pork tenderloin - herb marinade</t>
        </is>
      </c>
      <c r="D848" s="151" t="inlineStr">
        <is>
          <t>SUB-013466-4-001</t>
        </is>
      </c>
      <c r="E848" s="150" t="n">
        <v>140</v>
      </c>
      <c r="F848" s="151" t="inlineStr">
        <is>
          <t>grams</t>
        </is>
      </c>
      <c r="G848" s="151" t="inlineStr">
        <is>
          <t>BLAST CHILLER, GRILL, MARINADE, OVEN, SLICER</t>
        </is>
      </c>
      <c r="H848" s="151" t="inlineStr">
        <is>
          <t>Herb Marinade for Pork Tenderloin</t>
        </is>
      </c>
      <c r="I848" s="151" t="inlineStr">
        <is>
          <t>SUB-031651-4-001</t>
        </is>
      </c>
      <c r="J848" s="150" t="n">
        <v>12</v>
      </c>
      <c r="K848" s="151" t="inlineStr">
        <is>
          <t>grams</t>
        </is>
      </c>
      <c r="L848" s="151" t="inlineStr">
        <is>
          <t>UNCATEGORIZED BOM</t>
        </is>
      </c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inlineStr">
        <is>
          <t>FA-DE Spice, Parsley Dried /Gewürze, getrocknete Petersilie</t>
        </is>
      </c>
      <c r="X848" s="151" t="inlineStr">
        <is>
          <t>SPI-00-139374-5</t>
        </is>
      </c>
      <c r="Y848" s="151" t="inlineStr">
        <is>
          <t>0,03</t>
        </is>
      </c>
      <c r="Z848" s="149" t="inlineStr">
        <is>
          <t>0,03</t>
        </is>
      </c>
      <c r="AA848" s="151" t="inlineStr">
        <is>
          <t>grams</t>
        </is>
      </c>
      <c r="AB848" s="151" t="n"/>
      <c r="AC848" s="151" t="n"/>
      <c r="AD848" s="150" t="n">
        <v>0.99855</v>
      </c>
      <c r="AE848" s="149" t="n">
        <v>0.03</v>
      </c>
      <c r="AF848" s="151" t="inlineStr">
        <is>
          <t>grams</t>
        </is>
      </c>
      <c r="AG848" s="151" t="n"/>
      <c r="AH848" s="151" t="n"/>
    </row>
    <row r="849">
      <c r="A849" s="151" t="inlineStr">
        <is>
          <t>FV4006A - Pork tenderloin in sun dried tomato sauce [BNL]</t>
        </is>
      </c>
      <c r="B849" s="151" t="inlineStr">
        <is>
          <t>REC-014085-4-001</t>
        </is>
      </c>
      <c r="C849" s="151" t="inlineStr">
        <is>
          <t>Pork tenderloin - herb marinade</t>
        </is>
      </c>
      <c r="D849" s="151" t="inlineStr">
        <is>
          <t>SUB-013466-4-001</t>
        </is>
      </c>
      <c r="E849" s="150" t="n">
        <v>140</v>
      </c>
      <c r="F849" s="151" t="inlineStr">
        <is>
          <t>grams</t>
        </is>
      </c>
      <c r="G849" s="151" t="inlineStr">
        <is>
          <t>BLAST CHILLER, GRILL, MARINADE, OVEN, SLICER</t>
        </is>
      </c>
      <c r="H849" s="151" t="inlineStr">
        <is>
          <t>Herb Marinade for Pork Tenderloin</t>
        </is>
      </c>
      <c r="I849" s="151" t="inlineStr">
        <is>
          <t>SUB-031651-4-001</t>
        </is>
      </c>
      <c r="J849" s="150" t="n">
        <v>12</v>
      </c>
      <c r="K849" s="151" t="inlineStr">
        <is>
          <t>grams</t>
        </is>
      </c>
      <c r="L849" s="151" t="inlineStr">
        <is>
          <t>UNCATEGORIZED BOM</t>
        </is>
      </c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inlineStr">
        <is>
          <t>FA-DE Chives, Dried /Schnittlauch, getrocknet</t>
        </is>
      </c>
      <c r="X849" s="151" t="inlineStr">
        <is>
          <t>SPI-00-139322-5</t>
        </is>
      </c>
      <c r="Y849" s="151" t="inlineStr">
        <is>
          <t>0,05</t>
        </is>
      </c>
      <c r="Z849" s="149" t="inlineStr">
        <is>
          <t>0,05</t>
        </is>
      </c>
      <c r="AA849" s="151" t="inlineStr">
        <is>
          <t>grams</t>
        </is>
      </c>
      <c r="AB849" s="151" t="n"/>
      <c r="AC849" s="151" t="n"/>
      <c r="AD849" s="150" t="n">
        <v>0.99855</v>
      </c>
      <c r="AE849" s="149" t="n">
        <v>0.05</v>
      </c>
      <c r="AF849" s="151" t="inlineStr">
        <is>
          <t>grams</t>
        </is>
      </c>
      <c r="AG849" s="151" t="n"/>
      <c r="AH849" s="151" t="n"/>
    </row>
    <row r="850">
      <c r="A850" s="151" t="inlineStr">
        <is>
          <t>FV4006A - Pork tenderloin in sun dried tomato sauce [BNL]</t>
        </is>
      </c>
      <c r="B850" s="151" t="inlineStr">
        <is>
          <t>REC-014085-4-001</t>
        </is>
      </c>
      <c r="C850" s="151" t="inlineStr">
        <is>
          <t>Pork tenderloin - herb marinade</t>
        </is>
      </c>
      <c r="D850" s="151" t="inlineStr">
        <is>
          <t>SUB-013466-4-001</t>
        </is>
      </c>
      <c r="E850" s="150" t="n">
        <v>140</v>
      </c>
      <c r="F850" s="151" t="inlineStr">
        <is>
          <t>grams</t>
        </is>
      </c>
      <c r="G850" s="151" t="inlineStr">
        <is>
          <t>BLAST CHILLER, GRILL, MARINADE, OVEN, SLICER</t>
        </is>
      </c>
      <c r="H850" s="151" t="inlineStr">
        <is>
          <t>Herb Marinade for Pork Tenderloin</t>
        </is>
      </c>
      <c r="I850" s="151" t="inlineStr">
        <is>
          <t>SUB-031651-4-001</t>
        </is>
      </c>
      <c r="J850" s="150" t="n">
        <v>12</v>
      </c>
      <c r="K850" s="151" t="inlineStr">
        <is>
          <t>grams</t>
        </is>
      </c>
      <c r="L850" s="151" t="inlineStr">
        <is>
          <t>UNCATEGORIZED BOM</t>
        </is>
      </c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inlineStr">
        <is>
          <t>FA-DE Spice, Sea Salt /Gewürze, Meersalz</t>
        </is>
      </c>
      <c r="X850" s="151" t="inlineStr">
        <is>
          <t>SPI-00-139378-5</t>
        </is>
      </c>
      <c r="Y850" s="151" t="inlineStr">
        <is>
          <t>0,27</t>
        </is>
      </c>
      <c r="Z850" s="149" t="inlineStr">
        <is>
          <t>0,27</t>
        </is>
      </c>
      <c r="AA850" s="151" t="inlineStr">
        <is>
          <t>grams</t>
        </is>
      </c>
      <c r="AB850" s="151" t="n"/>
      <c r="AC850" s="151" t="n"/>
      <c r="AD850" s="150" t="n">
        <v>0.99855</v>
      </c>
      <c r="AE850" s="149" t="n">
        <v>0.27</v>
      </c>
      <c r="AF850" s="151" t="inlineStr">
        <is>
          <t>grams</t>
        </is>
      </c>
      <c r="AG850" s="151" t="n"/>
      <c r="AH850" s="151" t="n"/>
    </row>
    <row r="851">
      <c r="A851" s="151" t="inlineStr">
        <is>
          <t>FV4006A - Pork tenderloin in sun dried tomato sauce [BNL]</t>
        </is>
      </c>
      <c r="B851" s="151" t="inlineStr">
        <is>
          <t>REC-014085-4-001</t>
        </is>
      </c>
      <c r="C851" s="151" t="inlineStr">
        <is>
          <t>Pork tenderloin - herb marinade</t>
        </is>
      </c>
      <c r="D851" s="151" t="inlineStr">
        <is>
          <t>SUB-013466-4-001</t>
        </is>
      </c>
      <c r="E851" s="150" t="n">
        <v>140</v>
      </c>
      <c r="F851" s="151" t="inlineStr">
        <is>
          <t>grams</t>
        </is>
      </c>
      <c r="G851" s="151" t="inlineStr">
        <is>
          <t>BLAST CHILLER, GRILL, MARINADE, OVEN, SLICER</t>
        </is>
      </c>
      <c r="H851" s="151" t="inlineStr">
        <is>
          <t>Herb Marinade for Pork Tenderloin</t>
        </is>
      </c>
      <c r="I851" s="151" t="inlineStr">
        <is>
          <t>SUB-031651-4-001</t>
        </is>
      </c>
      <c r="J851" s="150" t="n">
        <v>12</v>
      </c>
      <c r="K851" s="151" t="inlineStr">
        <is>
          <t>grams</t>
        </is>
      </c>
      <c r="L851" s="151" t="inlineStr">
        <is>
          <t>UNCATEGORIZED BOM</t>
        </is>
      </c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inlineStr">
        <is>
          <t>FA-DE Spice, Onion Granulated /Gewürze, Zwiebeln granuliert</t>
        </is>
      </c>
      <c r="X851" s="151" t="inlineStr">
        <is>
          <t>SPI-00-139370-5</t>
        </is>
      </c>
      <c r="Y851" s="151" t="inlineStr">
        <is>
          <t>0,12</t>
        </is>
      </c>
      <c r="Z851" s="149" t="inlineStr">
        <is>
          <t>0,12</t>
        </is>
      </c>
      <c r="AA851" s="151" t="inlineStr">
        <is>
          <t>grams</t>
        </is>
      </c>
      <c r="AB851" s="151" t="n"/>
      <c r="AC851" s="151" t="n"/>
      <c r="AD851" s="150" t="n">
        <v>0.99855</v>
      </c>
      <c r="AE851" s="149" t="n">
        <v>0.12</v>
      </c>
      <c r="AF851" s="151" t="inlineStr">
        <is>
          <t>grams</t>
        </is>
      </c>
      <c r="AG851" s="151" t="n"/>
      <c r="AH851" s="151" t="n"/>
    </row>
    <row r="852">
      <c r="A852" s="151" t="inlineStr">
        <is>
          <t>FV4006A - Pork tenderloin in sun dried tomato sauce [BNL]</t>
        </is>
      </c>
      <c r="B852" s="151" t="inlineStr">
        <is>
          <t>REC-014085-4-001</t>
        </is>
      </c>
      <c r="C852" s="151" t="inlineStr">
        <is>
          <t>Pork tenderloin - herb marinade</t>
        </is>
      </c>
      <c r="D852" s="151" t="inlineStr">
        <is>
          <t>SUB-013466-4-001</t>
        </is>
      </c>
      <c r="E852" s="150" t="n">
        <v>140</v>
      </c>
      <c r="F852" s="151" t="inlineStr">
        <is>
          <t>grams</t>
        </is>
      </c>
      <c r="G852" s="151" t="inlineStr">
        <is>
          <t>BLAST CHILLER, GRILL, MARINADE, OVEN, SLICER</t>
        </is>
      </c>
      <c r="H852" s="151" t="inlineStr">
        <is>
          <t>Herb Marinade for Pork Tenderloin</t>
        </is>
      </c>
      <c r="I852" s="151" t="inlineStr">
        <is>
          <t>SUB-031651-4-001</t>
        </is>
      </c>
      <c r="J852" s="150" t="n">
        <v>12</v>
      </c>
      <c r="K852" s="151" t="inlineStr">
        <is>
          <t>grams</t>
        </is>
      </c>
      <c r="L852" s="151" t="inlineStr">
        <is>
          <t>UNCATEGORIZED BOM</t>
        </is>
      </c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inlineStr">
        <is>
          <t>FA-DE Spice, Black Pepper, Ground /Gewürz, schwarzer Pfeffer, gemahlen</t>
        </is>
      </c>
      <c r="X852" s="151" t="inlineStr">
        <is>
          <t>SPI-00-139334-5</t>
        </is>
      </c>
      <c r="Y852" s="151" t="inlineStr">
        <is>
          <t>0,18</t>
        </is>
      </c>
      <c r="Z852" s="149" t="inlineStr">
        <is>
          <t>0,18</t>
        </is>
      </c>
      <c r="AA852" s="151" t="inlineStr">
        <is>
          <t>grams</t>
        </is>
      </c>
      <c r="AB852" s="151" t="n"/>
      <c r="AC852" s="151" t="n"/>
      <c r="AD852" s="150" t="n">
        <v>0.99855</v>
      </c>
      <c r="AE852" s="149" t="n">
        <v>0.18</v>
      </c>
      <c r="AF852" s="151" t="inlineStr">
        <is>
          <t>grams</t>
        </is>
      </c>
      <c r="AG852" s="151" t="n"/>
      <c r="AH852" s="151" t="n"/>
    </row>
    <row r="853">
      <c r="A853" s="151" t="inlineStr">
        <is>
          <t>FV4006A - Pork tenderloin in sun dried tomato sauce [BNL]</t>
        </is>
      </c>
      <c r="B853" s="151" t="inlineStr">
        <is>
          <t>REC-014085-4-001</t>
        </is>
      </c>
      <c r="C853" s="151" t="inlineStr">
        <is>
          <t>Sauce - Sun-Dried Tomato Sauce - Less Salt</t>
        </is>
      </c>
      <c r="D853" s="151" t="inlineStr">
        <is>
          <t>SUB-013571-4-001</t>
        </is>
      </c>
      <c r="E853" s="150" t="n">
        <v>50</v>
      </c>
      <c r="F853" s="151" t="inlineStr">
        <is>
          <t>grams</t>
        </is>
      </c>
      <c r="G853" s="151" t="inlineStr">
        <is>
          <t>BLAST CHILLER, BRAISER, IMMERSION BLENDER, SPICE PORTIONING</t>
        </is>
      </c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inlineStr">
        <is>
          <t>FA-DE Cheese, Parmesan, Grated /Käse, Parmesan, gerieben</t>
        </is>
      </c>
      <c r="X853" s="151" t="inlineStr">
        <is>
          <t>DAI-00-139127-3</t>
        </is>
      </c>
      <c r="Y853" s="154" t="inlineStr">
        <is>
          <t>5,2</t>
        </is>
      </c>
      <c r="Z853" s="149" t="inlineStr">
        <is>
          <t>5,2</t>
        </is>
      </c>
      <c r="AA853" s="151" t="inlineStr">
        <is>
          <t>grams</t>
        </is>
      </c>
      <c r="AB853" s="151" t="inlineStr">
        <is>
          <t>MILCH (EINSCHLIESSLICH LAKTOSE)</t>
        </is>
      </c>
      <c r="AC853" s="151" t="n"/>
      <c r="AD853" s="150" t="n">
        <v>0.88017</v>
      </c>
      <c r="AE853" s="149" t="n">
        <v>5.2</v>
      </c>
      <c r="AF853" s="151" t="inlineStr">
        <is>
          <t>grams</t>
        </is>
      </c>
      <c r="AG853" s="151" t="n"/>
      <c r="AH853" s="151" t="n"/>
    </row>
    <row r="854">
      <c r="A854" s="151" t="inlineStr">
        <is>
          <t>FV4006A - Pork tenderloin in sun dried tomato sauce [BNL]</t>
        </is>
      </c>
      <c r="B854" s="151" t="inlineStr">
        <is>
          <t>REC-014085-4-001</t>
        </is>
      </c>
      <c r="C854" s="151" t="inlineStr">
        <is>
          <t>Sauce - Sun-Dried Tomato Sauce - Less Salt</t>
        </is>
      </c>
      <c r="D854" s="151" t="inlineStr">
        <is>
          <t>SUB-013571-4-001</t>
        </is>
      </c>
      <c r="E854" s="150" t="n">
        <v>50</v>
      </c>
      <c r="F854" s="151" t="inlineStr">
        <is>
          <t>grams</t>
        </is>
      </c>
      <c r="G854" s="151" t="inlineStr">
        <is>
          <t>BLAST CHILLER, BRAISER, IMMERSION BLENDER, SPICE PORTIONING</t>
        </is>
      </c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inlineStr">
        <is>
          <t>FA-DE Oil, Olive /Öl, Olivenöl</t>
        </is>
      </c>
      <c r="X854" s="151" t="inlineStr">
        <is>
          <t>PRO-00-139277-5</t>
        </is>
      </c>
      <c r="Y854" s="151" t="inlineStr">
        <is>
          <t>2,96</t>
        </is>
      </c>
      <c r="Z854" s="149" t="inlineStr">
        <is>
          <t>2,96</t>
        </is>
      </c>
      <c r="AA854" s="151" t="inlineStr">
        <is>
          <t>grams</t>
        </is>
      </c>
      <c r="AB854" s="151" t="n"/>
      <c r="AC854" s="151" t="n"/>
      <c r="AD854" s="150" t="n">
        <v>0.88017</v>
      </c>
      <c r="AE854" s="149" t="n">
        <v>2.96</v>
      </c>
      <c r="AF854" s="151" t="inlineStr">
        <is>
          <t>grams</t>
        </is>
      </c>
      <c r="AG854" s="151" t="n"/>
      <c r="AH854" s="151" t="n"/>
    </row>
    <row r="855">
      <c r="A855" s="151" t="inlineStr">
        <is>
          <t>FV4006A - Pork tenderloin in sun dried tomato sauce [BNL]</t>
        </is>
      </c>
      <c r="B855" s="151" t="inlineStr">
        <is>
          <t>REC-014085-4-001</t>
        </is>
      </c>
      <c r="C855" s="151" t="inlineStr">
        <is>
          <t>Sauce - Sun-Dried Tomato Sauce - Less Salt</t>
        </is>
      </c>
      <c r="D855" s="151" t="inlineStr">
        <is>
          <t>SUB-013571-4-001</t>
        </is>
      </c>
      <c r="E855" s="150" t="n">
        <v>50</v>
      </c>
      <c r="F855" s="151" t="inlineStr">
        <is>
          <t>grams</t>
        </is>
      </c>
      <c r="G855" s="151" t="inlineStr">
        <is>
          <t>BLAST CHILLER, BRAISER, IMMERSION BLENDER, SPICE PORTIONING</t>
        </is>
      </c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inlineStr">
        <is>
          <t>FA-DE Stock, Chicken, Reduced/Brühe, Huhn, Reduziert</t>
        </is>
      </c>
      <c r="X855" s="151" t="inlineStr">
        <is>
          <t>PRO-00-139288-5</t>
        </is>
      </c>
      <c r="Y855" s="151" t="inlineStr">
        <is>
          <t>0,58</t>
        </is>
      </c>
      <c r="Z855" s="149" t="inlineStr">
        <is>
          <t>0,58</t>
        </is>
      </c>
      <c r="AA855" s="151" t="inlineStr">
        <is>
          <t>grams</t>
        </is>
      </c>
      <c r="AB855" s="151" t="n"/>
      <c r="AC855" s="151" t="n"/>
      <c r="AD855" s="150" t="n">
        <v>0.88017</v>
      </c>
      <c r="AE855" s="149" t="n">
        <v>0.58</v>
      </c>
      <c r="AF855" s="151" t="inlineStr">
        <is>
          <t>grams</t>
        </is>
      </c>
      <c r="AG855" s="151" t="n"/>
      <c r="AH855" s="151" t="n"/>
    </row>
    <row r="856">
      <c r="A856" s="151" t="inlineStr">
        <is>
          <t>FV4006A - Pork tenderloin in sun dried tomato sauce [BNL]</t>
        </is>
      </c>
      <c r="B856" s="151" t="inlineStr">
        <is>
          <t>REC-014085-4-001</t>
        </is>
      </c>
      <c r="C856" s="151" t="inlineStr">
        <is>
          <t>Sauce - Sun-Dried Tomato Sauce - Less Salt</t>
        </is>
      </c>
      <c r="D856" s="151" t="inlineStr">
        <is>
          <t>SUB-013571-4-001</t>
        </is>
      </c>
      <c r="E856" s="150" t="n">
        <v>50</v>
      </c>
      <c r="F856" s="151" t="inlineStr">
        <is>
          <t>grams</t>
        </is>
      </c>
      <c r="G856" s="151" t="inlineStr">
        <is>
          <t>BLAST CHILLER, BRAISER, IMMERSION BLENDER, SPICE PORTIONING</t>
        </is>
      </c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inlineStr">
        <is>
          <t>FA-DE Garlic, IQF, Diced 4 mm /Knoblauch, IQF, gewürfelt 4 mm</t>
        </is>
      </c>
      <c r="X856" s="151" t="inlineStr">
        <is>
          <t>PHF-00-139237-1</t>
        </is>
      </c>
      <c r="Y856" s="153" t="inlineStr">
        <is>
          <t>1,18</t>
        </is>
      </c>
      <c r="Z856" s="149" t="inlineStr">
        <is>
          <t>1,18</t>
        </is>
      </c>
      <c r="AA856" s="151" t="inlineStr">
        <is>
          <t>grams</t>
        </is>
      </c>
      <c r="AB856" s="151" t="inlineStr">
        <is>
          <t>SCHWEFELDIOXIDE UND SULFITE</t>
        </is>
      </c>
      <c r="AC856" s="151" t="n"/>
      <c r="AD856" s="150" t="n">
        <v>0.88017</v>
      </c>
      <c r="AE856" s="149" t="n">
        <v>1.18</v>
      </c>
      <c r="AF856" s="151" t="inlineStr">
        <is>
          <t>grams</t>
        </is>
      </c>
      <c r="AG856" s="151" t="n"/>
      <c r="AH856" s="151" t="n"/>
    </row>
    <row r="857">
      <c r="A857" s="151" t="inlineStr">
        <is>
          <t>FV4006A - Pork tenderloin in sun dried tomato sauce [BNL]</t>
        </is>
      </c>
      <c r="B857" s="151" t="inlineStr">
        <is>
          <t>REC-014085-4-001</t>
        </is>
      </c>
      <c r="C857" s="151" t="inlineStr">
        <is>
          <t>Sauce - Sun-Dried Tomato Sauce - Less Salt</t>
        </is>
      </c>
      <c r="D857" s="151" t="inlineStr">
        <is>
          <t>SUB-013571-4-001</t>
        </is>
      </c>
      <c r="E857" s="150" t="n">
        <v>50</v>
      </c>
      <c r="F857" s="151" t="inlineStr">
        <is>
          <t>grams</t>
        </is>
      </c>
      <c r="G857" s="151" t="inlineStr">
        <is>
          <t>BLAST CHILLER, BRAISER, IMMERSION BLENDER, SPICE PORTIONING</t>
        </is>
      </c>
      <c r="H857" s="151" t="inlineStr">
        <is>
          <t>Hydrated Sun-Dried Tomatoes</t>
        </is>
      </c>
      <c r="I857" s="151" t="inlineStr">
        <is>
          <t>SUB-013501-4-001</t>
        </is>
      </c>
      <c r="J857" s="150" t="n">
        <v>5.19</v>
      </c>
      <c r="K857" s="151" t="inlineStr">
        <is>
          <t>grams</t>
        </is>
      </c>
      <c r="L857" s="151" t="inlineStr">
        <is>
          <t>BRAISER</t>
        </is>
      </c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inlineStr">
        <is>
          <t>FA-DE Tomatoes, Sun - Dried Julienned /Tomaten, sonnengetrocknete Julienne</t>
        </is>
      </c>
      <c r="X857" s="151" t="inlineStr">
        <is>
          <t>PRO-00-139296-5</t>
        </is>
      </c>
      <c r="Y857" s="151" t="inlineStr">
        <is>
          <t>2,88</t>
        </is>
      </c>
      <c r="Z857" s="149" t="inlineStr">
        <is>
          <t>2,88</t>
        </is>
      </c>
      <c r="AA857" s="151" t="inlineStr">
        <is>
          <t>grams</t>
        </is>
      </c>
      <c r="AB857" s="151" t="n"/>
      <c r="AC857" s="151" t="n"/>
      <c r="AD857" s="150" t="n">
        <v>0.90001</v>
      </c>
      <c r="AE857" s="149" t="n">
        <v>2.88</v>
      </c>
      <c r="AF857" s="151" t="inlineStr">
        <is>
          <t>grams</t>
        </is>
      </c>
      <c r="AG857" s="151" t="n"/>
      <c r="AH857" s="151" t="n"/>
    </row>
    <row r="858">
      <c r="A858" s="151" t="inlineStr">
        <is>
          <t>FV4006A - Pork tenderloin in sun dried tomato sauce [BNL]</t>
        </is>
      </c>
      <c r="B858" s="151" t="inlineStr">
        <is>
          <t>REC-014085-4-001</t>
        </is>
      </c>
      <c r="C858" s="151" t="inlineStr">
        <is>
          <t>Sauce - Sun-Dried Tomato Sauce - Less Salt</t>
        </is>
      </c>
      <c r="D858" s="151" t="inlineStr">
        <is>
          <t>SUB-013571-4-001</t>
        </is>
      </c>
      <c r="E858" s="150" t="n">
        <v>50</v>
      </c>
      <c r="F858" s="151" t="inlineStr">
        <is>
          <t>grams</t>
        </is>
      </c>
      <c r="G858" s="151" t="inlineStr">
        <is>
          <t>BLAST CHILLER, BRAISER, IMMERSION BLENDER, SPICE PORTIONING</t>
        </is>
      </c>
      <c r="H858" s="151" t="inlineStr">
        <is>
          <t>Hydrated Sun-Dried Tomatoes</t>
        </is>
      </c>
      <c r="I858" s="151" t="inlineStr">
        <is>
          <t>SUB-013501-4-001</t>
        </is>
      </c>
      <c r="J858" s="150" t="n">
        <v>5.19</v>
      </c>
      <c r="K858" s="151" t="inlineStr">
        <is>
          <t>grams</t>
        </is>
      </c>
      <c r="L858" s="151" t="inlineStr">
        <is>
          <t>BRAISER</t>
        </is>
      </c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inlineStr">
        <is>
          <t>FA-DE Water / Wasser</t>
        </is>
      </c>
      <c r="X858" s="151" t="inlineStr">
        <is>
          <t>OTH-00-144038-5</t>
        </is>
      </c>
      <c r="Y858" s="151" t="inlineStr">
        <is>
          <t>2,88</t>
        </is>
      </c>
      <c r="Z858" s="149" t="inlineStr">
        <is>
          <t>2,88</t>
        </is>
      </c>
      <c r="AA858" s="151" t="inlineStr">
        <is>
          <t>grams</t>
        </is>
      </c>
      <c r="AB858" s="151" t="n"/>
      <c r="AC858" s="151" t="n"/>
      <c r="AD858" s="150" t="n">
        <v>0.90001</v>
      </c>
      <c r="AE858" s="149" t="n">
        <v>2.88</v>
      </c>
      <c r="AF858" s="151" t="inlineStr">
        <is>
          <t>grams</t>
        </is>
      </c>
      <c r="AG858" s="151" t="n"/>
      <c r="AH858" s="151" t="n"/>
    </row>
    <row r="859">
      <c r="A859" s="151" t="inlineStr">
        <is>
          <t>FV4006A - Pork tenderloin in sun dried tomato sauce [BNL]</t>
        </is>
      </c>
      <c r="B859" s="151" t="inlineStr">
        <is>
          <t>REC-014085-4-001</t>
        </is>
      </c>
      <c r="C859" s="151" t="inlineStr">
        <is>
          <t>Sauce - Sun-Dried Tomato Sauce - Less Salt</t>
        </is>
      </c>
      <c r="D859" s="151" t="inlineStr">
        <is>
          <t>SUB-013571-4-001</t>
        </is>
      </c>
      <c r="E859" s="150" t="n">
        <v>50</v>
      </c>
      <c r="F859" s="151" t="inlineStr">
        <is>
          <t>grams</t>
        </is>
      </c>
      <c r="G859" s="151" t="inlineStr">
        <is>
          <t>BLAST CHILLER, BRAISER, IMMERSION BLENDER, SPICE PORTIONING</t>
        </is>
      </c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inlineStr">
        <is>
          <t>FA-DE Spinach, Fresh, Stem Off /Spinat, frisch, ohne Stiel</t>
        </is>
      </c>
      <c r="X859" s="151" t="inlineStr">
        <is>
          <t>PHF-00-139225-3</t>
        </is>
      </c>
      <c r="Y859" s="153" t="inlineStr">
        <is>
          <t>4,16</t>
        </is>
      </c>
      <c r="Z859" s="149" t="inlineStr">
        <is>
          <t>4,16</t>
        </is>
      </c>
      <c r="AA859" s="151" t="inlineStr">
        <is>
          <t>grams</t>
        </is>
      </c>
      <c r="AB859" s="151" t="n"/>
      <c r="AC859" s="151" t="n"/>
      <c r="AD859" s="150" t="n">
        <v>0.88017</v>
      </c>
      <c r="AE859" s="149" t="n">
        <v>4.16</v>
      </c>
      <c r="AF859" s="151" t="inlineStr">
        <is>
          <t>grams</t>
        </is>
      </c>
      <c r="AG859" s="151" t="n"/>
      <c r="AH859" s="151" t="n"/>
    </row>
    <row r="860">
      <c r="A860" s="151" t="inlineStr">
        <is>
          <t>FV4006A - Pork tenderloin in sun dried tomato sauce [BNL]</t>
        </is>
      </c>
      <c r="B860" s="151" t="inlineStr">
        <is>
          <t>REC-014085-4-001</t>
        </is>
      </c>
      <c r="C860" s="151" t="inlineStr">
        <is>
          <t>Sauce - Sun-Dried Tomato Sauce - Less Salt</t>
        </is>
      </c>
      <c r="D860" s="151" t="inlineStr">
        <is>
          <t>SUB-013571-4-001</t>
        </is>
      </c>
      <c r="E860" s="150" t="n">
        <v>50</v>
      </c>
      <c r="F860" s="151" t="inlineStr">
        <is>
          <t>grams</t>
        </is>
      </c>
      <c r="G860" s="151" t="inlineStr">
        <is>
          <t>BLAST CHILLER, BRAISER, IMMERSION BLENDER, SPICE PORTIONING</t>
        </is>
      </c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inlineStr">
        <is>
          <t>FA-DE Spice, Sea Salt /Gewürze, Meersalz</t>
        </is>
      </c>
      <c r="X860" s="151" t="inlineStr">
        <is>
          <t>SPI-00-139378-5</t>
        </is>
      </c>
      <c r="Y860" s="151" t="inlineStr">
        <is>
          <t>0,03</t>
        </is>
      </c>
      <c r="Z860" s="149" t="inlineStr">
        <is>
          <t>0,03</t>
        </is>
      </c>
      <c r="AA860" s="151" t="inlineStr">
        <is>
          <t>grams</t>
        </is>
      </c>
      <c r="AB860" s="151" t="n"/>
      <c r="AC860" s="151" t="n"/>
      <c r="AD860" s="150" t="n">
        <v>0.88017</v>
      </c>
      <c r="AE860" s="149" t="n">
        <v>0.03</v>
      </c>
      <c r="AF860" s="151" t="inlineStr">
        <is>
          <t>grams</t>
        </is>
      </c>
      <c r="AG860" s="151" t="n"/>
      <c r="AH860" s="151" t="n"/>
    </row>
    <row r="861">
      <c r="A861" s="151" t="inlineStr">
        <is>
          <t>FV4006A - Pork tenderloin in sun dried tomato sauce [BNL]</t>
        </is>
      </c>
      <c r="B861" s="151" t="inlineStr">
        <is>
          <t>REC-014085-4-001</t>
        </is>
      </c>
      <c r="C861" s="151" t="inlineStr">
        <is>
          <t>Sauce - Sun-Dried Tomato Sauce - Less Salt</t>
        </is>
      </c>
      <c r="D861" s="151" t="inlineStr">
        <is>
          <t>SUB-013571-4-001</t>
        </is>
      </c>
      <c r="E861" s="150" t="n">
        <v>50</v>
      </c>
      <c r="F861" s="151" t="inlineStr">
        <is>
          <t>grams</t>
        </is>
      </c>
      <c r="G861" s="151" t="inlineStr">
        <is>
          <t>BLAST CHILLER, BRAISER, IMMERSION BLENDER, SPICE PORTIONING</t>
        </is>
      </c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inlineStr">
        <is>
          <t>FA-DE Onion, Spanish, Diced 5mm /Zwiebel, Spanisch, gewürfelt 5 mm</t>
        </is>
      </c>
      <c r="X861" s="151" t="inlineStr">
        <is>
          <t>PHF-00-139212-3</t>
        </is>
      </c>
      <c r="Y861" s="154" t="inlineStr">
        <is>
          <t>5,2</t>
        </is>
      </c>
      <c r="Z861" s="149" t="inlineStr">
        <is>
          <t>5,2</t>
        </is>
      </c>
      <c r="AA861" s="151" t="inlineStr">
        <is>
          <t>grams</t>
        </is>
      </c>
      <c r="AB861" s="151" t="n"/>
      <c r="AC861" s="151" t="n"/>
      <c r="AD861" s="150" t="n">
        <v>0.88017</v>
      </c>
      <c r="AE861" s="149" t="n">
        <v>5.2</v>
      </c>
      <c r="AF861" s="151" t="inlineStr">
        <is>
          <t>grams</t>
        </is>
      </c>
      <c r="AG861" s="151" t="n"/>
      <c r="AH861" s="151" t="n"/>
    </row>
    <row r="862">
      <c r="A862" s="151" t="inlineStr">
        <is>
          <t>FV4006A - Pork tenderloin in sun dried tomato sauce [BNL]</t>
        </is>
      </c>
      <c r="B862" s="151" t="inlineStr">
        <is>
          <t>REC-014085-4-001</t>
        </is>
      </c>
      <c r="C862" s="151" t="inlineStr">
        <is>
          <t>Sauce - Sun-Dried Tomato Sauce - Less Salt</t>
        </is>
      </c>
      <c r="D862" s="151" t="inlineStr">
        <is>
          <t>SUB-013571-4-001</t>
        </is>
      </c>
      <c r="E862" s="150" t="n">
        <v>50</v>
      </c>
      <c r="F862" s="151" t="inlineStr">
        <is>
          <t>grams</t>
        </is>
      </c>
      <c r="G862" s="151" t="inlineStr">
        <is>
          <t>BLAST CHILLER, BRAISER, IMMERSION BLENDER, SPICE PORTIONING</t>
        </is>
      </c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inlineStr">
        <is>
          <t>FA-DE Heavy Cream 20% /Sahne 20%</t>
        </is>
      </c>
      <c r="X862" s="151" t="inlineStr">
        <is>
          <t>DAI-00-139137-3</t>
        </is>
      </c>
      <c r="Y862" s="151" t="inlineStr">
        <is>
          <t>32,32</t>
        </is>
      </c>
      <c r="Z862" s="149" t="inlineStr">
        <is>
          <t>32,32</t>
        </is>
      </c>
      <c r="AA862" s="151" t="inlineStr">
        <is>
          <t>grams</t>
        </is>
      </c>
      <c r="AB862" s="151" t="inlineStr">
        <is>
          <t>MILCH (EINSCHLIESSLICH LAKTOSE)</t>
        </is>
      </c>
      <c r="AC862" s="151" t="n"/>
      <c r="AD862" s="150" t="n">
        <v>0.88017</v>
      </c>
      <c r="AE862" s="149" t="n">
        <v>32.32</v>
      </c>
      <c r="AF862" s="151" t="inlineStr">
        <is>
          <t>grams</t>
        </is>
      </c>
      <c r="AG862" s="151" t="n"/>
      <c r="AH862" s="151" t="n"/>
    </row>
    <row r="863">
      <c r="A863" s="151" t="inlineStr">
        <is>
          <t>FV4006A - Pork tenderloin in sun dried tomato sauce [BNL]</t>
        </is>
      </c>
      <c r="B863" s="151" t="inlineStr">
        <is>
          <t>REC-014085-4-001</t>
        </is>
      </c>
      <c r="C863" s="151" t="inlineStr">
        <is>
          <t>Broccoli - Roasted S&amp;P</t>
        </is>
      </c>
      <c r="D863" s="151" t="inlineStr">
        <is>
          <t>SUB-016200-4-001</t>
        </is>
      </c>
      <c r="E863" s="150" t="n">
        <v>50</v>
      </c>
      <c r="F863" s="151" t="inlineStr">
        <is>
          <t>grams</t>
        </is>
      </c>
      <c r="G863" s="151" t="inlineStr">
        <is>
          <t>BLAST CHILLER, OVEN</t>
        </is>
      </c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inlineStr">
        <is>
          <t>FA-DE Spice, Black Pepper, Ground /Gewürz, schwarzer Pfeffer, gemahlen</t>
        </is>
      </c>
      <c r="X863" s="151" t="inlineStr">
        <is>
          <t>SPI-00-139334-5</t>
        </is>
      </c>
      <c r="Y863" s="151" t="inlineStr">
        <is>
          <t>0,2</t>
        </is>
      </c>
      <c r="Z863" s="149" t="inlineStr">
        <is>
          <t>0,2</t>
        </is>
      </c>
      <c r="AA863" s="151" t="inlineStr">
        <is>
          <t>grams</t>
        </is>
      </c>
      <c r="AB863" s="151" t="n"/>
      <c r="AC863" s="151" t="n"/>
      <c r="AD863" s="150" t="n">
        <v>0.8136</v>
      </c>
      <c r="AE863" s="149" t="n">
        <v>0.2</v>
      </c>
      <c r="AF863" s="151" t="inlineStr">
        <is>
          <t>grams</t>
        </is>
      </c>
      <c r="AG863" s="151" t="n"/>
      <c r="AH863" s="151" t="n"/>
    </row>
    <row r="864">
      <c r="A864" s="151" t="inlineStr">
        <is>
          <t>FV4006A - Pork tenderloin in sun dried tomato sauce [BNL]</t>
        </is>
      </c>
      <c r="B864" s="151" t="inlineStr">
        <is>
          <t>REC-014085-4-001</t>
        </is>
      </c>
      <c r="C864" s="151" t="inlineStr">
        <is>
          <t>Broccoli - Roasted S&amp;P</t>
        </is>
      </c>
      <c r="D864" s="151" t="inlineStr">
        <is>
          <t>SUB-016200-4-001</t>
        </is>
      </c>
      <c r="E864" s="150" t="n">
        <v>50</v>
      </c>
      <c r="F864" s="151" t="inlineStr">
        <is>
          <t>grams</t>
        </is>
      </c>
      <c r="G864" s="151" t="inlineStr">
        <is>
          <t>BLAST CHILLER, OVEN</t>
        </is>
      </c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inlineStr">
        <is>
          <t>FA-DE Spice, Garlic Powder, Toasted /Gewürz, Knoblauchpulver, geröstet</t>
        </is>
      </c>
      <c r="X864" s="151" t="inlineStr">
        <is>
          <t>SPI-00-139354-5</t>
        </is>
      </c>
      <c r="Y864" s="151" t="inlineStr">
        <is>
          <t>0,16</t>
        </is>
      </c>
      <c r="Z864" s="149" t="inlineStr">
        <is>
          <t>0,16</t>
        </is>
      </c>
      <c r="AA864" s="151" t="inlineStr">
        <is>
          <t>grams</t>
        </is>
      </c>
      <c r="AB864" s="151" t="n"/>
      <c r="AC864" s="151" t="n"/>
      <c r="AD864" s="150" t="n">
        <v>0.8136</v>
      </c>
      <c r="AE864" s="149" t="n">
        <v>0.16</v>
      </c>
      <c r="AF864" s="151" t="inlineStr">
        <is>
          <t>grams</t>
        </is>
      </c>
      <c r="AG864" s="151" t="n"/>
      <c r="AH864" s="151" t="n"/>
    </row>
    <row r="865">
      <c r="A865" s="151" t="inlineStr">
        <is>
          <t>FV4006A - Pork tenderloin in sun dried tomato sauce [BNL]</t>
        </is>
      </c>
      <c r="B865" s="151" t="inlineStr">
        <is>
          <t>REC-014085-4-001</t>
        </is>
      </c>
      <c r="C865" s="151" t="inlineStr">
        <is>
          <t>Broccoli - Roasted S&amp;P</t>
        </is>
      </c>
      <c r="D865" s="151" t="inlineStr">
        <is>
          <t>SUB-016200-4-001</t>
        </is>
      </c>
      <c r="E865" s="150" t="n">
        <v>50</v>
      </c>
      <c r="F865" s="151" t="inlineStr">
        <is>
          <t>grams</t>
        </is>
      </c>
      <c r="G865" s="151" t="inlineStr">
        <is>
          <t>BLAST CHILLER, OVEN</t>
        </is>
      </c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inlineStr">
        <is>
          <t>FA-DE Broccoli, Florets, /Brokkoli, Röschen</t>
        </is>
      </c>
      <c r="X865" s="151" t="inlineStr">
        <is>
          <t>PHF-00-143425-3</t>
        </is>
      </c>
      <c r="Y865" s="151" t="inlineStr">
        <is>
          <t>56,75</t>
        </is>
      </c>
      <c r="Z865" s="149" t="inlineStr">
        <is>
          <t>56,75</t>
        </is>
      </c>
      <c r="AA865" s="151" t="inlineStr">
        <is>
          <t>grams</t>
        </is>
      </c>
      <c r="AB865" s="151" t="n"/>
      <c r="AC865" s="151" t="n"/>
      <c r="AD865" s="150" t="n">
        <v>0.8136</v>
      </c>
      <c r="AE865" s="149" t="n">
        <v>56.75</v>
      </c>
      <c r="AF865" s="151" t="inlineStr">
        <is>
          <t>grams</t>
        </is>
      </c>
      <c r="AG865" s="151" t="n"/>
      <c r="AH865" s="151" t="n"/>
    </row>
    <row r="866">
      <c r="A866" s="151" t="inlineStr">
        <is>
          <t>FV4006A - Pork tenderloin in sun dried tomato sauce [BNL]</t>
        </is>
      </c>
      <c r="B866" s="151" t="inlineStr">
        <is>
          <t>REC-014085-4-001</t>
        </is>
      </c>
      <c r="C866" s="151" t="inlineStr">
        <is>
          <t>Broccoli - Roasted S&amp;P</t>
        </is>
      </c>
      <c r="D866" s="151" t="inlineStr">
        <is>
          <t>SUB-016200-4-001</t>
        </is>
      </c>
      <c r="E866" s="150" t="n">
        <v>50</v>
      </c>
      <c r="F866" s="151" t="inlineStr">
        <is>
          <t>grams</t>
        </is>
      </c>
      <c r="G866" s="151" t="inlineStr">
        <is>
          <t>BLAST CHILLER, OVEN</t>
        </is>
      </c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inlineStr">
        <is>
          <t>FA-DE Oil, Olive /Öl, Olivenöl</t>
        </is>
      </c>
      <c r="X866" s="151" t="inlineStr">
        <is>
          <t>PRO-00-139277-5</t>
        </is>
      </c>
      <c r="Y866" s="154" t="inlineStr">
        <is>
          <t>4,1</t>
        </is>
      </c>
      <c r="Z866" s="149" t="inlineStr">
        <is>
          <t>4,1</t>
        </is>
      </c>
      <c r="AA866" s="151" t="inlineStr">
        <is>
          <t>grams</t>
        </is>
      </c>
      <c r="AB866" s="151" t="n"/>
      <c r="AC866" s="151" t="n"/>
      <c r="AD866" s="150" t="n">
        <v>0.8136</v>
      </c>
      <c r="AE866" s="149" t="n">
        <v>4.1</v>
      </c>
      <c r="AF866" s="151" t="inlineStr">
        <is>
          <t>grams</t>
        </is>
      </c>
      <c r="AG866" s="151" t="n"/>
      <c r="AH866" s="151" t="n"/>
    </row>
    <row r="867">
      <c r="A867" s="151" t="inlineStr">
        <is>
          <t>FV4006A - Pork tenderloin in sun dried tomato sauce [BNL]</t>
        </is>
      </c>
      <c r="B867" s="151" t="inlineStr">
        <is>
          <t>REC-014085-4-001</t>
        </is>
      </c>
      <c r="C867" s="151" t="inlineStr">
        <is>
          <t>Broccoli - Roasted S&amp;P</t>
        </is>
      </c>
      <c r="D867" s="151" t="inlineStr">
        <is>
          <t>SUB-016200-4-001</t>
        </is>
      </c>
      <c r="E867" s="150" t="n">
        <v>50</v>
      </c>
      <c r="F867" s="151" t="inlineStr">
        <is>
          <t>grams</t>
        </is>
      </c>
      <c r="G867" s="151" t="inlineStr">
        <is>
          <t>BLAST CHILLER, OVEN</t>
        </is>
      </c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inlineStr">
        <is>
          <t>FA-DE Spice, Sea Salt /Gewürze, Meersalz</t>
        </is>
      </c>
      <c r="X867" s="151" t="inlineStr">
        <is>
          <t>SPI-00-139378-5</t>
        </is>
      </c>
      <c r="Y867" s="151" t="inlineStr">
        <is>
          <t>0,24</t>
        </is>
      </c>
      <c r="Z867" s="149" t="inlineStr">
        <is>
          <t>0,24</t>
        </is>
      </c>
      <c r="AA867" s="151" t="inlineStr">
        <is>
          <t>grams</t>
        </is>
      </c>
      <c r="AB867" s="151" t="n"/>
      <c r="AC867" s="151" t="n"/>
      <c r="AD867" s="150" t="n">
        <v>0.8136</v>
      </c>
      <c r="AE867" s="149" t="n">
        <v>0.24</v>
      </c>
      <c r="AF867" s="151" t="inlineStr">
        <is>
          <t>grams</t>
        </is>
      </c>
      <c r="AG867" s="151" t="n"/>
      <c r="AH867" s="151" t="n"/>
    </row>
    <row r="868">
      <c r="A868" s="151" t="inlineStr">
        <is>
          <t>FV4006A - Pork tenderloin in sun dried tomato sauce [BNL]</t>
        </is>
      </c>
      <c r="B868" s="151" t="inlineStr">
        <is>
          <t>REC-014085-4-001</t>
        </is>
      </c>
      <c r="C868" s="151" t="inlineStr">
        <is>
          <t>Cauliflower - Roasted S&amp;P</t>
        </is>
      </c>
      <c r="D868" s="151" t="inlineStr">
        <is>
          <t>SUB-016201-4-001</t>
        </is>
      </c>
      <c r="E868" s="150" t="n">
        <v>50</v>
      </c>
      <c r="F868" s="151" t="inlineStr">
        <is>
          <t>grams</t>
        </is>
      </c>
      <c r="G868" s="151" t="inlineStr">
        <is>
          <t>BLAST CHILLER, OVEN</t>
        </is>
      </c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inlineStr">
        <is>
          <t>FA-DE Cauliflower, Florets /Blumenkohl, Röschen</t>
        </is>
      </c>
      <c r="X868" s="151" t="inlineStr">
        <is>
          <t>PHF-00-143426-3</t>
        </is>
      </c>
      <c r="Y868" s="151" t="inlineStr">
        <is>
          <t>57,97</t>
        </is>
      </c>
      <c r="Z868" s="149" t="inlineStr">
        <is>
          <t>57,97</t>
        </is>
      </c>
      <c r="AA868" s="151" t="inlineStr">
        <is>
          <t>grams</t>
        </is>
      </c>
      <c r="AB868" s="151" t="n"/>
      <c r="AC868" s="151" t="n"/>
      <c r="AD868" s="150" t="n">
        <v>0.81858</v>
      </c>
      <c r="AE868" s="149" t="n">
        <v>57.97</v>
      </c>
      <c r="AF868" s="151" t="inlineStr">
        <is>
          <t>grams</t>
        </is>
      </c>
      <c r="AG868" s="151" t="n"/>
      <c r="AH868" s="151" t="n"/>
    </row>
    <row r="869">
      <c r="A869" s="151" t="inlineStr">
        <is>
          <t>FV4006A - Pork tenderloin in sun dried tomato sauce [BNL]</t>
        </is>
      </c>
      <c r="B869" s="151" t="inlineStr">
        <is>
          <t>REC-014085-4-001</t>
        </is>
      </c>
      <c r="C869" s="151" t="inlineStr">
        <is>
          <t>Cauliflower - Roasted S&amp;P</t>
        </is>
      </c>
      <c r="D869" s="151" t="inlineStr">
        <is>
          <t>SUB-016201-4-001</t>
        </is>
      </c>
      <c r="E869" s="150" t="n">
        <v>50</v>
      </c>
      <c r="F869" s="151" t="inlineStr">
        <is>
          <t>grams</t>
        </is>
      </c>
      <c r="G869" s="151" t="inlineStr">
        <is>
          <t>BLAST CHILLER, OVEN</t>
        </is>
      </c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inlineStr">
        <is>
          <t>FA-DE Spice, Sea Salt /Gewürze, Meersalz</t>
        </is>
      </c>
      <c r="X869" s="151" t="inlineStr">
        <is>
          <t>SPI-00-139378-5</t>
        </is>
      </c>
      <c r="Y869" s="151" t="inlineStr">
        <is>
          <t>0,23</t>
        </is>
      </c>
      <c r="Z869" s="149" t="inlineStr">
        <is>
          <t>0,23</t>
        </is>
      </c>
      <c r="AA869" s="151" t="inlineStr">
        <is>
          <t>grams</t>
        </is>
      </c>
      <c r="AB869" s="151" t="n"/>
      <c r="AC869" s="151" t="n"/>
      <c r="AD869" s="150" t="n">
        <v>0.81858</v>
      </c>
      <c r="AE869" s="149" t="n">
        <v>0.23</v>
      </c>
      <c r="AF869" s="151" t="inlineStr">
        <is>
          <t>grams</t>
        </is>
      </c>
      <c r="AG869" s="151" t="n"/>
      <c r="AH869" s="151" t="n"/>
    </row>
    <row r="870">
      <c r="A870" s="151" t="inlineStr">
        <is>
          <t>FV4006A - Pork tenderloin in sun dried tomato sauce [BNL]</t>
        </is>
      </c>
      <c r="B870" s="151" t="inlineStr">
        <is>
          <t>REC-014085-4-001</t>
        </is>
      </c>
      <c r="C870" s="151" t="inlineStr">
        <is>
          <t>Cauliflower - Roasted S&amp;P</t>
        </is>
      </c>
      <c r="D870" s="151" t="inlineStr">
        <is>
          <t>SUB-016201-4-001</t>
        </is>
      </c>
      <c r="E870" s="150" t="n">
        <v>50</v>
      </c>
      <c r="F870" s="151" t="inlineStr">
        <is>
          <t>grams</t>
        </is>
      </c>
      <c r="G870" s="151" t="inlineStr">
        <is>
          <t>BLAST CHILLER, OVEN</t>
        </is>
      </c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inlineStr">
        <is>
          <t>FA-DE Spice, Black Pepper, Ground /Gewürz, schwarzer Pfeffer, gemahlen</t>
        </is>
      </c>
      <c r="X870" s="151" t="inlineStr">
        <is>
          <t>SPI-00-139334-5</t>
        </is>
      </c>
      <c r="Y870" s="151" t="inlineStr">
        <is>
          <t>0,14</t>
        </is>
      </c>
      <c r="Z870" s="149" t="inlineStr">
        <is>
          <t>0,14</t>
        </is>
      </c>
      <c r="AA870" s="151" t="inlineStr">
        <is>
          <t>grams</t>
        </is>
      </c>
      <c r="AB870" s="151" t="n"/>
      <c r="AC870" s="151" t="n"/>
      <c r="AD870" s="150" t="n">
        <v>0.81858</v>
      </c>
      <c r="AE870" s="149" t="n">
        <v>0.14</v>
      </c>
      <c r="AF870" s="151" t="inlineStr">
        <is>
          <t>grams</t>
        </is>
      </c>
      <c r="AG870" s="151" t="n"/>
      <c r="AH870" s="151" t="n"/>
    </row>
    <row r="871">
      <c r="A871" s="151" t="inlineStr">
        <is>
          <t>FV4006A - Pork tenderloin in sun dried tomato sauce [BNL]</t>
        </is>
      </c>
      <c r="B871" s="151" t="inlineStr">
        <is>
          <t>REC-014085-4-001</t>
        </is>
      </c>
      <c r="C871" s="151" t="inlineStr">
        <is>
          <t>Cauliflower - Roasted S&amp;P</t>
        </is>
      </c>
      <c r="D871" s="151" t="inlineStr">
        <is>
          <t>SUB-016201-4-001</t>
        </is>
      </c>
      <c r="E871" s="150" t="n">
        <v>50</v>
      </c>
      <c r="F871" s="151" t="inlineStr">
        <is>
          <t>grams</t>
        </is>
      </c>
      <c r="G871" s="151" t="inlineStr">
        <is>
          <t>BLAST CHILLER, OVEN</t>
        </is>
      </c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inlineStr">
        <is>
          <t>FA-DE Oil, Olive /Öl, Olivenöl</t>
        </is>
      </c>
      <c r="X871" s="151" t="inlineStr">
        <is>
          <t>PRO-00-139277-5</t>
        </is>
      </c>
      <c r="Y871" s="151" t="inlineStr">
        <is>
          <t>2,75</t>
        </is>
      </c>
      <c r="Z871" s="149" t="inlineStr">
        <is>
          <t>2,75</t>
        </is>
      </c>
      <c r="AA871" s="151" t="inlineStr">
        <is>
          <t>grams</t>
        </is>
      </c>
      <c r="AB871" s="151" t="n"/>
      <c r="AC871" s="151" t="n"/>
      <c r="AD871" s="150" t="n">
        <v>0.81858</v>
      </c>
      <c r="AE871" s="149" t="n">
        <v>2.75</v>
      </c>
      <c r="AF871" s="151" t="inlineStr">
        <is>
          <t>grams</t>
        </is>
      </c>
      <c r="AG871" s="151" t="n"/>
      <c r="AH871" s="151" t="n"/>
    </row>
    <row r="872">
      <c r="A872" s="151" t="inlineStr">
        <is>
          <t>FV4006A - Pork tenderloin in sun dried tomato sauce [BNL]</t>
        </is>
      </c>
      <c r="B872" s="151" t="inlineStr">
        <is>
          <t>REC-014085-4-001</t>
        </is>
      </c>
      <c r="C872" s="151" t="inlineStr">
        <is>
          <t>Compound butter - Parmesan-Chive</t>
        </is>
      </c>
      <c r="D872" s="151" t="inlineStr">
        <is>
          <t>SUB-013536-4-001</t>
        </is>
      </c>
      <c r="E872" s="150" t="n">
        <v>10</v>
      </c>
      <c r="F872" s="151" t="inlineStr">
        <is>
          <t>grams</t>
        </is>
      </c>
      <c r="G872" s="151" t="inlineStr">
        <is>
          <t>BLAST CHILLER, PLANETARY MIXER, SCOOPER (BUTTER)</t>
        </is>
      </c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inlineStr">
        <is>
          <t>FA-DE Spice, Parsley Dried /Gewürze, getrocknete Petersilie</t>
        </is>
      </c>
      <c r="X872" s="151" t="inlineStr">
        <is>
          <t>SPI-00-139374-5</t>
        </is>
      </c>
      <c r="Y872" s="151" t="inlineStr">
        <is>
          <t>0,1</t>
        </is>
      </c>
      <c r="Z872" s="149" t="inlineStr">
        <is>
          <t>0,1</t>
        </is>
      </c>
      <c r="AA872" s="151" t="inlineStr">
        <is>
          <t>grams</t>
        </is>
      </c>
      <c r="AB872" s="151" t="n"/>
      <c r="AC872" s="151" t="n"/>
      <c r="AD872" s="150" t="n">
        <v>0.97999</v>
      </c>
      <c r="AE872" s="149" t="n">
        <v>0.1</v>
      </c>
      <c r="AF872" s="151" t="inlineStr">
        <is>
          <t>grams</t>
        </is>
      </c>
      <c r="AG872" s="151" t="n"/>
      <c r="AH872" s="151" t="n"/>
    </row>
    <row r="873">
      <c r="A873" s="151" t="inlineStr">
        <is>
          <t>FV4006A - Pork tenderloin in sun dried tomato sauce [BNL]</t>
        </is>
      </c>
      <c r="B873" s="151" t="inlineStr">
        <is>
          <t>REC-014085-4-001</t>
        </is>
      </c>
      <c r="C873" s="151" t="inlineStr">
        <is>
          <t>Compound butter - Parmesan-Chive</t>
        </is>
      </c>
      <c r="D873" s="151" t="inlineStr">
        <is>
          <t>SUB-013536-4-001</t>
        </is>
      </c>
      <c r="E873" s="150" t="n">
        <v>10</v>
      </c>
      <c r="F873" s="151" t="inlineStr">
        <is>
          <t>grams</t>
        </is>
      </c>
      <c r="G873" s="151" t="inlineStr">
        <is>
          <t>BLAST CHILLER, PLANETARY MIXER, SCOOPER (BUTTER)</t>
        </is>
      </c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inlineStr">
        <is>
          <t>FA-DE Butter, Unsalted /Butter, ungesalzen</t>
        </is>
      </c>
      <c r="X873" s="151" t="inlineStr">
        <is>
          <t>DAI-00-139146-3</t>
        </is>
      </c>
      <c r="Y873" s="151" t="inlineStr">
        <is>
          <t>7,5</t>
        </is>
      </c>
      <c r="Z873" s="149" t="inlineStr">
        <is>
          <t>7,5</t>
        </is>
      </c>
      <c r="AA873" s="151" t="inlineStr">
        <is>
          <t>grams</t>
        </is>
      </c>
      <c r="AB873" s="151" t="inlineStr">
        <is>
          <t>MILCH (EINSCHLIESSLICH LAKTOSE)</t>
        </is>
      </c>
      <c r="AC873" s="151" t="n"/>
      <c r="AD873" s="150" t="n">
        <v>0.97999</v>
      </c>
      <c r="AE873" s="149" t="n">
        <v>7.5</v>
      </c>
      <c r="AF873" s="151" t="inlineStr">
        <is>
          <t>grams</t>
        </is>
      </c>
      <c r="AG873" s="151" t="n"/>
      <c r="AH873" s="151" t="n"/>
    </row>
    <row r="874">
      <c r="A874" s="151" t="inlineStr">
        <is>
          <t>FV4006A - Pork tenderloin in sun dried tomato sauce [BNL]</t>
        </is>
      </c>
      <c r="B874" s="151" t="inlineStr">
        <is>
          <t>REC-014085-4-001</t>
        </is>
      </c>
      <c r="C874" s="151" t="inlineStr">
        <is>
          <t>Compound butter - Parmesan-Chive</t>
        </is>
      </c>
      <c r="D874" s="151" t="inlineStr">
        <is>
          <t>SUB-013536-4-001</t>
        </is>
      </c>
      <c r="E874" s="150" t="n">
        <v>10</v>
      </c>
      <c r="F874" s="151" t="inlineStr">
        <is>
          <t>grams</t>
        </is>
      </c>
      <c r="G874" s="151" t="inlineStr">
        <is>
          <t>BLAST CHILLER, PLANETARY MIXER, SCOOPER (BUTTER)</t>
        </is>
      </c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inlineStr">
        <is>
          <t>FA-DE Chives, Dried /Schnittlauch, getrocknet</t>
        </is>
      </c>
      <c r="X874" s="151" t="inlineStr">
        <is>
          <t>SPI-00-139322-5</t>
        </is>
      </c>
      <c r="Y874" s="151" t="inlineStr">
        <is>
          <t>0,1</t>
        </is>
      </c>
      <c r="Z874" s="149" t="inlineStr">
        <is>
          <t>0,1</t>
        </is>
      </c>
      <c r="AA874" s="151" t="inlineStr">
        <is>
          <t>grams</t>
        </is>
      </c>
      <c r="AB874" s="151" t="n"/>
      <c r="AC874" s="151" t="n"/>
      <c r="AD874" s="150" t="n">
        <v>0.97999</v>
      </c>
      <c r="AE874" s="149" t="n">
        <v>0.1</v>
      </c>
      <c r="AF874" s="151" t="inlineStr">
        <is>
          <t>grams</t>
        </is>
      </c>
      <c r="AG874" s="151" t="n"/>
      <c r="AH874" s="151" t="n"/>
    </row>
    <row r="875">
      <c r="A875" s="151" t="inlineStr">
        <is>
          <t>FV4006A - Pork tenderloin in sun dried tomato sauce [BNL]</t>
        </is>
      </c>
      <c r="B875" s="151" t="inlineStr">
        <is>
          <t>REC-014085-4-001</t>
        </is>
      </c>
      <c r="C875" s="151" t="inlineStr">
        <is>
          <t>Compound butter - Parmesan-Chive</t>
        </is>
      </c>
      <c r="D875" s="151" t="inlineStr">
        <is>
          <t>SUB-013536-4-001</t>
        </is>
      </c>
      <c r="E875" s="150" t="n">
        <v>10</v>
      </c>
      <c r="F875" s="151" t="inlineStr">
        <is>
          <t>grams</t>
        </is>
      </c>
      <c r="G875" s="151" t="inlineStr">
        <is>
          <t>BLAST CHILLER, PLANETARY MIXER, SCOOPER (BUTTER)</t>
        </is>
      </c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inlineStr">
        <is>
          <t>FA-DE Cheese, Parmesan, Grated /Käse, Parmesan, gerieben</t>
        </is>
      </c>
      <c r="X875" s="151" t="inlineStr">
        <is>
          <t>DAI-00-139127-3</t>
        </is>
      </c>
      <c r="Y875" s="151" t="inlineStr">
        <is>
          <t>2,5</t>
        </is>
      </c>
      <c r="Z875" s="149" t="inlineStr">
        <is>
          <t>2,5</t>
        </is>
      </c>
      <c r="AA875" s="151" t="inlineStr">
        <is>
          <t>grams</t>
        </is>
      </c>
      <c r="AB875" s="151" t="inlineStr">
        <is>
          <t>MILCH (EINSCHLIESSLICH LAKTOSE)</t>
        </is>
      </c>
      <c r="AC875" s="151" t="n"/>
      <c r="AD875" s="150" t="n">
        <v>0.97999</v>
      </c>
      <c r="AE875" s="149" t="n">
        <v>2.5</v>
      </c>
      <c r="AF875" s="151" t="inlineStr">
        <is>
          <t>grams</t>
        </is>
      </c>
      <c r="AG875" s="151" t="n"/>
      <c r="AH875" s="151" t="n"/>
    </row>
    <row r="876">
      <c r="A876" s="151" t="inlineStr">
        <is>
          <t>FV4006A - Pork tenderloin in sun dried tomato sauce [DE]</t>
        </is>
      </c>
      <c r="B876" s="151" t="inlineStr">
        <is>
          <t>REC-014085-4-003</t>
        </is>
      </c>
      <c r="C876" s="151" t="inlineStr">
        <is>
          <t>Mash - Roasted Garlic Cauliflower Mashed</t>
        </is>
      </c>
      <c r="D876" s="151" t="inlineStr">
        <is>
          <t>SUB-013673-4-001</t>
        </is>
      </c>
      <c r="E876" s="150" t="n">
        <v>100</v>
      </c>
      <c r="F876" s="151" t="inlineStr">
        <is>
          <t>grams</t>
        </is>
      </c>
      <c r="G876" s="151" t="inlineStr">
        <is>
          <t>BLAST CHILLER, BRAISER, IMMERSION BLENDER, SPICE PORTIONING</t>
        </is>
      </c>
      <c r="H876" s="151" t="inlineStr">
        <is>
          <t>Steamed Cauliflower Rice</t>
        </is>
      </c>
      <c r="I876" s="151" t="inlineStr">
        <is>
          <t>SUB-029075-4-001</t>
        </is>
      </c>
      <c r="J876" s="150" t="n">
        <v>71.84</v>
      </c>
      <c r="K876" s="151" t="inlineStr">
        <is>
          <t>grams</t>
        </is>
      </c>
      <c r="L876" s="151" t="inlineStr">
        <is>
          <t>OVEN</t>
        </is>
      </c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inlineStr">
        <is>
          <t>FA-DE Cauliflower, Riced, IQF /Blumenkohl, Reis, IQF</t>
        </is>
      </c>
      <c r="X876" s="151" t="inlineStr">
        <is>
          <t>PHF-00-139233-1</t>
        </is>
      </c>
      <c r="Y876" s="151" t="inlineStr">
        <is>
          <t>75,65</t>
        </is>
      </c>
      <c r="Z876" s="149" t="inlineStr">
        <is>
          <t>75,65</t>
        </is>
      </c>
      <c r="AA876" s="151" t="inlineStr">
        <is>
          <t>grams</t>
        </is>
      </c>
      <c r="AB876" s="151" t="n"/>
      <c r="AC876" s="151" t="n"/>
      <c r="AD876" s="150" t="n">
        <v>0.94962</v>
      </c>
      <c r="AE876" s="149" t="n">
        <v>75.65000000000001</v>
      </c>
      <c r="AF876" s="151" t="inlineStr">
        <is>
          <t>grams</t>
        </is>
      </c>
      <c r="AG876" s="151" t="n"/>
      <c r="AH876" s="151" t="n"/>
    </row>
    <row r="877">
      <c r="A877" s="151" t="inlineStr">
        <is>
          <t>FV4006A - Pork tenderloin in sun dried tomato sauce [DE]</t>
        </is>
      </c>
      <c r="B877" s="151" t="inlineStr">
        <is>
          <t>REC-014085-4-003</t>
        </is>
      </c>
      <c r="C877" s="151" t="inlineStr">
        <is>
          <t>Mash - Roasted Garlic Cauliflower Mashed</t>
        </is>
      </c>
      <c r="D877" s="151" t="inlineStr">
        <is>
          <t>SUB-013673-4-001</t>
        </is>
      </c>
      <c r="E877" s="150" t="n">
        <v>100</v>
      </c>
      <c r="F877" s="151" t="inlineStr">
        <is>
          <t>grams</t>
        </is>
      </c>
      <c r="G877" s="151" t="inlineStr">
        <is>
          <t>BLAST CHILLER, BRAISER, IMMERSION BLENDER, SPICE PORTIONING</t>
        </is>
      </c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inlineStr">
        <is>
          <t>FA-DE Butter, Unsalted /Butter, ungesalzen</t>
        </is>
      </c>
      <c r="X877" s="151" t="inlineStr">
        <is>
          <t>DAI-00-139146-3</t>
        </is>
      </c>
      <c r="Y877" s="151" t="inlineStr">
        <is>
          <t>10,64</t>
        </is>
      </c>
      <c r="Z877" s="149" t="inlineStr">
        <is>
          <t>10,64</t>
        </is>
      </c>
      <c r="AA877" s="151" t="inlineStr">
        <is>
          <t>grams</t>
        </is>
      </c>
      <c r="AB877" s="151" t="inlineStr">
        <is>
          <t>MILCH (EINSCHLIESSLICH LAKTOSE)</t>
        </is>
      </c>
      <c r="AC877" s="151" t="n"/>
      <c r="AD877" s="150" t="n">
        <v>0.98398</v>
      </c>
      <c r="AE877" s="149" t="n">
        <v>10.64</v>
      </c>
      <c r="AF877" s="151" t="inlineStr">
        <is>
          <t>grams</t>
        </is>
      </c>
      <c r="AG877" s="151" t="n"/>
      <c r="AH877" s="151" t="n"/>
    </row>
    <row r="878">
      <c r="A878" s="151" t="inlineStr">
        <is>
          <t>FV4006A - Pork tenderloin in sun dried tomato sauce [DE]</t>
        </is>
      </c>
      <c r="B878" s="151" t="inlineStr">
        <is>
          <t>REC-014085-4-003</t>
        </is>
      </c>
      <c r="C878" s="151" t="inlineStr">
        <is>
          <t>Mash - Roasted Garlic Cauliflower Mashed</t>
        </is>
      </c>
      <c r="D878" s="151" t="inlineStr">
        <is>
          <t>SUB-013673-4-001</t>
        </is>
      </c>
      <c r="E878" s="150" t="n">
        <v>100</v>
      </c>
      <c r="F878" s="151" t="inlineStr">
        <is>
          <t>grams</t>
        </is>
      </c>
      <c r="G878" s="151" t="inlineStr">
        <is>
          <t>BLAST CHILLER, BRAISER, IMMERSION BLENDER, SPICE PORTIONING</t>
        </is>
      </c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inlineStr">
        <is>
          <t>FA-DE Cheese, Cream, 13% Fat (Milk) /Käse, Sahne, 13% Fett</t>
        </is>
      </c>
      <c r="X878" s="151" t="inlineStr">
        <is>
          <t>DAI-00-139122-3</t>
        </is>
      </c>
      <c r="Y878" s="151" t="inlineStr">
        <is>
          <t>15,96</t>
        </is>
      </c>
      <c r="Z878" s="149" t="inlineStr">
        <is>
          <t>15,96</t>
        </is>
      </c>
      <c r="AA878" s="151" t="inlineStr">
        <is>
          <t>grams</t>
        </is>
      </c>
      <c r="AB878" s="151" t="inlineStr">
        <is>
          <t>MILCH (EINSCHLIESSLICH LAKTOSE)</t>
        </is>
      </c>
      <c r="AC878" s="151" t="n"/>
      <c r="AD878" s="150" t="n">
        <v>0.98398</v>
      </c>
      <c r="AE878" s="149" t="n">
        <v>15.96</v>
      </c>
      <c r="AF878" s="151" t="inlineStr">
        <is>
          <t>grams</t>
        </is>
      </c>
      <c r="AG878" s="151" t="n"/>
      <c r="AH878" s="151" t="n"/>
    </row>
    <row r="879">
      <c r="A879" s="151" t="inlineStr">
        <is>
          <t>FV4006A - Pork tenderloin in sun dried tomato sauce [DE]</t>
        </is>
      </c>
      <c r="B879" s="151" t="inlineStr">
        <is>
          <t>REC-014085-4-003</t>
        </is>
      </c>
      <c r="C879" s="151" t="inlineStr">
        <is>
          <t>Mash - Roasted Garlic Cauliflower Mashed</t>
        </is>
      </c>
      <c r="D879" s="151" t="inlineStr">
        <is>
          <t>SUB-013673-4-001</t>
        </is>
      </c>
      <c r="E879" s="150" t="n">
        <v>100</v>
      </c>
      <c r="F879" s="151" t="inlineStr">
        <is>
          <t>grams</t>
        </is>
      </c>
      <c r="G879" s="151" t="inlineStr">
        <is>
          <t>BLAST CHILLER, BRAISER, IMMERSION BLENDER, SPICE PORTIONING</t>
        </is>
      </c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inlineStr">
        <is>
          <t>FA-DE Spice, Sea Salt /Gewürze, Meersalz</t>
        </is>
      </c>
      <c r="X879" s="151" t="inlineStr">
        <is>
          <t>SPI-00-139378-5</t>
        </is>
      </c>
      <c r="Y879" s="151" t="inlineStr">
        <is>
          <t>0,49</t>
        </is>
      </c>
      <c r="Z879" s="149" t="inlineStr">
        <is>
          <t>0,49</t>
        </is>
      </c>
      <c r="AA879" s="151" t="inlineStr">
        <is>
          <t>grams</t>
        </is>
      </c>
      <c r="AB879" s="151" t="n"/>
      <c r="AC879" s="151" t="n"/>
      <c r="AD879" s="150" t="n">
        <v>0.98398</v>
      </c>
      <c r="AE879" s="149" t="n">
        <v>0.49</v>
      </c>
      <c r="AF879" s="151" t="inlineStr">
        <is>
          <t>grams</t>
        </is>
      </c>
      <c r="AG879" s="151" t="n"/>
      <c r="AH879" s="151" t="n"/>
    </row>
    <row r="880">
      <c r="A880" s="151" t="inlineStr">
        <is>
          <t>FV4006A - Pork tenderloin in sun dried tomato sauce [DE]</t>
        </is>
      </c>
      <c r="B880" s="151" t="inlineStr">
        <is>
          <t>REC-014085-4-003</t>
        </is>
      </c>
      <c r="C880" s="151" t="inlineStr">
        <is>
          <t>Mash - Roasted Garlic Cauliflower Mashed</t>
        </is>
      </c>
      <c r="D880" s="151" t="inlineStr">
        <is>
          <t>SUB-013673-4-001</t>
        </is>
      </c>
      <c r="E880" s="150" t="n">
        <v>100</v>
      </c>
      <c r="F880" s="151" t="inlineStr">
        <is>
          <t>grams</t>
        </is>
      </c>
      <c r="G880" s="151" t="inlineStr">
        <is>
          <t>BLAST CHILLER, BRAISER, IMMERSION BLENDER, SPICE PORTIONING</t>
        </is>
      </c>
      <c r="H880" s="151" t="inlineStr">
        <is>
          <t>Roasted Garlic (use)</t>
        </is>
      </c>
      <c r="I880" s="151" t="inlineStr">
        <is>
          <t>SUB-013367-4-001</t>
        </is>
      </c>
      <c r="J880" s="150" t="n">
        <v>2.69</v>
      </c>
      <c r="K880" s="151" t="inlineStr">
        <is>
          <t>grams</t>
        </is>
      </c>
      <c r="L880" s="151" t="inlineStr">
        <is>
          <t>BLAST CHILLER, OVEN</t>
        </is>
      </c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inlineStr">
        <is>
          <t>FA-DE Garlic, Peeled, Whole Cloves [10kg] /Knoblauch, geschält, ganze Nelken [10kg]</t>
        </is>
      </c>
      <c r="X880" s="151" t="inlineStr">
        <is>
          <t>PHF-00-139197-3</t>
        </is>
      </c>
      <c r="Y880" s="151" t="inlineStr">
        <is>
          <t>2,71</t>
        </is>
      </c>
      <c r="Z880" s="149" t="inlineStr">
        <is>
          <t>2,71</t>
        </is>
      </c>
      <c r="AA880" s="151" t="inlineStr">
        <is>
          <t>grams</t>
        </is>
      </c>
      <c r="AB880" s="151" t="n"/>
      <c r="AC880" s="151" t="n"/>
      <c r="AD880" s="150" t="n">
        <v>0.56691</v>
      </c>
      <c r="AE880" s="149" t="n">
        <v>2.71</v>
      </c>
      <c r="AF880" s="151" t="inlineStr">
        <is>
          <t>grams</t>
        </is>
      </c>
      <c r="AG880" s="151" t="n"/>
      <c r="AH880" s="151" t="n"/>
    </row>
    <row r="881">
      <c r="A881" s="151" t="inlineStr">
        <is>
          <t>FV4006A - Pork tenderloin in sun dried tomato sauce [DE]</t>
        </is>
      </c>
      <c r="B881" s="151" t="inlineStr">
        <is>
          <t>REC-014085-4-003</t>
        </is>
      </c>
      <c r="C881" s="151" t="inlineStr">
        <is>
          <t>Mash - Roasted Garlic Cauliflower Mashed</t>
        </is>
      </c>
      <c r="D881" s="151" t="inlineStr">
        <is>
          <t>SUB-013673-4-001</t>
        </is>
      </c>
      <c r="E881" s="150" t="n">
        <v>100</v>
      </c>
      <c r="F881" s="151" t="inlineStr">
        <is>
          <t>grams</t>
        </is>
      </c>
      <c r="G881" s="151" t="inlineStr">
        <is>
          <t>BLAST CHILLER, BRAISER, IMMERSION BLENDER, SPICE PORTIONING</t>
        </is>
      </c>
      <c r="H881" s="151" t="inlineStr">
        <is>
          <t>Roasted Garlic (use)</t>
        </is>
      </c>
      <c r="I881" s="151" t="inlineStr">
        <is>
          <t>SUB-013367-4-001</t>
        </is>
      </c>
      <c r="J881" s="150" t="n">
        <v>2.69</v>
      </c>
      <c r="K881" s="151" t="inlineStr">
        <is>
          <t>grams</t>
        </is>
      </c>
      <c r="L881" s="151" t="inlineStr">
        <is>
          <t>BLAST CHILLER, OVEN</t>
        </is>
      </c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inlineStr">
        <is>
          <t>FA-DE Oil, Olive /Öl, Olivenöl</t>
        </is>
      </c>
      <c r="X881" s="151" t="inlineStr">
        <is>
          <t>PRO-00-139277-5</t>
        </is>
      </c>
      <c r="Y881" s="154" t="inlineStr">
        <is>
          <t>2,04</t>
        </is>
      </c>
      <c r="Z881" s="149" t="inlineStr">
        <is>
          <t>2,04</t>
        </is>
      </c>
      <c r="AA881" s="151" t="inlineStr">
        <is>
          <t>grams</t>
        </is>
      </c>
      <c r="AB881" s="151" t="n"/>
      <c r="AC881" s="151" t="n"/>
      <c r="AD881" s="150" t="n">
        <v>0.56691</v>
      </c>
      <c r="AE881" s="149" t="n">
        <v>2.04</v>
      </c>
      <c r="AF881" s="151" t="inlineStr">
        <is>
          <t>grams</t>
        </is>
      </c>
      <c r="AG881" s="151" t="n"/>
      <c r="AH881" s="151" t="n"/>
    </row>
    <row r="882">
      <c r="A882" s="151" t="inlineStr">
        <is>
          <t>FV4006A - Pork tenderloin in sun dried tomato sauce [DE]</t>
        </is>
      </c>
      <c r="B882" s="151" t="inlineStr">
        <is>
          <t>REC-014085-4-003</t>
        </is>
      </c>
      <c r="C882" s="151" t="inlineStr">
        <is>
          <t>Pork tenderloin - herb marinade</t>
        </is>
      </c>
      <c r="D882" s="151" t="inlineStr">
        <is>
          <t>SUB-013466-4-001</t>
        </is>
      </c>
      <c r="E882" s="150" t="n">
        <v>140</v>
      </c>
      <c r="F882" s="151" t="inlineStr">
        <is>
          <t>grams</t>
        </is>
      </c>
      <c r="G882" s="151" t="inlineStr">
        <is>
          <t>BLAST CHILLER, GRILL, MARINADE, OVEN, SLICER</t>
        </is>
      </c>
      <c r="H882" s="151" t="inlineStr">
        <is>
          <t>Pork Tenderloin - HERB BRINED</t>
        </is>
      </c>
      <c r="I882" s="151" t="inlineStr">
        <is>
          <t>SUB-013465-4-001</t>
        </is>
      </c>
      <c r="J882" s="150" t="n">
        <v>170</v>
      </c>
      <c r="K882" s="151" t="inlineStr">
        <is>
          <t>grams</t>
        </is>
      </c>
      <c r="L882" s="151" t="inlineStr">
        <is>
          <t>BRINE</t>
        </is>
      </c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inlineStr">
        <is>
          <t>FA-DE Water / Wasser</t>
        </is>
      </c>
      <c r="X882" s="151" t="inlineStr">
        <is>
          <t>OTH-00-144038-5</t>
        </is>
      </c>
      <c r="Y882" s="150" t="n">
        <v>170</v>
      </c>
      <c r="Z882" s="152" t="n">
        <v>170</v>
      </c>
      <c r="AA882" s="151" t="inlineStr">
        <is>
          <t>grams</t>
        </is>
      </c>
      <c r="AB882" s="151" t="n"/>
      <c r="AC882" s="151" t="n"/>
      <c r="AD882" s="150" t="n">
        <v>0.49656</v>
      </c>
      <c r="AE882" s="152" t="n">
        <v>170</v>
      </c>
      <c r="AF882" s="151" t="inlineStr">
        <is>
          <t>grams</t>
        </is>
      </c>
      <c r="AG882" s="151" t="n"/>
      <c r="AH882" s="151" t="n"/>
    </row>
    <row r="883">
      <c r="A883" s="151" t="inlineStr">
        <is>
          <t>FV4006A - Pork tenderloin in sun dried tomato sauce [DE]</t>
        </is>
      </c>
      <c r="B883" s="151" t="inlineStr">
        <is>
          <t>REC-014085-4-003</t>
        </is>
      </c>
      <c r="C883" s="151" t="inlineStr">
        <is>
          <t>Pork tenderloin - herb marinade</t>
        </is>
      </c>
      <c r="D883" s="151" t="inlineStr">
        <is>
          <t>SUB-013466-4-001</t>
        </is>
      </c>
      <c r="E883" s="150" t="n">
        <v>140</v>
      </c>
      <c r="F883" s="151" t="inlineStr">
        <is>
          <t>grams</t>
        </is>
      </c>
      <c r="G883" s="151" t="inlineStr">
        <is>
          <t>BLAST CHILLER, GRILL, MARINADE, OVEN, SLICER</t>
        </is>
      </c>
      <c r="H883" s="151" t="inlineStr">
        <is>
          <t>Pork Tenderloin - HERB BRINED</t>
        </is>
      </c>
      <c r="I883" s="151" t="inlineStr">
        <is>
          <t>SUB-013465-4-001</t>
        </is>
      </c>
      <c r="J883" s="150" t="n">
        <v>170</v>
      </c>
      <c r="K883" s="151" t="inlineStr">
        <is>
          <t>grams</t>
        </is>
      </c>
      <c r="L883" s="151" t="inlineStr">
        <is>
          <t>BRINE</t>
        </is>
      </c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inlineStr">
        <is>
          <t>FA-DE Spice, Thyme Dry /Gewürz, Thymian trocken</t>
        </is>
      </c>
      <c r="X883" s="151" t="inlineStr">
        <is>
          <t>SPI-00-139385-5</t>
        </is>
      </c>
      <c r="Y883" s="151" t="inlineStr">
        <is>
          <t>0,28</t>
        </is>
      </c>
      <c r="Z883" s="149" t="inlineStr">
        <is>
          <t>0,28</t>
        </is>
      </c>
      <c r="AA883" s="151" t="inlineStr">
        <is>
          <t>grams</t>
        </is>
      </c>
      <c r="AB883" s="151" t="n"/>
      <c r="AC883" s="151" t="n"/>
      <c r="AD883" s="150" t="n">
        <v>0.49656</v>
      </c>
      <c r="AE883" s="149" t="n">
        <v>0.28</v>
      </c>
      <c r="AF883" s="151" t="inlineStr">
        <is>
          <t>grams</t>
        </is>
      </c>
      <c r="AG883" s="151" t="n"/>
      <c r="AH883" s="151" t="n"/>
    </row>
    <row r="884">
      <c r="A884" s="151" t="inlineStr">
        <is>
          <t>FV4006A - Pork tenderloin in sun dried tomato sauce [DE]</t>
        </is>
      </c>
      <c r="B884" s="151" t="inlineStr">
        <is>
          <t>REC-014085-4-003</t>
        </is>
      </c>
      <c r="C884" s="151" t="inlineStr">
        <is>
          <t>Pork tenderloin - herb marinade</t>
        </is>
      </c>
      <c r="D884" s="151" t="inlineStr">
        <is>
          <t>SUB-013466-4-001</t>
        </is>
      </c>
      <c r="E884" s="150" t="n">
        <v>140</v>
      </c>
      <c r="F884" s="151" t="inlineStr">
        <is>
          <t>grams</t>
        </is>
      </c>
      <c r="G884" s="151" t="inlineStr">
        <is>
          <t>BLAST CHILLER, GRILL, MARINADE, OVEN, SLICER</t>
        </is>
      </c>
      <c r="H884" s="151" t="inlineStr">
        <is>
          <t>Pork Tenderloin - HERB BRINED</t>
        </is>
      </c>
      <c r="I884" s="151" t="inlineStr">
        <is>
          <t>SUB-013465-4-001</t>
        </is>
      </c>
      <c r="J884" s="150" t="n">
        <v>170</v>
      </c>
      <c r="K884" s="151" t="inlineStr">
        <is>
          <t>grams</t>
        </is>
      </c>
      <c r="L884" s="151" t="inlineStr">
        <is>
          <t>BRINE</t>
        </is>
      </c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inlineStr">
        <is>
          <t>FA-DE Pork, Tenderloin /Schweinefleisch, Filet</t>
        </is>
      </c>
      <c r="X884" s="151" t="inlineStr">
        <is>
          <t>PTN-00-139310-3</t>
        </is>
      </c>
      <c r="Y884" s="150" t="n">
        <v>170</v>
      </c>
      <c r="Z884" s="152" t="n">
        <v>170</v>
      </c>
      <c r="AA884" s="151" t="inlineStr">
        <is>
          <t>grams</t>
        </is>
      </c>
      <c r="AB884" s="151" t="n"/>
      <c r="AC884" s="151" t="n"/>
      <c r="AD884" s="150" t="n">
        <v>0.49656</v>
      </c>
      <c r="AE884" s="152" t="n">
        <v>170</v>
      </c>
      <c r="AF884" s="151" t="inlineStr">
        <is>
          <t>grams</t>
        </is>
      </c>
      <c r="AG884" s="151" t="n"/>
      <c r="AH884" s="151" t="n"/>
    </row>
    <row r="885">
      <c r="A885" s="151" t="inlineStr">
        <is>
          <t>FV4006A - Pork tenderloin in sun dried tomato sauce [DE]</t>
        </is>
      </c>
      <c r="B885" s="151" t="inlineStr">
        <is>
          <t>REC-014085-4-003</t>
        </is>
      </c>
      <c r="C885" s="151" t="inlineStr">
        <is>
          <t>Pork tenderloin - herb marinade</t>
        </is>
      </c>
      <c r="D885" s="151" t="inlineStr">
        <is>
          <t>SUB-013466-4-001</t>
        </is>
      </c>
      <c r="E885" s="150" t="n">
        <v>140</v>
      </c>
      <c r="F885" s="151" t="inlineStr">
        <is>
          <t>grams</t>
        </is>
      </c>
      <c r="G885" s="151" t="inlineStr">
        <is>
          <t>BLAST CHILLER, GRILL, MARINADE, OVEN, SLICER</t>
        </is>
      </c>
      <c r="H885" s="151" t="inlineStr">
        <is>
          <t>Pork Tenderloin - HERB BRINED</t>
        </is>
      </c>
      <c r="I885" s="151" t="inlineStr">
        <is>
          <t>SUB-013465-4-001</t>
        </is>
      </c>
      <c r="J885" s="150" t="n">
        <v>170</v>
      </c>
      <c r="K885" s="151" t="inlineStr">
        <is>
          <t>grams</t>
        </is>
      </c>
      <c r="L885" s="151" t="inlineStr">
        <is>
          <t>BRINE</t>
        </is>
      </c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inlineStr">
        <is>
          <t>FA-DE Spice, Sage, Rubbed /Gewürz, Salbei, gerieben</t>
        </is>
      </c>
      <c r="X885" s="151" t="inlineStr">
        <is>
          <t>SPI-00-139377-5</t>
        </is>
      </c>
      <c r="Y885" s="151" t="inlineStr">
        <is>
          <t>0,28</t>
        </is>
      </c>
      <c r="Z885" s="149" t="inlineStr">
        <is>
          <t>0,28</t>
        </is>
      </c>
      <c r="AA885" s="151" t="inlineStr">
        <is>
          <t>grams</t>
        </is>
      </c>
      <c r="AB885" s="151" t="n"/>
      <c r="AC885" s="151" t="n"/>
      <c r="AD885" s="150" t="n">
        <v>0.49656</v>
      </c>
      <c r="AE885" s="149" t="n">
        <v>0.28</v>
      </c>
      <c r="AF885" s="151" t="inlineStr">
        <is>
          <t>grams</t>
        </is>
      </c>
      <c r="AG885" s="151" t="n"/>
      <c r="AH885" s="151" t="n"/>
    </row>
    <row r="886">
      <c r="A886" s="151" t="inlineStr">
        <is>
          <t>FV4006A - Pork tenderloin in sun dried tomato sauce [DE]</t>
        </is>
      </c>
      <c r="B886" s="151" t="inlineStr">
        <is>
          <t>REC-014085-4-003</t>
        </is>
      </c>
      <c r="C886" s="151" t="inlineStr">
        <is>
          <t>Pork tenderloin - herb marinade</t>
        </is>
      </c>
      <c r="D886" s="151" t="inlineStr">
        <is>
          <t>SUB-013466-4-001</t>
        </is>
      </c>
      <c r="E886" s="150" t="n">
        <v>140</v>
      </c>
      <c r="F886" s="151" t="inlineStr">
        <is>
          <t>grams</t>
        </is>
      </c>
      <c r="G886" s="151" t="inlineStr">
        <is>
          <t>BLAST CHILLER, GRILL, MARINADE, OVEN, SLICER</t>
        </is>
      </c>
      <c r="H886" s="151" t="inlineStr">
        <is>
          <t>Pork Tenderloin - HERB BRINED</t>
        </is>
      </c>
      <c r="I886" s="151" t="inlineStr">
        <is>
          <t>SUB-013465-4-001</t>
        </is>
      </c>
      <c r="J886" s="150" t="n">
        <v>170</v>
      </c>
      <c r="K886" s="151" t="inlineStr">
        <is>
          <t>grams</t>
        </is>
      </c>
      <c r="L886" s="151" t="inlineStr">
        <is>
          <t>BRINE</t>
        </is>
      </c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inlineStr">
        <is>
          <t>FA-DE Spice, Sea Salt /Gewürze, Meersalz</t>
        </is>
      </c>
      <c r="X886" s="151" t="inlineStr">
        <is>
          <t>SPI-00-139378-5</t>
        </is>
      </c>
      <c r="Y886" s="151" t="inlineStr">
        <is>
          <t>1,5</t>
        </is>
      </c>
      <c r="Z886" s="149" t="inlineStr">
        <is>
          <t>1,5</t>
        </is>
      </c>
      <c r="AA886" s="151" t="inlineStr">
        <is>
          <t>grams</t>
        </is>
      </c>
      <c r="AB886" s="151" t="n"/>
      <c r="AC886" s="151" t="n"/>
      <c r="AD886" s="150" t="n">
        <v>0.49656</v>
      </c>
      <c r="AE886" s="149" t="n">
        <v>1.5</v>
      </c>
      <c r="AF886" s="151" t="inlineStr">
        <is>
          <t>grams</t>
        </is>
      </c>
      <c r="AG886" s="151" t="n"/>
      <c r="AH886" s="151" t="n"/>
    </row>
    <row r="887">
      <c r="A887" s="151" t="inlineStr">
        <is>
          <t>FV4006A - Pork tenderloin in sun dried tomato sauce [DE]</t>
        </is>
      </c>
      <c r="B887" s="151" t="inlineStr">
        <is>
          <t>REC-014085-4-003</t>
        </is>
      </c>
      <c r="C887" s="151" t="inlineStr">
        <is>
          <t>Pork tenderloin - herb marinade</t>
        </is>
      </c>
      <c r="D887" s="151" t="inlineStr">
        <is>
          <t>SUB-013466-4-001</t>
        </is>
      </c>
      <c r="E887" s="150" t="n">
        <v>140</v>
      </c>
      <c r="F887" s="151" t="inlineStr">
        <is>
          <t>grams</t>
        </is>
      </c>
      <c r="G887" s="151" t="inlineStr">
        <is>
          <t>BLAST CHILLER, GRILL, MARINADE, OVEN, SLICER</t>
        </is>
      </c>
      <c r="H887" s="151" t="inlineStr">
        <is>
          <t>Pork Tenderloin - HERB BRINED</t>
        </is>
      </c>
      <c r="I887" s="151" t="inlineStr">
        <is>
          <t>SUB-013465-4-001</t>
        </is>
      </c>
      <c r="J887" s="150" t="n">
        <v>170</v>
      </c>
      <c r="K887" s="151" t="inlineStr">
        <is>
          <t>grams</t>
        </is>
      </c>
      <c r="L887" s="151" t="inlineStr">
        <is>
          <t>BRINE</t>
        </is>
      </c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inlineStr">
        <is>
          <t>FA-DE Dried Rosemary/Rosmarin getrocknet</t>
        </is>
      </c>
      <c r="X887" s="151" t="inlineStr">
        <is>
          <t>SPI-00-143552-5</t>
        </is>
      </c>
      <c r="Y887" s="151" t="inlineStr">
        <is>
          <t>0,28</t>
        </is>
      </c>
      <c r="Z887" s="149" t="inlineStr">
        <is>
          <t>0,28</t>
        </is>
      </c>
      <c r="AA887" s="151" t="inlineStr">
        <is>
          <t>grams</t>
        </is>
      </c>
      <c r="AB887" s="151" t="n"/>
      <c r="AC887" s="151" t="n"/>
      <c r="AD887" s="150" t="n">
        <v>0.49656</v>
      </c>
      <c r="AE887" s="149" t="n">
        <v>0.28</v>
      </c>
      <c r="AF887" s="151" t="inlineStr">
        <is>
          <t>grams</t>
        </is>
      </c>
      <c r="AG887" s="151" t="n"/>
      <c r="AH887" s="151" t="n"/>
    </row>
    <row r="888">
      <c r="A888" s="151" t="inlineStr">
        <is>
          <t>FV4006A - Pork tenderloin in sun dried tomato sauce [DE]</t>
        </is>
      </c>
      <c r="B888" s="151" t="inlineStr">
        <is>
          <t>REC-014085-4-003</t>
        </is>
      </c>
      <c r="C888" s="151" t="inlineStr">
        <is>
          <t>Pork tenderloin - herb marinade</t>
        </is>
      </c>
      <c r="D888" s="151" t="inlineStr">
        <is>
          <t>SUB-013466-4-001</t>
        </is>
      </c>
      <c r="E888" s="150" t="n">
        <v>140</v>
      </c>
      <c r="F888" s="151" t="inlineStr">
        <is>
          <t>grams</t>
        </is>
      </c>
      <c r="G888" s="151" t="inlineStr">
        <is>
          <t>BLAST CHILLER, GRILL, MARINADE, OVEN, SLICER</t>
        </is>
      </c>
      <c r="H888" s="151" t="inlineStr">
        <is>
          <t>Herb Marinade for Pork Tenderloin</t>
        </is>
      </c>
      <c r="I888" s="151" t="inlineStr">
        <is>
          <t>SUB-031651-4-001</t>
        </is>
      </c>
      <c r="J888" s="150" t="n">
        <v>12</v>
      </c>
      <c r="K888" s="151" t="inlineStr">
        <is>
          <t>grams</t>
        </is>
      </c>
      <c r="L888" s="151" t="inlineStr">
        <is>
          <t>UNCATEGORIZED BOM</t>
        </is>
      </c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inlineStr">
        <is>
          <t>FA-DE Oil, Olive /Öl, Olivenöl</t>
        </is>
      </c>
      <c r="X888" s="151" t="inlineStr">
        <is>
          <t>PRO-00-139277-5</t>
        </is>
      </c>
      <c r="Y888" s="155" t="inlineStr">
        <is>
          <t>11,1</t>
        </is>
      </c>
      <c r="Z888" s="149" t="inlineStr">
        <is>
          <t>11,1</t>
        </is>
      </c>
      <c r="AA888" s="151" t="inlineStr">
        <is>
          <t>grams</t>
        </is>
      </c>
      <c r="AB888" s="151" t="n"/>
      <c r="AC888" s="151" t="n"/>
      <c r="AD888" s="150" t="n">
        <v>0.99855</v>
      </c>
      <c r="AE888" s="149" t="n">
        <v>11.1</v>
      </c>
      <c r="AF888" s="151" t="inlineStr">
        <is>
          <t>grams</t>
        </is>
      </c>
      <c r="AG888" s="151" t="n"/>
      <c r="AH888" s="151" t="n"/>
    </row>
    <row r="889">
      <c r="A889" s="151" t="inlineStr">
        <is>
          <t>FV4006A - Pork tenderloin in sun dried tomato sauce [DE]</t>
        </is>
      </c>
      <c r="B889" s="151" t="inlineStr">
        <is>
          <t>REC-014085-4-003</t>
        </is>
      </c>
      <c r="C889" s="151" t="inlineStr">
        <is>
          <t>Pork tenderloin - herb marinade</t>
        </is>
      </c>
      <c r="D889" s="151" t="inlineStr">
        <is>
          <t>SUB-013466-4-001</t>
        </is>
      </c>
      <c r="E889" s="150" t="n">
        <v>140</v>
      </c>
      <c r="F889" s="151" t="inlineStr">
        <is>
          <t>grams</t>
        </is>
      </c>
      <c r="G889" s="151" t="inlineStr">
        <is>
          <t>BLAST CHILLER, GRILL, MARINADE, OVEN, SLICER</t>
        </is>
      </c>
      <c r="H889" s="151" t="inlineStr">
        <is>
          <t>Herb Marinade for Pork Tenderloin</t>
        </is>
      </c>
      <c r="I889" s="151" t="inlineStr">
        <is>
          <t>SUB-031651-4-001</t>
        </is>
      </c>
      <c r="J889" s="150" t="n">
        <v>12</v>
      </c>
      <c r="K889" s="151" t="inlineStr">
        <is>
          <t>grams</t>
        </is>
      </c>
      <c r="L889" s="151" t="inlineStr">
        <is>
          <t>UNCATEGORIZED BOM</t>
        </is>
      </c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inlineStr">
        <is>
          <t>FA-DE Spice, Oregano Dry /Gewürz, Oregano trocken</t>
        </is>
      </c>
      <c r="X889" s="151" t="inlineStr">
        <is>
          <t>SPI-00-139372-5</t>
        </is>
      </c>
      <c r="Y889" s="151" t="inlineStr">
        <is>
          <t>0,03</t>
        </is>
      </c>
      <c r="Z889" s="149" t="inlineStr">
        <is>
          <t>0,03</t>
        </is>
      </c>
      <c r="AA889" s="151" t="inlineStr">
        <is>
          <t>grams</t>
        </is>
      </c>
      <c r="AB889" s="151" t="n"/>
      <c r="AC889" s="151" t="n"/>
      <c r="AD889" s="150" t="n">
        <v>0.99855</v>
      </c>
      <c r="AE889" s="149" t="n">
        <v>0.03</v>
      </c>
      <c r="AF889" s="151" t="inlineStr">
        <is>
          <t>grams</t>
        </is>
      </c>
      <c r="AG889" s="151" t="n"/>
      <c r="AH889" s="151" t="n"/>
    </row>
    <row r="890">
      <c r="A890" s="151" t="inlineStr">
        <is>
          <t>FV4006A - Pork tenderloin in sun dried tomato sauce [DE]</t>
        </is>
      </c>
      <c r="B890" s="151" t="inlineStr">
        <is>
          <t>REC-014085-4-003</t>
        </is>
      </c>
      <c r="C890" s="151" t="inlineStr">
        <is>
          <t>Pork tenderloin - herb marinade</t>
        </is>
      </c>
      <c r="D890" s="151" t="inlineStr">
        <is>
          <t>SUB-013466-4-001</t>
        </is>
      </c>
      <c r="E890" s="150" t="n">
        <v>140</v>
      </c>
      <c r="F890" s="151" t="inlineStr">
        <is>
          <t>grams</t>
        </is>
      </c>
      <c r="G890" s="151" t="inlineStr">
        <is>
          <t>BLAST CHILLER, GRILL, MARINADE, OVEN, SLICER</t>
        </is>
      </c>
      <c r="H890" s="151" t="inlineStr">
        <is>
          <t>Herb Marinade for Pork Tenderloin</t>
        </is>
      </c>
      <c r="I890" s="151" t="inlineStr">
        <is>
          <t>SUB-031651-4-001</t>
        </is>
      </c>
      <c r="J890" s="150" t="n">
        <v>12</v>
      </c>
      <c r="K890" s="151" t="inlineStr">
        <is>
          <t>grams</t>
        </is>
      </c>
      <c r="L890" s="151" t="inlineStr">
        <is>
          <t>UNCATEGORIZED BOM</t>
        </is>
      </c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inlineStr">
        <is>
          <t>FA-DE Spice, Garlic Granulated /Gewürz, Knoblauch granuliert</t>
        </is>
      </c>
      <c r="X890" s="151" t="inlineStr">
        <is>
          <t>SPI-00-139353-5</t>
        </is>
      </c>
      <c r="Y890" s="151" t="inlineStr">
        <is>
          <t>0,24</t>
        </is>
      </c>
      <c r="Z890" s="149" t="inlineStr">
        <is>
          <t>0,24</t>
        </is>
      </c>
      <c r="AA890" s="151" t="inlineStr">
        <is>
          <t>grams</t>
        </is>
      </c>
      <c r="AB890" s="151" t="n"/>
      <c r="AC890" s="151" t="n"/>
      <c r="AD890" s="150" t="n">
        <v>0.99855</v>
      </c>
      <c r="AE890" s="149" t="n">
        <v>0.24</v>
      </c>
      <c r="AF890" s="151" t="inlineStr">
        <is>
          <t>grams</t>
        </is>
      </c>
      <c r="AG890" s="151" t="n"/>
      <c r="AH890" s="151" t="n"/>
    </row>
    <row r="891">
      <c r="A891" s="151" t="inlineStr">
        <is>
          <t>FV4006A - Pork tenderloin in sun dried tomato sauce [DE]</t>
        </is>
      </c>
      <c r="B891" s="151" t="inlineStr">
        <is>
          <t>REC-014085-4-003</t>
        </is>
      </c>
      <c r="C891" s="151" t="inlineStr">
        <is>
          <t>Pork tenderloin - herb marinade</t>
        </is>
      </c>
      <c r="D891" s="151" t="inlineStr">
        <is>
          <t>SUB-013466-4-001</t>
        </is>
      </c>
      <c r="E891" s="150" t="n">
        <v>140</v>
      </c>
      <c r="F891" s="151" t="inlineStr">
        <is>
          <t>grams</t>
        </is>
      </c>
      <c r="G891" s="151" t="inlineStr">
        <is>
          <t>BLAST CHILLER, GRILL, MARINADE, OVEN, SLICER</t>
        </is>
      </c>
      <c r="H891" s="151" t="inlineStr">
        <is>
          <t>Herb Marinade for Pork Tenderloin</t>
        </is>
      </c>
      <c r="I891" s="151" t="inlineStr">
        <is>
          <t>SUB-031651-4-001</t>
        </is>
      </c>
      <c r="J891" s="150" t="n">
        <v>12</v>
      </c>
      <c r="K891" s="151" t="inlineStr">
        <is>
          <t>grams</t>
        </is>
      </c>
      <c r="L891" s="151" t="inlineStr">
        <is>
          <t>UNCATEGORIZED BOM</t>
        </is>
      </c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inlineStr">
        <is>
          <t>FA-DE Spice, Parsley Dried /Gewürze, getrocknete Petersilie</t>
        </is>
      </c>
      <c r="X891" s="151" t="inlineStr">
        <is>
          <t>SPI-00-139374-5</t>
        </is>
      </c>
      <c r="Y891" s="151" t="inlineStr">
        <is>
          <t>0,03</t>
        </is>
      </c>
      <c r="Z891" s="149" t="inlineStr">
        <is>
          <t>0,03</t>
        </is>
      </c>
      <c r="AA891" s="151" t="inlineStr">
        <is>
          <t>grams</t>
        </is>
      </c>
      <c r="AB891" s="151" t="n"/>
      <c r="AC891" s="151" t="n"/>
      <c r="AD891" s="150" t="n">
        <v>0.99855</v>
      </c>
      <c r="AE891" s="149" t="n">
        <v>0.03</v>
      </c>
      <c r="AF891" s="151" t="inlineStr">
        <is>
          <t>grams</t>
        </is>
      </c>
      <c r="AG891" s="151" t="n"/>
      <c r="AH891" s="151" t="n"/>
    </row>
    <row r="892">
      <c r="A892" s="151" t="inlineStr">
        <is>
          <t>FV4006A - Pork tenderloin in sun dried tomato sauce [DE]</t>
        </is>
      </c>
      <c r="B892" s="151" t="inlineStr">
        <is>
          <t>REC-014085-4-003</t>
        </is>
      </c>
      <c r="C892" s="151" t="inlineStr">
        <is>
          <t>Pork tenderloin - herb marinade</t>
        </is>
      </c>
      <c r="D892" s="151" t="inlineStr">
        <is>
          <t>SUB-013466-4-001</t>
        </is>
      </c>
      <c r="E892" s="150" t="n">
        <v>140</v>
      </c>
      <c r="F892" s="151" t="inlineStr">
        <is>
          <t>grams</t>
        </is>
      </c>
      <c r="G892" s="151" t="inlineStr">
        <is>
          <t>BLAST CHILLER, GRILL, MARINADE, OVEN, SLICER</t>
        </is>
      </c>
      <c r="H892" s="151" t="inlineStr">
        <is>
          <t>Herb Marinade for Pork Tenderloin</t>
        </is>
      </c>
      <c r="I892" s="151" t="inlineStr">
        <is>
          <t>SUB-031651-4-001</t>
        </is>
      </c>
      <c r="J892" s="150" t="n">
        <v>12</v>
      </c>
      <c r="K892" s="151" t="inlineStr">
        <is>
          <t>grams</t>
        </is>
      </c>
      <c r="L892" s="151" t="inlineStr">
        <is>
          <t>UNCATEGORIZED BOM</t>
        </is>
      </c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inlineStr">
        <is>
          <t>FA-DE Chives, Dried /Schnittlauch, getrocknet</t>
        </is>
      </c>
      <c r="X892" s="151" t="inlineStr">
        <is>
          <t>SPI-00-139322-5</t>
        </is>
      </c>
      <c r="Y892" s="151" t="inlineStr">
        <is>
          <t>0,05</t>
        </is>
      </c>
      <c r="Z892" s="149" t="inlineStr">
        <is>
          <t>0,05</t>
        </is>
      </c>
      <c r="AA892" s="151" t="inlineStr">
        <is>
          <t>grams</t>
        </is>
      </c>
      <c r="AB892" s="151" t="n"/>
      <c r="AC892" s="151" t="n"/>
      <c r="AD892" s="150" t="n">
        <v>0.99855</v>
      </c>
      <c r="AE892" s="149" t="n">
        <v>0.05</v>
      </c>
      <c r="AF892" s="151" t="inlineStr">
        <is>
          <t>grams</t>
        </is>
      </c>
      <c r="AG892" s="151" t="n"/>
      <c r="AH892" s="151" t="n"/>
    </row>
    <row r="893">
      <c r="A893" s="151" t="inlineStr">
        <is>
          <t>FV4006A - Pork tenderloin in sun dried tomato sauce [DE]</t>
        </is>
      </c>
      <c r="B893" s="151" t="inlineStr">
        <is>
          <t>REC-014085-4-003</t>
        </is>
      </c>
      <c r="C893" s="151" t="inlineStr">
        <is>
          <t>Pork tenderloin - herb marinade</t>
        </is>
      </c>
      <c r="D893" s="151" t="inlineStr">
        <is>
          <t>SUB-013466-4-001</t>
        </is>
      </c>
      <c r="E893" s="150" t="n">
        <v>140</v>
      </c>
      <c r="F893" s="151" t="inlineStr">
        <is>
          <t>grams</t>
        </is>
      </c>
      <c r="G893" s="151" t="inlineStr">
        <is>
          <t>BLAST CHILLER, GRILL, MARINADE, OVEN, SLICER</t>
        </is>
      </c>
      <c r="H893" s="151" t="inlineStr">
        <is>
          <t>Herb Marinade for Pork Tenderloin</t>
        </is>
      </c>
      <c r="I893" s="151" t="inlineStr">
        <is>
          <t>SUB-031651-4-001</t>
        </is>
      </c>
      <c r="J893" s="150" t="n">
        <v>12</v>
      </c>
      <c r="K893" s="151" t="inlineStr">
        <is>
          <t>grams</t>
        </is>
      </c>
      <c r="L893" s="151" t="inlineStr">
        <is>
          <t>UNCATEGORIZED BOM</t>
        </is>
      </c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inlineStr">
        <is>
          <t>FA-DE Spice, Sea Salt /Gewürze, Meersalz</t>
        </is>
      </c>
      <c r="X893" s="151" t="inlineStr">
        <is>
          <t>SPI-00-139378-5</t>
        </is>
      </c>
      <c r="Y893" s="151" t="inlineStr">
        <is>
          <t>0,27</t>
        </is>
      </c>
      <c r="Z893" s="149" t="inlineStr">
        <is>
          <t>0,27</t>
        </is>
      </c>
      <c r="AA893" s="151" t="inlineStr">
        <is>
          <t>grams</t>
        </is>
      </c>
      <c r="AB893" s="151" t="n"/>
      <c r="AC893" s="151" t="n"/>
      <c r="AD893" s="150" t="n">
        <v>0.99855</v>
      </c>
      <c r="AE893" s="149" t="n">
        <v>0.27</v>
      </c>
      <c r="AF893" s="151" t="inlineStr">
        <is>
          <t>grams</t>
        </is>
      </c>
      <c r="AG893" s="151" t="n"/>
      <c r="AH893" s="151" t="n"/>
    </row>
    <row r="894">
      <c r="A894" s="151" t="inlineStr">
        <is>
          <t>FV4006A - Pork tenderloin in sun dried tomato sauce [DE]</t>
        </is>
      </c>
      <c r="B894" s="151" t="inlineStr">
        <is>
          <t>REC-014085-4-003</t>
        </is>
      </c>
      <c r="C894" s="151" t="inlineStr">
        <is>
          <t>Pork tenderloin - herb marinade</t>
        </is>
      </c>
      <c r="D894" s="151" t="inlineStr">
        <is>
          <t>SUB-013466-4-001</t>
        </is>
      </c>
      <c r="E894" s="150" t="n">
        <v>140</v>
      </c>
      <c r="F894" s="151" t="inlineStr">
        <is>
          <t>grams</t>
        </is>
      </c>
      <c r="G894" s="151" t="inlineStr">
        <is>
          <t>BLAST CHILLER, GRILL, MARINADE, OVEN, SLICER</t>
        </is>
      </c>
      <c r="H894" s="151" t="inlineStr">
        <is>
          <t>Herb Marinade for Pork Tenderloin</t>
        </is>
      </c>
      <c r="I894" s="151" t="inlineStr">
        <is>
          <t>SUB-031651-4-001</t>
        </is>
      </c>
      <c r="J894" s="150" t="n">
        <v>12</v>
      </c>
      <c r="K894" s="151" t="inlineStr">
        <is>
          <t>grams</t>
        </is>
      </c>
      <c r="L894" s="151" t="inlineStr">
        <is>
          <t>UNCATEGORIZED BOM</t>
        </is>
      </c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inlineStr">
        <is>
          <t>FA-DE Spice, Onion Granulated /Gewürze, Zwiebeln granuliert</t>
        </is>
      </c>
      <c r="X894" s="151" t="inlineStr">
        <is>
          <t>SPI-00-139370-5</t>
        </is>
      </c>
      <c r="Y894" s="151" t="inlineStr">
        <is>
          <t>0,12</t>
        </is>
      </c>
      <c r="Z894" s="149" t="inlineStr">
        <is>
          <t>0,12</t>
        </is>
      </c>
      <c r="AA894" s="151" t="inlineStr">
        <is>
          <t>grams</t>
        </is>
      </c>
      <c r="AB894" s="151" t="n"/>
      <c r="AC894" s="151" t="n"/>
      <c r="AD894" s="150" t="n">
        <v>0.99855</v>
      </c>
      <c r="AE894" s="149" t="n">
        <v>0.12</v>
      </c>
      <c r="AF894" s="151" t="inlineStr">
        <is>
          <t>grams</t>
        </is>
      </c>
      <c r="AG894" s="151" t="n"/>
      <c r="AH894" s="151" t="n"/>
    </row>
    <row r="895">
      <c r="A895" s="151" t="inlineStr">
        <is>
          <t>FV4006A - Pork tenderloin in sun dried tomato sauce [DE]</t>
        </is>
      </c>
      <c r="B895" s="151" t="inlineStr">
        <is>
          <t>REC-014085-4-003</t>
        </is>
      </c>
      <c r="C895" s="151" t="inlineStr">
        <is>
          <t>Pork tenderloin - herb marinade</t>
        </is>
      </c>
      <c r="D895" s="151" t="inlineStr">
        <is>
          <t>SUB-013466-4-001</t>
        </is>
      </c>
      <c r="E895" s="150" t="n">
        <v>140</v>
      </c>
      <c r="F895" s="151" t="inlineStr">
        <is>
          <t>grams</t>
        </is>
      </c>
      <c r="G895" s="151" t="inlineStr">
        <is>
          <t>BLAST CHILLER, GRILL, MARINADE, OVEN, SLICER</t>
        </is>
      </c>
      <c r="H895" s="151" t="inlineStr">
        <is>
          <t>Herb Marinade for Pork Tenderloin</t>
        </is>
      </c>
      <c r="I895" s="151" t="inlineStr">
        <is>
          <t>SUB-031651-4-001</t>
        </is>
      </c>
      <c r="J895" s="150" t="n">
        <v>12</v>
      </c>
      <c r="K895" s="151" t="inlineStr">
        <is>
          <t>grams</t>
        </is>
      </c>
      <c r="L895" s="151" t="inlineStr">
        <is>
          <t>UNCATEGORIZED BOM</t>
        </is>
      </c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inlineStr">
        <is>
          <t>FA-DE Spice, Black Pepper, Ground /Gewürz, schwarzer Pfeffer, gemahlen</t>
        </is>
      </c>
      <c r="X895" s="151" t="inlineStr">
        <is>
          <t>SPI-00-139334-5</t>
        </is>
      </c>
      <c r="Y895" s="151" t="inlineStr">
        <is>
          <t>0,18</t>
        </is>
      </c>
      <c r="Z895" s="149" t="inlineStr">
        <is>
          <t>0,18</t>
        </is>
      </c>
      <c r="AA895" s="151" t="inlineStr">
        <is>
          <t>grams</t>
        </is>
      </c>
      <c r="AB895" s="151" t="n"/>
      <c r="AC895" s="151" t="n"/>
      <c r="AD895" s="150" t="n">
        <v>0.99855</v>
      </c>
      <c r="AE895" s="149" t="n">
        <v>0.18</v>
      </c>
      <c r="AF895" s="151" t="inlineStr">
        <is>
          <t>grams</t>
        </is>
      </c>
      <c r="AG895" s="151" t="n"/>
      <c r="AH895" s="151" t="n"/>
    </row>
    <row r="896">
      <c r="A896" s="151" t="inlineStr">
        <is>
          <t>FV4006A - Pork tenderloin in sun dried tomato sauce [DE]</t>
        </is>
      </c>
      <c r="B896" s="151" t="inlineStr">
        <is>
          <t>REC-014085-4-003</t>
        </is>
      </c>
      <c r="C896" s="151" t="inlineStr">
        <is>
          <t>Sauce - Sun-Dried Tomato Sauce - Less Salt</t>
        </is>
      </c>
      <c r="D896" s="151" t="inlineStr">
        <is>
          <t>SUB-013571-4-001</t>
        </is>
      </c>
      <c r="E896" s="150" t="n">
        <v>50</v>
      </c>
      <c r="F896" s="151" t="inlineStr">
        <is>
          <t>grams</t>
        </is>
      </c>
      <c r="G896" s="151" t="inlineStr">
        <is>
          <t>BLAST CHILLER, BRAISER, IMMERSION BLENDER, SPICE PORTIONING</t>
        </is>
      </c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inlineStr">
        <is>
          <t>FA-DE Cheese, Parmesan, Grated /Käse, Parmesan, gerieben</t>
        </is>
      </c>
      <c r="X896" s="151" t="inlineStr">
        <is>
          <t>DAI-00-139127-3</t>
        </is>
      </c>
      <c r="Y896" s="154" t="inlineStr">
        <is>
          <t>5,2</t>
        </is>
      </c>
      <c r="Z896" s="149" t="inlineStr">
        <is>
          <t>5,2</t>
        </is>
      </c>
      <c r="AA896" s="151" t="inlineStr">
        <is>
          <t>grams</t>
        </is>
      </c>
      <c r="AB896" s="151" t="inlineStr">
        <is>
          <t>MILCH (EINSCHLIESSLICH LAKTOSE)</t>
        </is>
      </c>
      <c r="AC896" s="151" t="n"/>
      <c r="AD896" s="150" t="n">
        <v>0.88017</v>
      </c>
      <c r="AE896" s="149" t="n">
        <v>5.2</v>
      </c>
      <c r="AF896" s="151" t="inlineStr">
        <is>
          <t>grams</t>
        </is>
      </c>
      <c r="AG896" s="151" t="n"/>
      <c r="AH896" s="151" t="n"/>
    </row>
    <row r="897">
      <c r="A897" s="151" t="inlineStr">
        <is>
          <t>FV4006A - Pork tenderloin in sun dried tomato sauce [DE]</t>
        </is>
      </c>
      <c r="B897" s="151" t="inlineStr">
        <is>
          <t>REC-014085-4-003</t>
        </is>
      </c>
      <c r="C897" s="151" t="inlineStr">
        <is>
          <t>Sauce - Sun-Dried Tomato Sauce - Less Salt</t>
        </is>
      </c>
      <c r="D897" s="151" t="inlineStr">
        <is>
          <t>SUB-013571-4-001</t>
        </is>
      </c>
      <c r="E897" s="150" t="n">
        <v>50</v>
      </c>
      <c r="F897" s="151" t="inlineStr">
        <is>
          <t>grams</t>
        </is>
      </c>
      <c r="G897" s="151" t="inlineStr">
        <is>
          <t>BLAST CHILLER, BRAISER, IMMERSION BLENDER, SPICE PORTIONING</t>
        </is>
      </c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inlineStr">
        <is>
          <t>FA-DE Oil, Olive /Öl, Olivenöl</t>
        </is>
      </c>
      <c r="X897" s="151" t="inlineStr">
        <is>
          <t>PRO-00-139277-5</t>
        </is>
      </c>
      <c r="Y897" s="151" t="inlineStr">
        <is>
          <t>2,96</t>
        </is>
      </c>
      <c r="Z897" s="149" t="inlineStr">
        <is>
          <t>2,96</t>
        </is>
      </c>
      <c r="AA897" s="151" t="inlineStr">
        <is>
          <t>grams</t>
        </is>
      </c>
      <c r="AB897" s="151" t="n"/>
      <c r="AC897" s="151" t="n"/>
      <c r="AD897" s="150" t="n">
        <v>0.88017</v>
      </c>
      <c r="AE897" s="149" t="n">
        <v>2.96</v>
      </c>
      <c r="AF897" s="151" t="inlineStr">
        <is>
          <t>grams</t>
        </is>
      </c>
      <c r="AG897" s="151" t="n"/>
      <c r="AH897" s="151" t="n"/>
    </row>
    <row r="898">
      <c r="A898" s="151" t="inlineStr">
        <is>
          <t>FV4006A - Pork tenderloin in sun dried tomato sauce [DE]</t>
        </is>
      </c>
      <c r="B898" s="151" t="inlineStr">
        <is>
          <t>REC-014085-4-003</t>
        </is>
      </c>
      <c r="C898" s="151" t="inlineStr">
        <is>
          <t>Sauce - Sun-Dried Tomato Sauce - Less Salt</t>
        </is>
      </c>
      <c r="D898" s="151" t="inlineStr">
        <is>
          <t>SUB-013571-4-001</t>
        </is>
      </c>
      <c r="E898" s="150" t="n">
        <v>50</v>
      </c>
      <c r="F898" s="151" t="inlineStr">
        <is>
          <t>grams</t>
        </is>
      </c>
      <c r="G898" s="151" t="inlineStr">
        <is>
          <t>BLAST CHILLER, BRAISER, IMMERSION BLENDER, SPICE PORTIONING</t>
        </is>
      </c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inlineStr">
        <is>
          <t>FA-DE Stock, Chicken, Reduced/Brühe, Huhn, Reduziert</t>
        </is>
      </c>
      <c r="X898" s="151" t="inlineStr">
        <is>
          <t>PRO-00-139288-5</t>
        </is>
      </c>
      <c r="Y898" s="151" t="inlineStr">
        <is>
          <t>0,58</t>
        </is>
      </c>
      <c r="Z898" s="149" t="inlineStr">
        <is>
          <t>0,58</t>
        </is>
      </c>
      <c r="AA898" s="151" t="inlineStr">
        <is>
          <t>grams</t>
        </is>
      </c>
      <c r="AB898" s="151" t="n"/>
      <c r="AC898" s="151" t="n"/>
      <c r="AD898" s="150" t="n">
        <v>0.88017</v>
      </c>
      <c r="AE898" s="149" t="n">
        <v>0.58</v>
      </c>
      <c r="AF898" s="151" t="inlineStr">
        <is>
          <t>grams</t>
        </is>
      </c>
      <c r="AG898" s="151" t="n"/>
      <c r="AH898" s="151" t="n"/>
    </row>
    <row r="899">
      <c r="A899" s="151" t="inlineStr">
        <is>
          <t>FV4006A - Pork tenderloin in sun dried tomato sauce [DE]</t>
        </is>
      </c>
      <c r="B899" s="151" t="inlineStr">
        <is>
          <t>REC-014085-4-003</t>
        </is>
      </c>
      <c r="C899" s="151" t="inlineStr">
        <is>
          <t>Sauce - Sun-Dried Tomato Sauce - Less Salt</t>
        </is>
      </c>
      <c r="D899" s="151" t="inlineStr">
        <is>
          <t>SUB-013571-4-001</t>
        </is>
      </c>
      <c r="E899" s="150" t="n">
        <v>50</v>
      </c>
      <c r="F899" s="151" t="inlineStr">
        <is>
          <t>grams</t>
        </is>
      </c>
      <c r="G899" s="151" t="inlineStr">
        <is>
          <t>BLAST CHILLER, BRAISER, IMMERSION BLENDER, SPICE PORTIONING</t>
        </is>
      </c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inlineStr">
        <is>
          <t>FA-DE Garlic, IQF, Diced 4 mm /Knoblauch, IQF, gewürfelt 4 mm</t>
        </is>
      </c>
      <c r="X899" s="151" t="inlineStr">
        <is>
          <t>PHF-00-139237-1</t>
        </is>
      </c>
      <c r="Y899" s="153" t="inlineStr">
        <is>
          <t>1,18</t>
        </is>
      </c>
      <c r="Z899" s="149" t="inlineStr">
        <is>
          <t>1,18</t>
        </is>
      </c>
      <c r="AA899" s="151" t="inlineStr">
        <is>
          <t>grams</t>
        </is>
      </c>
      <c r="AB899" s="151" t="inlineStr">
        <is>
          <t>SCHWEFELDIOXIDE UND SULFITE</t>
        </is>
      </c>
      <c r="AC899" s="151" t="n"/>
      <c r="AD899" s="150" t="n">
        <v>0.88017</v>
      </c>
      <c r="AE899" s="149" t="n">
        <v>1.18</v>
      </c>
      <c r="AF899" s="151" t="inlineStr">
        <is>
          <t>grams</t>
        </is>
      </c>
      <c r="AG899" s="151" t="n"/>
      <c r="AH899" s="151" t="n"/>
    </row>
    <row r="900">
      <c r="A900" s="151" t="inlineStr">
        <is>
          <t>FV4006A - Pork tenderloin in sun dried tomato sauce [DE]</t>
        </is>
      </c>
      <c r="B900" s="151" t="inlineStr">
        <is>
          <t>REC-014085-4-003</t>
        </is>
      </c>
      <c r="C900" s="151" t="inlineStr">
        <is>
          <t>Sauce - Sun-Dried Tomato Sauce - Less Salt</t>
        </is>
      </c>
      <c r="D900" s="151" t="inlineStr">
        <is>
          <t>SUB-013571-4-001</t>
        </is>
      </c>
      <c r="E900" s="150" t="n">
        <v>50</v>
      </c>
      <c r="F900" s="151" t="inlineStr">
        <is>
          <t>grams</t>
        </is>
      </c>
      <c r="G900" s="151" t="inlineStr">
        <is>
          <t>BLAST CHILLER, BRAISER, IMMERSION BLENDER, SPICE PORTIONING</t>
        </is>
      </c>
      <c r="H900" s="151" t="inlineStr">
        <is>
          <t>Hydrated Sun-Dried Tomatoes</t>
        </is>
      </c>
      <c r="I900" s="151" t="inlineStr">
        <is>
          <t>SUB-013501-4-001</t>
        </is>
      </c>
      <c r="J900" s="150" t="n">
        <v>5.19</v>
      </c>
      <c r="K900" s="151" t="inlineStr">
        <is>
          <t>grams</t>
        </is>
      </c>
      <c r="L900" s="151" t="inlineStr">
        <is>
          <t>BRAISER</t>
        </is>
      </c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inlineStr">
        <is>
          <t>FA-DE Tomatoes, Sun - Dried Julienned /Tomaten, sonnengetrocknete Julienne</t>
        </is>
      </c>
      <c r="X900" s="151" t="inlineStr">
        <is>
          <t>PRO-00-139296-5</t>
        </is>
      </c>
      <c r="Y900" s="151" t="inlineStr">
        <is>
          <t>2,88</t>
        </is>
      </c>
      <c r="Z900" s="149" t="inlineStr">
        <is>
          <t>2,88</t>
        </is>
      </c>
      <c r="AA900" s="151" t="inlineStr">
        <is>
          <t>grams</t>
        </is>
      </c>
      <c r="AB900" s="151" t="n"/>
      <c r="AC900" s="151" t="n"/>
      <c r="AD900" s="150" t="n">
        <v>0.90001</v>
      </c>
      <c r="AE900" s="149" t="n">
        <v>2.88</v>
      </c>
      <c r="AF900" s="151" t="inlineStr">
        <is>
          <t>grams</t>
        </is>
      </c>
      <c r="AG900" s="151" t="n"/>
      <c r="AH900" s="151" t="n"/>
    </row>
    <row r="901">
      <c r="A901" s="151" t="inlineStr">
        <is>
          <t>FV4006A - Pork tenderloin in sun dried tomato sauce [DE]</t>
        </is>
      </c>
      <c r="B901" s="151" t="inlineStr">
        <is>
          <t>REC-014085-4-003</t>
        </is>
      </c>
      <c r="C901" s="151" t="inlineStr">
        <is>
          <t>Sauce - Sun-Dried Tomato Sauce - Less Salt</t>
        </is>
      </c>
      <c r="D901" s="151" t="inlineStr">
        <is>
          <t>SUB-013571-4-001</t>
        </is>
      </c>
      <c r="E901" s="150" t="n">
        <v>50</v>
      </c>
      <c r="F901" s="151" t="inlineStr">
        <is>
          <t>grams</t>
        </is>
      </c>
      <c r="G901" s="151" t="inlineStr">
        <is>
          <t>BLAST CHILLER, BRAISER, IMMERSION BLENDER, SPICE PORTIONING</t>
        </is>
      </c>
      <c r="H901" s="151" t="inlineStr">
        <is>
          <t>Hydrated Sun-Dried Tomatoes</t>
        </is>
      </c>
      <c r="I901" s="151" t="inlineStr">
        <is>
          <t>SUB-013501-4-001</t>
        </is>
      </c>
      <c r="J901" s="150" t="n">
        <v>5.19</v>
      </c>
      <c r="K901" s="151" t="inlineStr">
        <is>
          <t>grams</t>
        </is>
      </c>
      <c r="L901" s="151" t="inlineStr">
        <is>
          <t>BRAISER</t>
        </is>
      </c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inlineStr">
        <is>
          <t>FA-DE Water / Wasser</t>
        </is>
      </c>
      <c r="X901" s="151" t="inlineStr">
        <is>
          <t>OTH-00-144038-5</t>
        </is>
      </c>
      <c r="Y901" s="151" t="inlineStr">
        <is>
          <t>2,88</t>
        </is>
      </c>
      <c r="Z901" s="149" t="inlineStr">
        <is>
          <t>2,88</t>
        </is>
      </c>
      <c r="AA901" s="151" t="inlineStr">
        <is>
          <t>grams</t>
        </is>
      </c>
      <c r="AB901" s="151" t="n"/>
      <c r="AC901" s="151" t="n"/>
      <c r="AD901" s="150" t="n">
        <v>0.90001</v>
      </c>
      <c r="AE901" s="149" t="n">
        <v>2.88</v>
      </c>
      <c r="AF901" s="151" t="inlineStr">
        <is>
          <t>grams</t>
        </is>
      </c>
      <c r="AG901" s="151" t="n"/>
      <c r="AH901" s="151" t="n"/>
    </row>
    <row r="902">
      <c r="A902" s="151" t="inlineStr">
        <is>
          <t>FV4006A - Pork tenderloin in sun dried tomato sauce [DE]</t>
        </is>
      </c>
      <c r="B902" s="151" t="inlineStr">
        <is>
          <t>REC-014085-4-003</t>
        </is>
      </c>
      <c r="C902" s="151" t="inlineStr">
        <is>
          <t>Sauce - Sun-Dried Tomato Sauce - Less Salt</t>
        </is>
      </c>
      <c r="D902" s="151" t="inlineStr">
        <is>
          <t>SUB-013571-4-001</t>
        </is>
      </c>
      <c r="E902" s="150" t="n">
        <v>50</v>
      </c>
      <c r="F902" s="151" t="inlineStr">
        <is>
          <t>grams</t>
        </is>
      </c>
      <c r="G902" s="151" t="inlineStr">
        <is>
          <t>BLAST CHILLER, BRAISER, IMMERSION BLENDER, SPICE PORTIONING</t>
        </is>
      </c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inlineStr">
        <is>
          <t>FA-DE Spinach, Fresh, Stem Off /Spinat, frisch, ohne Stiel</t>
        </is>
      </c>
      <c r="X902" s="151" t="inlineStr">
        <is>
          <t>PHF-00-139225-3</t>
        </is>
      </c>
      <c r="Y902" s="153" t="inlineStr">
        <is>
          <t>4,16</t>
        </is>
      </c>
      <c r="Z902" s="149" t="inlineStr">
        <is>
          <t>4,16</t>
        </is>
      </c>
      <c r="AA902" s="151" t="inlineStr">
        <is>
          <t>grams</t>
        </is>
      </c>
      <c r="AB902" s="151" t="n"/>
      <c r="AC902" s="151" t="n"/>
      <c r="AD902" s="150" t="n">
        <v>0.88017</v>
      </c>
      <c r="AE902" s="149" t="n">
        <v>4.16</v>
      </c>
      <c r="AF902" s="151" t="inlineStr">
        <is>
          <t>grams</t>
        </is>
      </c>
      <c r="AG902" s="151" t="n"/>
      <c r="AH902" s="151" t="n"/>
    </row>
    <row r="903">
      <c r="A903" s="151" t="inlineStr">
        <is>
          <t>FV4006A - Pork tenderloin in sun dried tomato sauce [DE]</t>
        </is>
      </c>
      <c r="B903" s="151" t="inlineStr">
        <is>
          <t>REC-014085-4-003</t>
        </is>
      </c>
      <c r="C903" s="151" t="inlineStr">
        <is>
          <t>Sauce - Sun-Dried Tomato Sauce - Less Salt</t>
        </is>
      </c>
      <c r="D903" s="151" t="inlineStr">
        <is>
          <t>SUB-013571-4-001</t>
        </is>
      </c>
      <c r="E903" s="150" t="n">
        <v>50</v>
      </c>
      <c r="F903" s="151" t="inlineStr">
        <is>
          <t>grams</t>
        </is>
      </c>
      <c r="G903" s="151" t="inlineStr">
        <is>
          <t>BLAST CHILLER, BRAISER, IMMERSION BLENDER, SPICE PORTIONING</t>
        </is>
      </c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inlineStr">
        <is>
          <t>FA-DE Spice, Sea Salt /Gewürze, Meersalz</t>
        </is>
      </c>
      <c r="X903" s="151" t="inlineStr">
        <is>
          <t>SPI-00-139378-5</t>
        </is>
      </c>
      <c r="Y903" s="151" t="inlineStr">
        <is>
          <t>0,03</t>
        </is>
      </c>
      <c r="Z903" s="149" t="inlineStr">
        <is>
          <t>0,03</t>
        </is>
      </c>
      <c r="AA903" s="151" t="inlineStr">
        <is>
          <t>grams</t>
        </is>
      </c>
      <c r="AB903" s="151" t="n"/>
      <c r="AC903" s="151" t="n"/>
      <c r="AD903" s="150" t="n">
        <v>0.88017</v>
      </c>
      <c r="AE903" s="149" t="n">
        <v>0.03</v>
      </c>
      <c r="AF903" s="151" t="inlineStr">
        <is>
          <t>grams</t>
        </is>
      </c>
      <c r="AG903" s="151" t="n"/>
      <c r="AH903" s="151" t="n"/>
    </row>
    <row r="904">
      <c r="A904" s="151" t="inlineStr">
        <is>
          <t>FV4006A - Pork tenderloin in sun dried tomato sauce [DE]</t>
        </is>
      </c>
      <c r="B904" s="151" t="inlineStr">
        <is>
          <t>REC-014085-4-003</t>
        </is>
      </c>
      <c r="C904" s="151" t="inlineStr">
        <is>
          <t>Sauce - Sun-Dried Tomato Sauce - Less Salt</t>
        </is>
      </c>
      <c r="D904" s="151" t="inlineStr">
        <is>
          <t>SUB-013571-4-001</t>
        </is>
      </c>
      <c r="E904" s="150" t="n">
        <v>50</v>
      </c>
      <c r="F904" s="151" t="inlineStr">
        <is>
          <t>grams</t>
        </is>
      </c>
      <c r="G904" s="151" t="inlineStr">
        <is>
          <t>BLAST CHILLER, BRAISER, IMMERSION BLENDER, SPICE PORTIONING</t>
        </is>
      </c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inlineStr">
        <is>
          <t>FA-DE Onion, Spanish, Diced 5mm /Zwiebel, Spanisch, gewürfelt 5 mm</t>
        </is>
      </c>
      <c r="X904" s="151" t="inlineStr">
        <is>
          <t>PHF-00-139212-3</t>
        </is>
      </c>
      <c r="Y904" s="154" t="inlineStr">
        <is>
          <t>5,2</t>
        </is>
      </c>
      <c r="Z904" s="149" t="inlineStr">
        <is>
          <t>5,2</t>
        </is>
      </c>
      <c r="AA904" s="151" t="inlineStr">
        <is>
          <t>grams</t>
        </is>
      </c>
      <c r="AB904" s="151" t="n"/>
      <c r="AC904" s="151" t="n"/>
      <c r="AD904" s="150" t="n">
        <v>0.88017</v>
      </c>
      <c r="AE904" s="149" t="n">
        <v>5.2</v>
      </c>
      <c r="AF904" s="151" t="inlineStr">
        <is>
          <t>grams</t>
        </is>
      </c>
      <c r="AG904" s="151" t="n"/>
      <c r="AH904" s="151" t="n"/>
    </row>
    <row r="905">
      <c r="A905" s="151" t="inlineStr">
        <is>
          <t>FV4006A - Pork tenderloin in sun dried tomato sauce [DE]</t>
        </is>
      </c>
      <c r="B905" s="151" t="inlineStr">
        <is>
          <t>REC-014085-4-003</t>
        </is>
      </c>
      <c r="C905" s="151" t="inlineStr">
        <is>
          <t>Sauce - Sun-Dried Tomato Sauce - Less Salt</t>
        </is>
      </c>
      <c r="D905" s="151" t="inlineStr">
        <is>
          <t>SUB-013571-4-001</t>
        </is>
      </c>
      <c r="E905" s="150" t="n">
        <v>50</v>
      </c>
      <c r="F905" s="151" t="inlineStr">
        <is>
          <t>grams</t>
        </is>
      </c>
      <c r="G905" s="151" t="inlineStr">
        <is>
          <t>BLAST CHILLER, BRAISER, IMMERSION BLENDER, SPICE PORTIONING</t>
        </is>
      </c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inlineStr">
        <is>
          <t>FA-DE Heavy Cream 20% /Sahne 20%</t>
        </is>
      </c>
      <c r="X905" s="151" t="inlineStr">
        <is>
          <t>DAI-00-139137-3</t>
        </is>
      </c>
      <c r="Y905" s="151" t="inlineStr">
        <is>
          <t>32,32</t>
        </is>
      </c>
      <c r="Z905" s="149" t="inlineStr">
        <is>
          <t>32,32</t>
        </is>
      </c>
      <c r="AA905" s="151" t="inlineStr">
        <is>
          <t>grams</t>
        </is>
      </c>
      <c r="AB905" s="151" t="inlineStr">
        <is>
          <t>MILCH (EINSCHLIESSLICH LAKTOSE)</t>
        </is>
      </c>
      <c r="AC905" s="151" t="n"/>
      <c r="AD905" s="150" t="n">
        <v>0.88017</v>
      </c>
      <c r="AE905" s="149" t="n">
        <v>32.32</v>
      </c>
      <c r="AF905" s="151" t="inlineStr">
        <is>
          <t>grams</t>
        </is>
      </c>
      <c r="AG905" s="151" t="n"/>
      <c r="AH905" s="151" t="n"/>
    </row>
    <row r="906">
      <c r="A906" s="151" t="inlineStr">
        <is>
          <t>FV4006A - Pork tenderloin in sun dried tomato sauce [DE]</t>
        </is>
      </c>
      <c r="B906" s="151" t="inlineStr">
        <is>
          <t>REC-014085-4-003</t>
        </is>
      </c>
      <c r="C906" s="151" t="inlineStr">
        <is>
          <t>Broccoli - Roasted S&amp;P</t>
        </is>
      </c>
      <c r="D906" s="151" t="inlineStr">
        <is>
          <t>SUB-016200-4-001</t>
        </is>
      </c>
      <c r="E906" s="150" t="n">
        <v>50</v>
      </c>
      <c r="F906" s="151" t="inlineStr">
        <is>
          <t>grams</t>
        </is>
      </c>
      <c r="G906" s="151" t="inlineStr">
        <is>
          <t>BLAST CHILLER, OVEN</t>
        </is>
      </c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inlineStr">
        <is>
          <t>FA-DE Spice, Black Pepper, Ground /Gewürz, schwarzer Pfeffer, gemahlen</t>
        </is>
      </c>
      <c r="X906" s="151" t="inlineStr">
        <is>
          <t>SPI-00-139334-5</t>
        </is>
      </c>
      <c r="Y906" s="151" t="inlineStr">
        <is>
          <t>0,2</t>
        </is>
      </c>
      <c r="Z906" s="149" t="inlineStr">
        <is>
          <t>0,2</t>
        </is>
      </c>
      <c r="AA906" s="151" t="inlineStr">
        <is>
          <t>grams</t>
        </is>
      </c>
      <c r="AB906" s="151" t="n"/>
      <c r="AC906" s="151" t="n"/>
      <c r="AD906" s="150" t="n">
        <v>0.8136</v>
      </c>
      <c r="AE906" s="149" t="n">
        <v>0.2</v>
      </c>
      <c r="AF906" s="151" t="inlineStr">
        <is>
          <t>grams</t>
        </is>
      </c>
      <c r="AG906" s="151" t="n"/>
      <c r="AH906" s="151" t="n"/>
    </row>
    <row r="907">
      <c r="A907" s="151" t="inlineStr">
        <is>
          <t>FV4006A - Pork tenderloin in sun dried tomato sauce [DE]</t>
        </is>
      </c>
      <c r="B907" s="151" t="inlineStr">
        <is>
          <t>REC-014085-4-003</t>
        </is>
      </c>
      <c r="C907" s="151" t="inlineStr">
        <is>
          <t>Broccoli - Roasted S&amp;P</t>
        </is>
      </c>
      <c r="D907" s="151" t="inlineStr">
        <is>
          <t>SUB-016200-4-001</t>
        </is>
      </c>
      <c r="E907" s="150" t="n">
        <v>50</v>
      </c>
      <c r="F907" s="151" t="inlineStr">
        <is>
          <t>grams</t>
        </is>
      </c>
      <c r="G907" s="151" t="inlineStr">
        <is>
          <t>BLAST CHILLER, OVEN</t>
        </is>
      </c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inlineStr">
        <is>
          <t>FA-DE Spice, Garlic Powder, Toasted /Gewürz, Knoblauchpulver, geröstet</t>
        </is>
      </c>
      <c r="X907" s="151" t="inlineStr">
        <is>
          <t>SPI-00-139354-5</t>
        </is>
      </c>
      <c r="Y907" s="151" t="inlineStr">
        <is>
          <t>0,16</t>
        </is>
      </c>
      <c r="Z907" s="149" t="inlineStr">
        <is>
          <t>0,16</t>
        </is>
      </c>
      <c r="AA907" s="151" t="inlineStr">
        <is>
          <t>grams</t>
        </is>
      </c>
      <c r="AB907" s="151" t="n"/>
      <c r="AC907" s="151" t="n"/>
      <c r="AD907" s="150" t="n">
        <v>0.8136</v>
      </c>
      <c r="AE907" s="149" t="n">
        <v>0.16</v>
      </c>
      <c r="AF907" s="151" t="inlineStr">
        <is>
          <t>grams</t>
        </is>
      </c>
      <c r="AG907" s="151" t="n"/>
      <c r="AH907" s="151" t="n"/>
    </row>
    <row r="908">
      <c r="A908" s="151" t="inlineStr">
        <is>
          <t>FV4006A - Pork tenderloin in sun dried tomato sauce [DE]</t>
        </is>
      </c>
      <c r="B908" s="151" t="inlineStr">
        <is>
          <t>REC-014085-4-003</t>
        </is>
      </c>
      <c r="C908" s="151" t="inlineStr">
        <is>
          <t>Broccoli - Roasted S&amp;P</t>
        </is>
      </c>
      <c r="D908" s="151" t="inlineStr">
        <is>
          <t>SUB-016200-4-001</t>
        </is>
      </c>
      <c r="E908" s="150" t="n">
        <v>50</v>
      </c>
      <c r="F908" s="151" t="inlineStr">
        <is>
          <t>grams</t>
        </is>
      </c>
      <c r="G908" s="151" t="inlineStr">
        <is>
          <t>BLAST CHILLER, OVEN</t>
        </is>
      </c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inlineStr">
        <is>
          <t>FA-DE Broccoli, Florets, /Brokkoli, Röschen</t>
        </is>
      </c>
      <c r="X908" s="151" t="inlineStr">
        <is>
          <t>PHF-00-143425-3</t>
        </is>
      </c>
      <c r="Y908" s="151" t="inlineStr">
        <is>
          <t>56,75</t>
        </is>
      </c>
      <c r="Z908" s="149" t="inlineStr">
        <is>
          <t>56,75</t>
        </is>
      </c>
      <c r="AA908" s="151" t="inlineStr">
        <is>
          <t>grams</t>
        </is>
      </c>
      <c r="AB908" s="151" t="n"/>
      <c r="AC908" s="151" t="n"/>
      <c r="AD908" s="150" t="n">
        <v>0.8136</v>
      </c>
      <c r="AE908" s="149" t="n">
        <v>56.75</v>
      </c>
      <c r="AF908" s="151" t="inlineStr">
        <is>
          <t>grams</t>
        </is>
      </c>
      <c r="AG908" s="151" t="n"/>
      <c r="AH908" s="151" t="n"/>
    </row>
    <row r="909">
      <c r="A909" s="151" t="inlineStr">
        <is>
          <t>FV4006A - Pork tenderloin in sun dried tomato sauce [DE]</t>
        </is>
      </c>
      <c r="B909" s="151" t="inlineStr">
        <is>
          <t>REC-014085-4-003</t>
        </is>
      </c>
      <c r="C909" s="151" t="inlineStr">
        <is>
          <t>Broccoli - Roasted S&amp;P</t>
        </is>
      </c>
      <c r="D909" s="151" t="inlineStr">
        <is>
          <t>SUB-016200-4-001</t>
        </is>
      </c>
      <c r="E909" s="150" t="n">
        <v>50</v>
      </c>
      <c r="F909" s="151" t="inlineStr">
        <is>
          <t>grams</t>
        </is>
      </c>
      <c r="G909" s="151" t="inlineStr">
        <is>
          <t>BLAST CHILLER, OVEN</t>
        </is>
      </c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inlineStr">
        <is>
          <t>FA-DE Oil, Olive /Öl, Olivenöl</t>
        </is>
      </c>
      <c r="X909" s="151" t="inlineStr">
        <is>
          <t>PRO-00-139277-5</t>
        </is>
      </c>
      <c r="Y909" s="154" t="inlineStr">
        <is>
          <t>4,1</t>
        </is>
      </c>
      <c r="Z909" s="149" t="inlineStr">
        <is>
          <t>4,1</t>
        </is>
      </c>
      <c r="AA909" s="151" t="inlineStr">
        <is>
          <t>grams</t>
        </is>
      </c>
      <c r="AB909" s="151" t="n"/>
      <c r="AC909" s="151" t="n"/>
      <c r="AD909" s="150" t="n">
        <v>0.8136</v>
      </c>
      <c r="AE909" s="149" t="n">
        <v>4.1</v>
      </c>
      <c r="AF909" s="151" t="inlineStr">
        <is>
          <t>grams</t>
        </is>
      </c>
      <c r="AG909" s="151" t="n"/>
      <c r="AH909" s="151" t="n"/>
    </row>
    <row r="910">
      <c r="A910" s="151" t="inlineStr">
        <is>
          <t>FV4006A - Pork tenderloin in sun dried tomato sauce [DE]</t>
        </is>
      </c>
      <c r="B910" s="151" t="inlineStr">
        <is>
          <t>REC-014085-4-003</t>
        </is>
      </c>
      <c r="C910" s="151" t="inlineStr">
        <is>
          <t>Broccoli - Roasted S&amp;P</t>
        </is>
      </c>
      <c r="D910" s="151" t="inlineStr">
        <is>
          <t>SUB-016200-4-001</t>
        </is>
      </c>
      <c r="E910" s="150" t="n">
        <v>50</v>
      </c>
      <c r="F910" s="151" t="inlineStr">
        <is>
          <t>grams</t>
        </is>
      </c>
      <c r="G910" s="151" t="inlineStr">
        <is>
          <t>BLAST CHILLER, OVEN</t>
        </is>
      </c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inlineStr">
        <is>
          <t>FA-DE Spice, Sea Salt /Gewürze, Meersalz</t>
        </is>
      </c>
      <c r="X910" s="151" t="inlineStr">
        <is>
          <t>SPI-00-139378-5</t>
        </is>
      </c>
      <c r="Y910" s="151" t="inlineStr">
        <is>
          <t>0,24</t>
        </is>
      </c>
      <c r="Z910" s="149" t="inlineStr">
        <is>
          <t>0,24</t>
        </is>
      </c>
      <c r="AA910" s="151" t="inlineStr">
        <is>
          <t>grams</t>
        </is>
      </c>
      <c r="AB910" s="151" t="n"/>
      <c r="AC910" s="151" t="n"/>
      <c r="AD910" s="150" t="n">
        <v>0.8136</v>
      </c>
      <c r="AE910" s="149" t="n">
        <v>0.24</v>
      </c>
      <c r="AF910" s="151" t="inlineStr">
        <is>
          <t>grams</t>
        </is>
      </c>
      <c r="AG910" s="151" t="n"/>
      <c r="AH910" s="151" t="n"/>
    </row>
    <row r="911">
      <c r="A911" s="151" t="inlineStr">
        <is>
          <t>FV4006A - Pork tenderloin in sun dried tomato sauce [DE]</t>
        </is>
      </c>
      <c r="B911" s="151" t="inlineStr">
        <is>
          <t>REC-014085-4-003</t>
        </is>
      </c>
      <c r="C911" s="151" t="inlineStr">
        <is>
          <t>Cauliflower - Roasted S&amp;P</t>
        </is>
      </c>
      <c r="D911" s="151" t="inlineStr">
        <is>
          <t>SUB-016201-4-001</t>
        </is>
      </c>
      <c r="E911" s="150" t="n">
        <v>50</v>
      </c>
      <c r="F911" s="151" t="inlineStr">
        <is>
          <t>grams</t>
        </is>
      </c>
      <c r="G911" s="151" t="inlineStr">
        <is>
          <t>BLAST CHILLER, OVEN</t>
        </is>
      </c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inlineStr">
        <is>
          <t>FA-DE Cauliflower, Florets /Blumenkohl, Röschen</t>
        </is>
      </c>
      <c r="X911" s="151" t="inlineStr">
        <is>
          <t>PHF-00-143426-3</t>
        </is>
      </c>
      <c r="Y911" s="151" t="inlineStr">
        <is>
          <t>57,97</t>
        </is>
      </c>
      <c r="Z911" s="149" t="inlineStr">
        <is>
          <t>57,97</t>
        </is>
      </c>
      <c r="AA911" s="151" t="inlineStr">
        <is>
          <t>grams</t>
        </is>
      </c>
      <c r="AB911" s="151" t="n"/>
      <c r="AC911" s="151" t="n"/>
      <c r="AD911" s="150" t="n">
        <v>0.81858</v>
      </c>
      <c r="AE911" s="149" t="n">
        <v>57.97</v>
      </c>
      <c r="AF911" s="151" t="inlineStr">
        <is>
          <t>grams</t>
        </is>
      </c>
      <c r="AG911" s="151" t="n"/>
      <c r="AH911" s="151" t="n"/>
    </row>
    <row r="912">
      <c r="A912" s="151" t="inlineStr">
        <is>
          <t>FV4006A - Pork tenderloin in sun dried tomato sauce [DE]</t>
        </is>
      </c>
      <c r="B912" s="151" t="inlineStr">
        <is>
          <t>REC-014085-4-003</t>
        </is>
      </c>
      <c r="C912" s="151" t="inlineStr">
        <is>
          <t>Cauliflower - Roasted S&amp;P</t>
        </is>
      </c>
      <c r="D912" s="151" t="inlineStr">
        <is>
          <t>SUB-016201-4-001</t>
        </is>
      </c>
      <c r="E912" s="150" t="n">
        <v>50</v>
      </c>
      <c r="F912" s="151" t="inlineStr">
        <is>
          <t>grams</t>
        </is>
      </c>
      <c r="G912" s="151" t="inlineStr">
        <is>
          <t>BLAST CHILLER, OVEN</t>
        </is>
      </c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inlineStr">
        <is>
          <t>FA-DE Spice, Sea Salt /Gewürze, Meersalz</t>
        </is>
      </c>
      <c r="X912" s="151" t="inlineStr">
        <is>
          <t>SPI-00-139378-5</t>
        </is>
      </c>
      <c r="Y912" s="151" t="inlineStr">
        <is>
          <t>0,23</t>
        </is>
      </c>
      <c r="Z912" s="149" t="inlineStr">
        <is>
          <t>0,23</t>
        </is>
      </c>
      <c r="AA912" s="151" t="inlineStr">
        <is>
          <t>grams</t>
        </is>
      </c>
      <c r="AB912" s="151" t="n"/>
      <c r="AC912" s="151" t="n"/>
      <c r="AD912" s="150" t="n">
        <v>0.81858</v>
      </c>
      <c r="AE912" s="149" t="n">
        <v>0.23</v>
      </c>
      <c r="AF912" s="151" t="inlineStr">
        <is>
          <t>grams</t>
        </is>
      </c>
      <c r="AG912" s="151" t="n"/>
      <c r="AH912" s="151" t="n"/>
    </row>
    <row r="913">
      <c r="A913" s="151" t="inlineStr">
        <is>
          <t>FV4006A - Pork tenderloin in sun dried tomato sauce [DE]</t>
        </is>
      </c>
      <c r="B913" s="151" t="inlineStr">
        <is>
          <t>REC-014085-4-003</t>
        </is>
      </c>
      <c r="C913" s="151" t="inlineStr">
        <is>
          <t>Cauliflower - Roasted S&amp;P</t>
        </is>
      </c>
      <c r="D913" s="151" t="inlineStr">
        <is>
          <t>SUB-016201-4-001</t>
        </is>
      </c>
      <c r="E913" s="150" t="n">
        <v>50</v>
      </c>
      <c r="F913" s="151" t="inlineStr">
        <is>
          <t>grams</t>
        </is>
      </c>
      <c r="G913" s="151" t="inlineStr">
        <is>
          <t>BLAST CHILLER, OVEN</t>
        </is>
      </c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inlineStr">
        <is>
          <t>FA-DE Spice, Black Pepper, Ground /Gewürz, schwarzer Pfeffer, gemahlen</t>
        </is>
      </c>
      <c r="X913" s="151" t="inlineStr">
        <is>
          <t>SPI-00-139334-5</t>
        </is>
      </c>
      <c r="Y913" s="151" t="inlineStr">
        <is>
          <t>0,14</t>
        </is>
      </c>
      <c r="Z913" s="149" t="inlineStr">
        <is>
          <t>0,14</t>
        </is>
      </c>
      <c r="AA913" s="151" t="inlineStr">
        <is>
          <t>grams</t>
        </is>
      </c>
      <c r="AB913" s="151" t="n"/>
      <c r="AC913" s="151" t="n"/>
      <c r="AD913" s="150" t="n">
        <v>0.81858</v>
      </c>
      <c r="AE913" s="149" t="n">
        <v>0.14</v>
      </c>
      <c r="AF913" s="151" t="inlineStr">
        <is>
          <t>grams</t>
        </is>
      </c>
      <c r="AG913" s="151" t="n"/>
      <c r="AH913" s="151" t="n"/>
    </row>
    <row r="914">
      <c r="A914" s="151" t="inlineStr">
        <is>
          <t>FV4006A - Pork tenderloin in sun dried tomato sauce [DE]</t>
        </is>
      </c>
      <c r="B914" s="151" t="inlineStr">
        <is>
          <t>REC-014085-4-003</t>
        </is>
      </c>
      <c r="C914" s="151" t="inlineStr">
        <is>
          <t>Cauliflower - Roasted S&amp;P</t>
        </is>
      </c>
      <c r="D914" s="151" t="inlineStr">
        <is>
          <t>SUB-016201-4-001</t>
        </is>
      </c>
      <c r="E914" s="150" t="n">
        <v>50</v>
      </c>
      <c r="F914" s="151" t="inlineStr">
        <is>
          <t>grams</t>
        </is>
      </c>
      <c r="G914" s="151" t="inlineStr">
        <is>
          <t>BLAST CHILLER, OVEN</t>
        </is>
      </c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inlineStr">
        <is>
          <t>FA-DE Oil, Olive /Öl, Olivenöl</t>
        </is>
      </c>
      <c r="X914" s="151" t="inlineStr">
        <is>
          <t>PRO-00-139277-5</t>
        </is>
      </c>
      <c r="Y914" s="151" t="inlineStr">
        <is>
          <t>2,75</t>
        </is>
      </c>
      <c r="Z914" s="149" t="inlineStr">
        <is>
          <t>2,75</t>
        </is>
      </c>
      <c r="AA914" s="151" t="inlineStr">
        <is>
          <t>grams</t>
        </is>
      </c>
      <c r="AB914" s="151" t="n"/>
      <c r="AC914" s="151" t="n"/>
      <c r="AD914" s="150" t="n">
        <v>0.81858</v>
      </c>
      <c r="AE914" s="149" t="n">
        <v>2.75</v>
      </c>
      <c r="AF914" s="151" t="inlineStr">
        <is>
          <t>grams</t>
        </is>
      </c>
      <c r="AG914" s="151" t="n"/>
      <c r="AH914" s="151" t="n"/>
    </row>
    <row r="915">
      <c r="A915" s="151" t="inlineStr">
        <is>
          <t>FV4006A - Pork tenderloin in sun dried tomato sauce [DE]</t>
        </is>
      </c>
      <c r="B915" s="151" t="inlineStr">
        <is>
          <t>REC-014085-4-003</t>
        </is>
      </c>
      <c r="C915" s="151" t="inlineStr">
        <is>
          <t>Compound butter - Parmesan-Chive</t>
        </is>
      </c>
      <c r="D915" s="151" t="inlineStr">
        <is>
          <t>SUB-013536-4-001</t>
        </is>
      </c>
      <c r="E915" s="150" t="n">
        <v>10</v>
      </c>
      <c r="F915" s="151" t="inlineStr">
        <is>
          <t>grams</t>
        </is>
      </c>
      <c r="G915" s="151" t="inlineStr">
        <is>
          <t>BLAST CHILLER, PLANETARY MIXER, SCOOPER (BUTTER)</t>
        </is>
      </c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inlineStr">
        <is>
          <t>FA-DE Spice, Parsley Dried /Gewürze, getrocknete Petersilie</t>
        </is>
      </c>
      <c r="X915" s="151" t="inlineStr">
        <is>
          <t>SPI-00-139374-5</t>
        </is>
      </c>
      <c r="Y915" s="151" t="inlineStr">
        <is>
          <t>0,1</t>
        </is>
      </c>
      <c r="Z915" s="149" t="inlineStr">
        <is>
          <t>0,1</t>
        </is>
      </c>
      <c r="AA915" s="151" t="inlineStr">
        <is>
          <t>grams</t>
        </is>
      </c>
      <c r="AB915" s="151" t="n"/>
      <c r="AC915" s="151" t="n"/>
      <c r="AD915" s="150" t="n">
        <v>0.97999</v>
      </c>
      <c r="AE915" s="149" t="n">
        <v>0.1</v>
      </c>
      <c r="AF915" s="151" t="inlineStr">
        <is>
          <t>grams</t>
        </is>
      </c>
      <c r="AG915" s="151" t="n"/>
      <c r="AH915" s="151" t="n"/>
    </row>
    <row r="916">
      <c r="A916" s="151" t="inlineStr">
        <is>
          <t>FV4006A - Pork tenderloin in sun dried tomato sauce [DE]</t>
        </is>
      </c>
      <c r="B916" s="151" t="inlineStr">
        <is>
          <t>REC-014085-4-003</t>
        </is>
      </c>
      <c r="C916" s="151" t="inlineStr">
        <is>
          <t>Compound butter - Parmesan-Chive</t>
        </is>
      </c>
      <c r="D916" s="151" t="inlineStr">
        <is>
          <t>SUB-013536-4-001</t>
        </is>
      </c>
      <c r="E916" s="150" t="n">
        <v>10</v>
      </c>
      <c r="F916" s="151" t="inlineStr">
        <is>
          <t>grams</t>
        </is>
      </c>
      <c r="G916" s="151" t="inlineStr">
        <is>
          <t>BLAST CHILLER, PLANETARY MIXER, SCOOPER (BUTTER)</t>
        </is>
      </c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inlineStr">
        <is>
          <t>FA-DE Butter, Unsalted /Butter, ungesalzen</t>
        </is>
      </c>
      <c r="X916" s="151" t="inlineStr">
        <is>
          <t>DAI-00-139146-3</t>
        </is>
      </c>
      <c r="Y916" s="151" t="inlineStr">
        <is>
          <t>7,5</t>
        </is>
      </c>
      <c r="Z916" s="149" t="inlineStr">
        <is>
          <t>7,5</t>
        </is>
      </c>
      <c r="AA916" s="151" t="inlineStr">
        <is>
          <t>grams</t>
        </is>
      </c>
      <c r="AB916" s="151" t="inlineStr">
        <is>
          <t>MILCH (EINSCHLIESSLICH LAKTOSE)</t>
        </is>
      </c>
      <c r="AC916" s="151" t="n"/>
      <c r="AD916" s="150" t="n">
        <v>0.97999</v>
      </c>
      <c r="AE916" s="149" t="n">
        <v>7.5</v>
      </c>
      <c r="AF916" s="151" t="inlineStr">
        <is>
          <t>grams</t>
        </is>
      </c>
      <c r="AG916" s="151" t="n"/>
      <c r="AH916" s="151" t="n"/>
    </row>
    <row r="917">
      <c r="A917" s="151" t="inlineStr">
        <is>
          <t>FV4006A - Pork tenderloin in sun dried tomato sauce [DE]</t>
        </is>
      </c>
      <c r="B917" s="151" t="inlineStr">
        <is>
          <t>REC-014085-4-003</t>
        </is>
      </c>
      <c r="C917" s="151" t="inlineStr">
        <is>
          <t>Compound butter - Parmesan-Chive</t>
        </is>
      </c>
      <c r="D917" s="151" t="inlineStr">
        <is>
          <t>SUB-013536-4-001</t>
        </is>
      </c>
      <c r="E917" s="150" t="n">
        <v>10</v>
      </c>
      <c r="F917" s="151" t="inlineStr">
        <is>
          <t>grams</t>
        </is>
      </c>
      <c r="G917" s="151" t="inlineStr">
        <is>
          <t>BLAST CHILLER, PLANETARY MIXER, SCOOPER (BUTTER)</t>
        </is>
      </c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inlineStr">
        <is>
          <t>FA-DE Chives, Dried /Schnittlauch, getrocknet</t>
        </is>
      </c>
      <c r="X917" s="151" t="inlineStr">
        <is>
          <t>SPI-00-139322-5</t>
        </is>
      </c>
      <c r="Y917" s="151" t="inlineStr">
        <is>
          <t>0,1</t>
        </is>
      </c>
      <c r="Z917" s="149" t="inlineStr">
        <is>
          <t>0,1</t>
        </is>
      </c>
      <c r="AA917" s="151" t="inlineStr">
        <is>
          <t>grams</t>
        </is>
      </c>
      <c r="AB917" s="151" t="n"/>
      <c r="AC917" s="151" t="n"/>
      <c r="AD917" s="150" t="n">
        <v>0.97999</v>
      </c>
      <c r="AE917" s="149" t="n">
        <v>0.1</v>
      </c>
      <c r="AF917" s="151" t="inlineStr">
        <is>
          <t>grams</t>
        </is>
      </c>
      <c r="AG917" s="151" t="n"/>
      <c r="AH917" s="151" t="n"/>
    </row>
    <row r="918">
      <c r="A918" s="151" t="inlineStr">
        <is>
          <t>FV4006A - Pork tenderloin in sun dried tomato sauce [DE]</t>
        </is>
      </c>
      <c r="B918" s="151" t="inlineStr">
        <is>
          <t>REC-014085-4-003</t>
        </is>
      </c>
      <c r="C918" s="151" t="inlineStr">
        <is>
          <t>Compound butter - Parmesan-Chive</t>
        </is>
      </c>
      <c r="D918" s="151" t="inlineStr">
        <is>
          <t>SUB-013536-4-001</t>
        </is>
      </c>
      <c r="E918" s="150" t="n">
        <v>10</v>
      </c>
      <c r="F918" s="151" t="inlineStr">
        <is>
          <t>grams</t>
        </is>
      </c>
      <c r="G918" s="151" t="inlineStr">
        <is>
          <t>BLAST CHILLER, PLANETARY MIXER, SCOOPER (BUTTER)</t>
        </is>
      </c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inlineStr">
        <is>
          <t>FA-DE Cheese, Parmesan, Grated /Käse, Parmesan, gerieben</t>
        </is>
      </c>
      <c r="X918" s="151" t="inlineStr">
        <is>
          <t>DAI-00-139127-3</t>
        </is>
      </c>
      <c r="Y918" s="151" t="inlineStr">
        <is>
          <t>2,5</t>
        </is>
      </c>
      <c r="Z918" s="149" t="inlineStr">
        <is>
          <t>2,5</t>
        </is>
      </c>
      <c r="AA918" s="151" t="inlineStr">
        <is>
          <t>grams</t>
        </is>
      </c>
      <c r="AB918" s="151" t="inlineStr">
        <is>
          <t>MILCH (EINSCHLIESSLICH LAKTOSE)</t>
        </is>
      </c>
      <c r="AC918" s="151" t="n"/>
      <c r="AD918" s="150" t="n">
        <v>0.97999</v>
      </c>
      <c r="AE918" s="149" t="n">
        <v>2.5</v>
      </c>
      <c r="AF918" s="151" t="inlineStr">
        <is>
          <t>grams</t>
        </is>
      </c>
      <c r="AG918" s="151" t="n"/>
      <c r="AH918" s="151" t="n"/>
    </row>
    <row r="919">
      <c r="A919" s="151" t="inlineStr">
        <is>
          <t>FV4006A - Pork tenderloin in sun dried tomato sauce [DKSE]</t>
        </is>
      </c>
      <c r="B919" s="151" t="inlineStr">
        <is>
          <t>REC-014085-4-002</t>
        </is>
      </c>
      <c r="C919" s="151" t="inlineStr">
        <is>
          <t>Mash - Roasted Garlic Cauliflower Mashed</t>
        </is>
      </c>
      <c r="D919" s="151" t="inlineStr">
        <is>
          <t>SUB-013673-4-001</t>
        </is>
      </c>
      <c r="E919" s="150" t="n">
        <v>100</v>
      </c>
      <c r="F919" s="151" t="inlineStr">
        <is>
          <t>grams</t>
        </is>
      </c>
      <c r="G919" s="151" t="inlineStr">
        <is>
          <t>BLAST CHILLER, BRAISER, IMMERSION BLENDER, SPICE PORTIONING</t>
        </is>
      </c>
      <c r="H919" s="151" t="inlineStr">
        <is>
          <t>Steamed Cauliflower Rice</t>
        </is>
      </c>
      <c r="I919" s="151" t="inlineStr">
        <is>
          <t>SUB-029075-4-001</t>
        </is>
      </c>
      <c r="J919" s="150" t="n">
        <v>71.84</v>
      </c>
      <c r="K919" s="151" t="inlineStr">
        <is>
          <t>grams</t>
        </is>
      </c>
      <c r="L919" s="151" t="inlineStr">
        <is>
          <t>OVEN</t>
        </is>
      </c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inlineStr">
        <is>
          <t>FA-DE Cauliflower, Riced, IQF /Blumenkohl, Reis, IQF</t>
        </is>
      </c>
      <c r="X919" s="151" t="inlineStr">
        <is>
          <t>PHF-00-139233-1</t>
        </is>
      </c>
      <c r="Y919" s="151" t="inlineStr">
        <is>
          <t>75,65</t>
        </is>
      </c>
      <c r="Z919" s="149" t="inlineStr">
        <is>
          <t>75,65</t>
        </is>
      </c>
      <c r="AA919" s="151" t="inlineStr">
        <is>
          <t>grams</t>
        </is>
      </c>
      <c r="AB919" s="151" t="n"/>
      <c r="AC919" s="151" t="n"/>
      <c r="AD919" s="150" t="n">
        <v>0.94962</v>
      </c>
      <c r="AE919" s="149" t="n">
        <v>75.65000000000001</v>
      </c>
      <c r="AF919" s="151" t="inlineStr">
        <is>
          <t>grams</t>
        </is>
      </c>
      <c r="AG919" s="151" t="n"/>
      <c r="AH919" s="151" t="n"/>
    </row>
    <row r="920">
      <c r="A920" s="151" t="inlineStr">
        <is>
          <t>FV4006A - Pork tenderloin in sun dried tomato sauce [DKSE]</t>
        </is>
      </c>
      <c r="B920" s="151" t="inlineStr">
        <is>
          <t>REC-014085-4-002</t>
        </is>
      </c>
      <c r="C920" s="151" t="inlineStr">
        <is>
          <t>Mash - Roasted Garlic Cauliflower Mashed</t>
        </is>
      </c>
      <c r="D920" s="151" t="inlineStr">
        <is>
          <t>SUB-013673-4-001</t>
        </is>
      </c>
      <c r="E920" s="150" t="n">
        <v>100</v>
      </c>
      <c r="F920" s="151" t="inlineStr">
        <is>
          <t>grams</t>
        </is>
      </c>
      <c r="G920" s="151" t="inlineStr">
        <is>
          <t>BLAST CHILLER, BRAISER, IMMERSION BLENDER, SPICE PORTIONING</t>
        </is>
      </c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inlineStr">
        <is>
          <t>FA-DE Butter, Unsalted /Butter, ungesalzen</t>
        </is>
      </c>
      <c r="X920" s="151" t="inlineStr">
        <is>
          <t>DAI-00-139146-3</t>
        </is>
      </c>
      <c r="Y920" s="151" t="inlineStr">
        <is>
          <t>10,64</t>
        </is>
      </c>
      <c r="Z920" s="149" t="inlineStr">
        <is>
          <t>10,64</t>
        </is>
      </c>
      <c r="AA920" s="151" t="inlineStr">
        <is>
          <t>grams</t>
        </is>
      </c>
      <c r="AB920" s="151" t="inlineStr">
        <is>
          <t>MILCH (EINSCHLIESSLICH LAKTOSE)</t>
        </is>
      </c>
      <c r="AC920" s="151" t="n"/>
      <c r="AD920" s="150" t="n">
        <v>0.98398</v>
      </c>
      <c r="AE920" s="149" t="n">
        <v>10.64</v>
      </c>
      <c r="AF920" s="151" t="inlineStr">
        <is>
          <t>grams</t>
        </is>
      </c>
      <c r="AG920" s="151" t="n"/>
      <c r="AH920" s="151" t="n"/>
    </row>
    <row r="921">
      <c r="A921" s="151" t="inlineStr">
        <is>
          <t>FV4006A - Pork tenderloin in sun dried tomato sauce [DKSE]</t>
        </is>
      </c>
      <c r="B921" s="151" t="inlineStr">
        <is>
          <t>REC-014085-4-002</t>
        </is>
      </c>
      <c r="C921" s="151" t="inlineStr">
        <is>
          <t>Mash - Roasted Garlic Cauliflower Mashed</t>
        </is>
      </c>
      <c r="D921" s="151" t="inlineStr">
        <is>
          <t>SUB-013673-4-001</t>
        </is>
      </c>
      <c r="E921" s="150" t="n">
        <v>100</v>
      </c>
      <c r="F921" s="151" t="inlineStr">
        <is>
          <t>grams</t>
        </is>
      </c>
      <c r="G921" s="151" t="inlineStr">
        <is>
          <t>BLAST CHILLER, BRAISER, IMMERSION BLENDER, SPICE PORTIONING</t>
        </is>
      </c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inlineStr">
        <is>
          <t>FA-DE Cheese, Cream, 13% Fat (Milk) /Käse, Sahne, 13% Fett</t>
        </is>
      </c>
      <c r="X921" s="151" t="inlineStr">
        <is>
          <t>DAI-00-139122-3</t>
        </is>
      </c>
      <c r="Y921" s="151" t="inlineStr">
        <is>
          <t>15,96</t>
        </is>
      </c>
      <c r="Z921" s="149" t="inlineStr">
        <is>
          <t>15,96</t>
        </is>
      </c>
      <c r="AA921" s="151" t="inlineStr">
        <is>
          <t>grams</t>
        </is>
      </c>
      <c r="AB921" s="151" t="inlineStr">
        <is>
          <t>MILCH (EINSCHLIESSLICH LAKTOSE)</t>
        </is>
      </c>
      <c r="AC921" s="151" t="n"/>
      <c r="AD921" s="150" t="n">
        <v>0.98398</v>
      </c>
      <c r="AE921" s="149" t="n">
        <v>15.96</v>
      </c>
      <c r="AF921" s="151" t="inlineStr">
        <is>
          <t>grams</t>
        </is>
      </c>
      <c r="AG921" s="151" t="n"/>
      <c r="AH921" s="151" t="n"/>
    </row>
    <row r="922">
      <c r="A922" s="151" t="inlineStr">
        <is>
          <t>FV4006A - Pork tenderloin in sun dried tomato sauce [DKSE]</t>
        </is>
      </c>
      <c r="B922" s="151" t="inlineStr">
        <is>
          <t>REC-014085-4-002</t>
        </is>
      </c>
      <c r="C922" s="151" t="inlineStr">
        <is>
          <t>Mash - Roasted Garlic Cauliflower Mashed</t>
        </is>
      </c>
      <c r="D922" s="151" t="inlineStr">
        <is>
          <t>SUB-013673-4-001</t>
        </is>
      </c>
      <c r="E922" s="150" t="n">
        <v>100</v>
      </c>
      <c r="F922" s="151" t="inlineStr">
        <is>
          <t>grams</t>
        </is>
      </c>
      <c r="G922" s="151" t="inlineStr">
        <is>
          <t>BLAST CHILLER, BRAISER, IMMERSION BLENDER, SPICE PORTIONING</t>
        </is>
      </c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inlineStr">
        <is>
          <t>FA-DE Spice, Sea Salt /Gewürze, Meersalz</t>
        </is>
      </c>
      <c r="X922" s="151" t="inlineStr">
        <is>
          <t>SPI-00-139378-5</t>
        </is>
      </c>
      <c r="Y922" s="151" t="inlineStr">
        <is>
          <t>0,49</t>
        </is>
      </c>
      <c r="Z922" s="149" t="inlineStr">
        <is>
          <t>0,49</t>
        </is>
      </c>
      <c r="AA922" s="151" t="inlineStr">
        <is>
          <t>grams</t>
        </is>
      </c>
      <c r="AB922" s="151" t="n"/>
      <c r="AC922" s="151" t="n"/>
      <c r="AD922" s="150" t="n">
        <v>0.98398</v>
      </c>
      <c r="AE922" s="149" t="n">
        <v>0.49</v>
      </c>
      <c r="AF922" s="151" t="inlineStr">
        <is>
          <t>grams</t>
        </is>
      </c>
      <c r="AG922" s="151" t="n"/>
      <c r="AH922" s="151" t="n"/>
    </row>
    <row r="923">
      <c r="A923" s="151" t="inlineStr">
        <is>
          <t>FV4006A - Pork tenderloin in sun dried tomato sauce [DKSE]</t>
        </is>
      </c>
      <c r="B923" s="151" t="inlineStr">
        <is>
          <t>REC-014085-4-002</t>
        </is>
      </c>
      <c r="C923" s="151" t="inlineStr">
        <is>
          <t>Mash - Roasted Garlic Cauliflower Mashed</t>
        </is>
      </c>
      <c r="D923" s="151" t="inlineStr">
        <is>
          <t>SUB-013673-4-001</t>
        </is>
      </c>
      <c r="E923" s="150" t="n">
        <v>100</v>
      </c>
      <c r="F923" s="151" t="inlineStr">
        <is>
          <t>grams</t>
        </is>
      </c>
      <c r="G923" s="151" t="inlineStr">
        <is>
          <t>BLAST CHILLER, BRAISER, IMMERSION BLENDER, SPICE PORTIONING</t>
        </is>
      </c>
      <c r="H923" s="151" t="inlineStr">
        <is>
          <t>Roasted Garlic (use)</t>
        </is>
      </c>
      <c r="I923" s="151" t="inlineStr">
        <is>
          <t>SUB-013367-4-001</t>
        </is>
      </c>
      <c r="J923" s="150" t="n">
        <v>2.69</v>
      </c>
      <c r="K923" s="151" t="inlineStr">
        <is>
          <t>grams</t>
        </is>
      </c>
      <c r="L923" s="151" t="inlineStr">
        <is>
          <t>BLAST CHILLER, OVEN</t>
        </is>
      </c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inlineStr">
        <is>
          <t>FA-DE Garlic, Peeled, Whole Cloves [10kg] /Knoblauch, geschält, ganze Nelken [10kg]</t>
        </is>
      </c>
      <c r="X923" s="151" t="inlineStr">
        <is>
          <t>PHF-00-139197-3</t>
        </is>
      </c>
      <c r="Y923" s="151" t="inlineStr">
        <is>
          <t>2,71</t>
        </is>
      </c>
      <c r="Z923" s="149" t="inlineStr">
        <is>
          <t>2,71</t>
        </is>
      </c>
      <c r="AA923" s="151" t="inlineStr">
        <is>
          <t>grams</t>
        </is>
      </c>
      <c r="AB923" s="151" t="n"/>
      <c r="AC923" s="151" t="n"/>
      <c r="AD923" s="150" t="n">
        <v>0.56691</v>
      </c>
      <c r="AE923" s="149" t="n">
        <v>2.71</v>
      </c>
      <c r="AF923" s="151" t="inlineStr">
        <is>
          <t>grams</t>
        </is>
      </c>
      <c r="AG923" s="151" t="n"/>
      <c r="AH923" s="151" t="n"/>
    </row>
    <row r="924">
      <c r="A924" s="151" t="inlineStr">
        <is>
          <t>FV4006A - Pork tenderloin in sun dried tomato sauce [DKSE]</t>
        </is>
      </c>
      <c r="B924" s="151" t="inlineStr">
        <is>
          <t>REC-014085-4-002</t>
        </is>
      </c>
      <c r="C924" s="151" t="inlineStr">
        <is>
          <t>Mash - Roasted Garlic Cauliflower Mashed</t>
        </is>
      </c>
      <c r="D924" s="151" t="inlineStr">
        <is>
          <t>SUB-013673-4-001</t>
        </is>
      </c>
      <c r="E924" s="150" t="n">
        <v>100</v>
      </c>
      <c r="F924" s="151" t="inlineStr">
        <is>
          <t>grams</t>
        </is>
      </c>
      <c r="G924" s="151" t="inlineStr">
        <is>
          <t>BLAST CHILLER, BRAISER, IMMERSION BLENDER, SPICE PORTIONING</t>
        </is>
      </c>
      <c r="H924" s="151" t="inlineStr">
        <is>
          <t>Roasted Garlic (use)</t>
        </is>
      </c>
      <c r="I924" s="151" t="inlineStr">
        <is>
          <t>SUB-013367-4-001</t>
        </is>
      </c>
      <c r="J924" s="150" t="n">
        <v>2.69</v>
      </c>
      <c r="K924" s="151" t="inlineStr">
        <is>
          <t>grams</t>
        </is>
      </c>
      <c r="L924" s="151" t="inlineStr">
        <is>
          <t>BLAST CHILLER, OVEN</t>
        </is>
      </c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inlineStr">
        <is>
          <t>FA-DE Oil, Olive /Öl, Olivenöl</t>
        </is>
      </c>
      <c r="X924" s="151" t="inlineStr">
        <is>
          <t>PRO-00-139277-5</t>
        </is>
      </c>
      <c r="Y924" s="154" t="inlineStr">
        <is>
          <t>2,04</t>
        </is>
      </c>
      <c r="Z924" s="149" t="inlineStr">
        <is>
          <t>2,04</t>
        </is>
      </c>
      <c r="AA924" s="151" t="inlineStr">
        <is>
          <t>grams</t>
        </is>
      </c>
      <c r="AB924" s="151" t="n"/>
      <c r="AC924" s="151" t="n"/>
      <c r="AD924" s="150" t="n">
        <v>0.56691</v>
      </c>
      <c r="AE924" s="149" t="n">
        <v>2.04</v>
      </c>
      <c r="AF924" s="151" t="inlineStr">
        <is>
          <t>grams</t>
        </is>
      </c>
      <c r="AG924" s="151" t="n"/>
      <c r="AH924" s="151" t="n"/>
    </row>
    <row r="925">
      <c r="A925" s="151" t="inlineStr">
        <is>
          <t>FV4006A - Pork tenderloin in sun dried tomato sauce [DKSE]</t>
        </is>
      </c>
      <c r="B925" s="151" t="inlineStr">
        <is>
          <t>REC-014085-4-002</t>
        </is>
      </c>
      <c r="C925" s="151" t="inlineStr">
        <is>
          <t>Pork tenderloin - herb marinade</t>
        </is>
      </c>
      <c r="D925" s="151" t="inlineStr">
        <is>
          <t>SUB-013466-4-001</t>
        </is>
      </c>
      <c r="E925" s="150" t="n">
        <v>140</v>
      </c>
      <c r="F925" s="151" t="inlineStr">
        <is>
          <t>grams</t>
        </is>
      </c>
      <c r="G925" s="151" t="inlineStr">
        <is>
          <t>BLAST CHILLER, GRILL, MARINADE, OVEN, SLICER</t>
        </is>
      </c>
      <c r="H925" s="151" t="inlineStr">
        <is>
          <t>Pork Tenderloin - HERB BRINED</t>
        </is>
      </c>
      <c r="I925" s="151" t="inlineStr">
        <is>
          <t>SUB-013465-4-001</t>
        </is>
      </c>
      <c r="J925" s="150" t="n">
        <v>170</v>
      </c>
      <c r="K925" s="151" t="inlineStr">
        <is>
          <t>grams</t>
        </is>
      </c>
      <c r="L925" s="151" t="inlineStr">
        <is>
          <t>BRINE</t>
        </is>
      </c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inlineStr">
        <is>
          <t>FA-DE Water / Wasser</t>
        </is>
      </c>
      <c r="X925" s="151" t="inlineStr">
        <is>
          <t>OTH-00-144038-5</t>
        </is>
      </c>
      <c r="Y925" s="150" t="n">
        <v>170</v>
      </c>
      <c r="Z925" s="152" t="n">
        <v>170</v>
      </c>
      <c r="AA925" s="151" t="inlineStr">
        <is>
          <t>grams</t>
        </is>
      </c>
      <c r="AB925" s="151" t="n"/>
      <c r="AC925" s="151" t="n"/>
      <c r="AD925" s="150" t="n">
        <v>0.49656</v>
      </c>
      <c r="AE925" s="152" t="n">
        <v>170</v>
      </c>
      <c r="AF925" s="151" t="inlineStr">
        <is>
          <t>grams</t>
        </is>
      </c>
      <c r="AG925" s="151" t="n"/>
      <c r="AH925" s="151" t="n"/>
    </row>
    <row r="926">
      <c r="A926" s="151" t="inlineStr">
        <is>
          <t>FV4006A - Pork tenderloin in sun dried tomato sauce [DKSE]</t>
        </is>
      </c>
      <c r="B926" s="151" t="inlineStr">
        <is>
          <t>REC-014085-4-002</t>
        </is>
      </c>
      <c r="C926" s="151" t="inlineStr">
        <is>
          <t>Pork tenderloin - herb marinade</t>
        </is>
      </c>
      <c r="D926" s="151" t="inlineStr">
        <is>
          <t>SUB-013466-4-001</t>
        </is>
      </c>
      <c r="E926" s="150" t="n">
        <v>140</v>
      </c>
      <c r="F926" s="151" t="inlineStr">
        <is>
          <t>grams</t>
        </is>
      </c>
      <c r="G926" s="151" t="inlineStr">
        <is>
          <t>BLAST CHILLER, GRILL, MARINADE, OVEN, SLICER</t>
        </is>
      </c>
      <c r="H926" s="151" t="inlineStr">
        <is>
          <t>Pork Tenderloin - HERB BRINED</t>
        </is>
      </c>
      <c r="I926" s="151" t="inlineStr">
        <is>
          <t>SUB-013465-4-001</t>
        </is>
      </c>
      <c r="J926" s="150" t="n">
        <v>170</v>
      </c>
      <c r="K926" s="151" t="inlineStr">
        <is>
          <t>grams</t>
        </is>
      </c>
      <c r="L926" s="151" t="inlineStr">
        <is>
          <t>BRINE</t>
        </is>
      </c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inlineStr">
        <is>
          <t>FA-DE Spice, Thyme Dry /Gewürz, Thymian trocken</t>
        </is>
      </c>
      <c r="X926" s="151" t="inlineStr">
        <is>
          <t>SPI-00-139385-5</t>
        </is>
      </c>
      <c r="Y926" s="151" t="inlineStr">
        <is>
          <t>0,28</t>
        </is>
      </c>
      <c r="Z926" s="149" t="inlineStr">
        <is>
          <t>0,28</t>
        </is>
      </c>
      <c r="AA926" s="151" t="inlineStr">
        <is>
          <t>grams</t>
        </is>
      </c>
      <c r="AB926" s="151" t="n"/>
      <c r="AC926" s="151" t="n"/>
      <c r="AD926" s="150" t="n">
        <v>0.49656</v>
      </c>
      <c r="AE926" s="149" t="n">
        <v>0.28</v>
      </c>
      <c r="AF926" s="151" t="inlineStr">
        <is>
          <t>grams</t>
        </is>
      </c>
      <c r="AG926" s="151" t="n"/>
      <c r="AH926" s="151" t="n"/>
    </row>
    <row r="927">
      <c r="A927" s="151" t="inlineStr">
        <is>
          <t>FV4006A - Pork tenderloin in sun dried tomato sauce [DKSE]</t>
        </is>
      </c>
      <c r="B927" s="151" t="inlineStr">
        <is>
          <t>REC-014085-4-002</t>
        </is>
      </c>
      <c r="C927" s="151" t="inlineStr">
        <is>
          <t>Pork tenderloin - herb marinade</t>
        </is>
      </c>
      <c r="D927" s="151" t="inlineStr">
        <is>
          <t>SUB-013466-4-001</t>
        </is>
      </c>
      <c r="E927" s="150" t="n">
        <v>140</v>
      </c>
      <c r="F927" s="151" t="inlineStr">
        <is>
          <t>grams</t>
        </is>
      </c>
      <c r="G927" s="151" t="inlineStr">
        <is>
          <t>BLAST CHILLER, GRILL, MARINADE, OVEN, SLICER</t>
        </is>
      </c>
      <c r="H927" s="151" t="inlineStr">
        <is>
          <t>Pork Tenderloin - HERB BRINED</t>
        </is>
      </c>
      <c r="I927" s="151" t="inlineStr">
        <is>
          <t>SUB-013465-4-001</t>
        </is>
      </c>
      <c r="J927" s="150" t="n">
        <v>170</v>
      </c>
      <c r="K927" s="151" t="inlineStr">
        <is>
          <t>grams</t>
        </is>
      </c>
      <c r="L927" s="151" t="inlineStr">
        <is>
          <t>BRINE</t>
        </is>
      </c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inlineStr">
        <is>
          <t>FA-DE Pork, Tenderloin /Schweinefleisch, Filet</t>
        </is>
      </c>
      <c r="X927" s="151" t="inlineStr">
        <is>
          <t>PTN-00-139310-3</t>
        </is>
      </c>
      <c r="Y927" s="150" t="n">
        <v>170</v>
      </c>
      <c r="Z927" s="152" t="n">
        <v>170</v>
      </c>
      <c r="AA927" s="151" t="inlineStr">
        <is>
          <t>grams</t>
        </is>
      </c>
      <c r="AB927" s="151" t="n"/>
      <c r="AC927" s="151" t="n"/>
      <c r="AD927" s="150" t="n">
        <v>0.49656</v>
      </c>
      <c r="AE927" s="152" t="n">
        <v>170</v>
      </c>
      <c r="AF927" s="151" t="inlineStr">
        <is>
          <t>grams</t>
        </is>
      </c>
      <c r="AG927" s="151" t="n"/>
      <c r="AH927" s="151" t="n"/>
    </row>
    <row r="928">
      <c r="A928" s="151" t="inlineStr">
        <is>
          <t>FV4006A - Pork tenderloin in sun dried tomato sauce [DKSE]</t>
        </is>
      </c>
      <c r="B928" s="151" t="inlineStr">
        <is>
          <t>REC-014085-4-002</t>
        </is>
      </c>
      <c r="C928" s="151" t="inlineStr">
        <is>
          <t>Pork tenderloin - herb marinade</t>
        </is>
      </c>
      <c r="D928" s="151" t="inlineStr">
        <is>
          <t>SUB-013466-4-001</t>
        </is>
      </c>
      <c r="E928" s="150" t="n">
        <v>140</v>
      </c>
      <c r="F928" s="151" t="inlineStr">
        <is>
          <t>grams</t>
        </is>
      </c>
      <c r="G928" s="151" t="inlineStr">
        <is>
          <t>BLAST CHILLER, GRILL, MARINADE, OVEN, SLICER</t>
        </is>
      </c>
      <c r="H928" s="151" t="inlineStr">
        <is>
          <t>Pork Tenderloin - HERB BRINED</t>
        </is>
      </c>
      <c r="I928" s="151" t="inlineStr">
        <is>
          <t>SUB-013465-4-001</t>
        </is>
      </c>
      <c r="J928" s="150" t="n">
        <v>170</v>
      </c>
      <c r="K928" s="151" t="inlineStr">
        <is>
          <t>grams</t>
        </is>
      </c>
      <c r="L928" s="151" t="inlineStr">
        <is>
          <t>BRINE</t>
        </is>
      </c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inlineStr">
        <is>
          <t>FA-DE Spice, Sage, Rubbed /Gewürz, Salbei, gerieben</t>
        </is>
      </c>
      <c r="X928" s="151" t="inlineStr">
        <is>
          <t>SPI-00-139377-5</t>
        </is>
      </c>
      <c r="Y928" s="151" t="inlineStr">
        <is>
          <t>0,28</t>
        </is>
      </c>
      <c r="Z928" s="149" t="inlineStr">
        <is>
          <t>0,28</t>
        </is>
      </c>
      <c r="AA928" s="151" t="inlineStr">
        <is>
          <t>grams</t>
        </is>
      </c>
      <c r="AB928" s="151" t="n"/>
      <c r="AC928" s="151" t="n"/>
      <c r="AD928" s="150" t="n">
        <v>0.49656</v>
      </c>
      <c r="AE928" s="149" t="n">
        <v>0.28</v>
      </c>
      <c r="AF928" s="151" t="inlineStr">
        <is>
          <t>grams</t>
        </is>
      </c>
      <c r="AG928" s="151" t="n"/>
      <c r="AH928" s="151" t="n"/>
    </row>
    <row r="929">
      <c r="A929" s="151" t="inlineStr">
        <is>
          <t>FV4006A - Pork tenderloin in sun dried tomato sauce [DKSE]</t>
        </is>
      </c>
      <c r="B929" s="151" t="inlineStr">
        <is>
          <t>REC-014085-4-002</t>
        </is>
      </c>
      <c r="C929" s="151" t="inlineStr">
        <is>
          <t>Pork tenderloin - herb marinade</t>
        </is>
      </c>
      <c r="D929" s="151" t="inlineStr">
        <is>
          <t>SUB-013466-4-001</t>
        </is>
      </c>
      <c r="E929" s="150" t="n">
        <v>140</v>
      </c>
      <c r="F929" s="151" t="inlineStr">
        <is>
          <t>grams</t>
        </is>
      </c>
      <c r="G929" s="151" t="inlineStr">
        <is>
          <t>BLAST CHILLER, GRILL, MARINADE, OVEN, SLICER</t>
        </is>
      </c>
      <c r="H929" s="151" t="inlineStr">
        <is>
          <t>Pork Tenderloin - HERB BRINED</t>
        </is>
      </c>
      <c r="I929" s="151" t="inlineStr">
        <is>
          <t>SUB-013465-4-001</t>
        </is>
      </c>
      <c r="J929" s="150" t="n">
        <v>170</v>
      </c>
      <c r="K929" s="151" t="inlineStr">
        <is>
          <t>grams</t>
        </is>
      </c>
      <c r="L929" s="151" t="inlineStr">
        <is>
          <t>BRINE</t>
        </is>
      </c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inlineStr">
        <is>
          <t>FA-DE Spice, Sea Salt /Gewürze, Meersalz</t>
        </is>
      </c>
      <c r="X929" s="151" t="inlineStr">
        <is>
          <t>SPI-00-139378-5</t>
        </is>
      </c>
      <c r="Y929" s="151" t="inlineStr">
        <is>
          <t>1,5</t>
        </is>
      </c>
      <c r="Z929" s="149" t="inlineStr">
        <is>
          <t>1,5</t>
        </is>
      </c>
      <c r="AA929" s="151" t="inlineStr">
        <is>
          <t>grams</t>
        </is>
      </c>
      <c r="AB929" s="151" t="n"/>
      <c r="AC929" s="151" t="n"/>
      <c r="AD929" s="150" t="n">
        <v>0.49656</v>
      </c>
      <c r="AE929" s="149" t="n">
        <v>1.5</v>
      </c>
      <c r="AF929" s="151" t="inlineStr">
        <is>
          <t>grams</t>
        </is>
      </c>
      <c r="AG929" s="151" t="n"/>
      <c r="AH929" s="151" t="n"/>
    </row>
    <row r="930">
      <c r="A930" s="151" t="inlineStr">
        <is>
          <t>FV4006A - Pork tenderloin in sun dried tomato sauce [DKSE]</t>
        </is>
      </c>
      <c r="B930" s="151" t="inlineStr">
        <is>
          <t>REC-014085-4-002</t>
        </is>
      </c>
      <c r="C930" s="151" t="inlineStr">
        <is>
          <t>Pork tenderloin - herb marinade</t>
        </is>
      </c>
      <c r="D930" s="151" t="inlineStr">
        <is>
          <t>SUB-013466-4-001</t>
        </is>
      </c>
      <c r="E930" s="150" t="n">
        <v>140</v>
      </c>
      <c r="F930" s="151" t="inlineStr">
        <is>
          <t>grams</t>
        </is>
      </c>
      <c r="G930" s="151" t="inlineStr">
        <is>
          <t>BLAST CHILLER, GRILL, MARINADE, OVEN, SLICER</t>
        </is>
      </c>
      <c r="H930" s="151" t="inlineStr">
        <is>
          <t>Pork Tenderloin - HERB BRINED</t>
        </is>
      </c>
      <c r="I930" s="151" t="inlineStr">
        <is>
          <t>SUB-013465-4-001</t>
        </is>
      </c>
      <c r="J930" s="150" t="n">
        <v>170</v>
      </c>
      <c r="K930" s="151" t="inlineStr">
        <is>
          <t>grams</t>
        </is>
      </c>
      <c r="L930" s="151" t="inlineStr">
        <is>
          <t>BRINE</t>
        </is>
      </c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inlineStr">
        <is>
          <t>FA-DE Dried Rosemary/Rosmarin getrocknet</t>
        </is>
      </c>
      <c r="X930" s="151" t="inlineStr">
        <is>
          <t>SPI-00-143552-5</t>
        </is>
      </c>
      <c r="Y930" s="151" t="inlineStr">
        <is>
          <t>0,28</t>
        </is>
      </c>
      <c r="Z930" s="149" t="inlineStr">
        <is>
          <t>0,28</t>
        </is>
      </c>
      <c r="AA930" s="151" t="inlineStr">
        <is>
          <t>grams</t>
        </is>
      </c>
      <c r="AB930" s="151" t="n"/>
      <c r="AC930" s="151" t="n"/>
      <c r="AD930" s="150" t="n">
        <v>0.49656</v>
      </c>
      <c r="AE930" s="149" t="n">
        <v>0.28</v>
      </c>
      <c r="AF930" s="151" t="inlineStr">
        <is>
          <t>grams</t>
        </is>
      </c>
      <c r="AG930" s="151" t="n"/>
      <c r="AH930" s="151" t="n"/>
    </row>
    <row r="931">
      <c r="A931" s="151" t="inlineStr">
        <is>
          <t>FV4006A - Pork tenderloin in sun dried tomato sauce [DKSE]</t>
        </is>
      </c>
      <c r="B931" s="151" t="inlineStr">
        <is>
          <t>REC-014085-4-002</t>
        </is>
      </c>
      <c r="C931" s="151" t="inlineStr">
        <is>
          <t>Pork tenderloin - herb marinade</t>
        </is>
      </c>
      <c r="D931" s="151" t="inlineStr">
        <is>
          <t>SUB-013466-4-001</t>
        </is>
      </c>
      <c r="E931" s="150" t="n">
        <v>140</v>
      </c>
      <c r="F931" s="151" t="inlineStr">
        <is>
          <t>grams</t>
        </is>
      </c>
      <c r="G931" s="151" t="inlineStr">
        <is>
          <t>BLAST CHILLER, GRILL, MARINADE, OVEN, SLICER</t>
        </is>
      </c>
      <c r="H931" s="151" t="inlineStr">
        <is>
          <t>Herb Marinade for Pork Tenderloin</t>
        </is>
      </c>
      <c r="I931" s="151" t="inlineStr">
        <is>
          <t>SUB-031651-4-001</t>
        </is>
      </c>
      <c r="J931" s="150" t="n">
        <v>12</v>
      </c>
      <c r="K931" s="151" t="inlineStr">
        <is>
          <t>grams</t>
        </is>
      </c>
      <c r="L931" s="151" t="inlineStr">
        <is>
          <t>UNCATEGORIZED BOM</t>
        </is>
      </c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inlineStr">
        <is>
          <t>FA-DE Oil, Olive /Öl, Olivenöl</t>
        </is>
      </c>
      <c r="X931" s="151" t="inlineStr">
        <is>
          <t>PRO-00-139277-5</t>
        </is>
      </c>
      <c r="Y931" s="155" t="inlineStr">
        <is>
          <t>11,1</t>
        </is>
      </c>
      <c r="Z931" s="149" t="inlineStr">
        <is>
          <t>11,1</t>
        </is>
      </c>
      <c r="AA931" s="151" t="inlineStr">
        <is>
          <t>grams</t>
        </is>
      </c>
      <c r="AB931" s="151" t="n"/>
      <c r="AC931" s="151" t="n"/>
      <c r="AD931" s="150" t="n">
        <v>0.99855</v>
      </c>
      <c r="AE931" s="149" t="n">
        <v>11.1</v>
      </c>
      <c r="AF931" s="151" t="inlineStr">
        <is>
          <t>grams</t>
        </is>
      </c>
      <c r="AG931" s="151" t="n"/>
      <c r="AH931" s="151" t="n"/>
    </row>
    <row r="932">
      <c r="A932" s="151" t="inlineStr">
        <is>
          <t>FV4006A - Pork tenderloin in sun dried tomato sauce [DKSE]</t>
        </is>
      </c>
      <c r="B932" s="151" t="inlineStr">
        <is>
          <t>REC-014085-4-002</t>
        </is>
      </c>
      <c r="C932" s="151" t="inlineStr">
        <is>
          <t>Pork tenderloin - herb marinade</t>
        </is>
      </c>
      <c r="D932" s="151" t="inlineStr">
        <is>
          <t>SUB-013466-4-001</t>
        </is>
      </c>
      <c r="E932" s="150" t="n">
        <v>140</v>
      </c>
      <c r="F932" s="151" t="inlineStr">
        <is>
          <t>grams</t>
        </is>
      </c>
      <c r="G932" s="151" t="inlineStr">
        <is>
          <t>BLAST CHILLER, GRILL, MARINADE, OVEN, SLICER</t>
        </is>
      </c>
      <c r="H932" s="151" t="inlineStr">
        <is>
          <t>Herb Marinade for Pork Tenderloin</t>
        </is>
      </c>
      <c r="I932" s="151" t="inlineStr">
        <is>
          <t>SUB-031651-4-001</t>
        </is>
      </c>
      <c r="J932" s="150" t="n">
        <v>12</v>
      </c>
      <c r="K932" s="151" t="inlineStr">
        <is>
          <t>grams</t>
        </is>
      </c>
      <c r="L932" s="151" t="inlineStr">
        <is>
          <t>UNCATEGORIZED BOM</t>
        </is>
      </c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inlineStr">
        <is>
          <t>FA-DE Spice, Oregano Dry /Gewürz, Oregano trocken</t>
        </is>
      </c>
      <c r="X932" s="151" t="inlineStr">
        <is>
          <t>SPI-00-139372-5</t>
        </is>
      </c>
      <c r="Y932" s="151" t="inlineStr">
        <is>
          <t>0,03</t>
        </is>
      </c>
      <c r="Z932" s="149" t="inlineStr">
        <is>
          <t>0,03</t>
        </is>
      </c>
      <c r="AA932" s="151" t="inlineStr">
        <is>
          <t>grams</t>
        </is>
      </c>
      <c r="AB932" s="151" t="n"/>
      <c r="AC932" s="151" t="n"/>
      <c r="AD932" s="150" t="n">
        <v>0.99855</v>
      </c>
      <c r="AE932" s="149" t="n">
        <v>0.03</v>
      </c>
      <c r="AF932" s="151" t="inlineStr">
        <is>
          <t>grams</t>
        </is>
      </c>
      <c r="AG932" s="151" t="n"/>
      <c r="AH932" s="151" t="n"/>
    </row>
    <row r="933">
      <c r="A933" s="151" t="inlineStr">
        <is>
          <t>FV4006A - Pork tenderloin in sun dried tomato sauce [DKSE]</t>
        </is>
      </c>
      <c r="B933" s="151" t="inlineStr">
        <is>
          <t>REC-014085-4-002</t>
        </is>
      </c>
      <c r="C933" s="151" t="inlineStr">
        <is>
          <t>Pork tenderloin - herb marinade</t>
        </is>
      </c>
      <c r="D933" s="151" t="inlineStr">
        <is>
          <t>SUB-013466-4-001</t>
        </is>
      </c>
      <c r="E933" s="150" t="n">
        <v>140</v>
      </c>
      <c r="F933" s="151" t="inlineStr">
        <is>
          <t>grams</t>
        </is>
      </c>
      <c r="G933" s="151" t="inlineStr">
        <is>
          <t>BLAST CHILLER, GRILL, MARINADE, OVEN, SLICER</t>
        </is>
      </c>
      <c r="H933" s="151" t="inlineStr">
        <is>
          <t>Herb Marinade for Pork Tenderloin</t>
        </is>
      </c>
      <c r="I933" s="151" t="inlineStr">
        <is>
          <t>SUB-031651-4-001</t>
        </is>
      </c>
      <c r="J933" s="150" t="n">
        <v>12</v>
      </c>
      <c r="K933" s="151" t="inlineStr">
        <is>
          <t>grams</t>
        </is>
      </c>
      <c r="L933" s="151" t="inlineStr">
        <is>
          <t>UNCATEGORIZED BOM</t>
        </is>
      </c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inlineStr">
        <is>
          <t>FA-DE Spice, Garlic Granulated /Gewürz, Knoblauch granuliert</t>
        </is>
      </c>
      <c r="X933" s="151" t="inlineStr">
        <is>
          <t>SPI-00-139353-5</t>
        </is>
      </c>
      <c r="Y933" s="151" t="inlineStr">
        <is>
          <t>0,24</t>
        </is>
      </c>
      <c r="Z933" s="149" t="inlineStr">
        <is>
          <t>0,24</t>
        </is>
      </c>
      <c r="AA933" s="151" t="inlineStr">
        <is>
          <t>grams</t>
        </is>
      </c>
      <c r="AB933" s="151" t="n"/>
      <c r="AC933" s="151" t="n"/>
      <c r="AD933" s="150" t="n">
        <v>0.99855</v>
      </c>
      <c r="AE933" s="149" t="n">
        <v>0.24</v>
      </c>
      <c r="AF933" s="151" t="inlineStr">
        <is>
          <t>grams</t>
        </is>
      </c>
      <c r="AG933" s="151" t="n"/>
      <c r="AH933" s="151" t="n"/>
    </row>
    <row r="934">
      <c r="A934" s="151" t="inlineStr">
        <is>
          <t>FV4006A - Pork tenderloin in sun dried tomato sauce [DKSE]</t>
        </is>
      </c>
      <c r="B934" s="151" t="inlineStr">
        <is>
          <t>REC-014085-4-002</t>
        </is>
      </c>
      <c r="C934" s="151" t="inlineStr">
        <is>
          <t>Pork tenderloin - herb marinade</t>
        </is>
      </c>
      <c r="D934" s="151" t="inlineStr">
        <is>
          <t>SUB-013466-4-001</t>
        </is>
      </c>
      <c r="E934" s="150" t="n">
        <v>140</v>
      </c>
      <c r="F934" s="151" t="inlineStr">
        <is>
          <t>grams</t>
        </is>
      </c>
      <c r="G934" s="151" t="inlineStr">
        <is>
          <t>BLAST CHILLER, GRILL, MARINADE, OVEN, SLICER</t>
        </is>
      </c>
      <c r="H934" s="151" t="inlineStr">
        <is>
          <t>Herb Marinade for Pork Tenderloin</t>
        </is>
      </c>
      <c r="I934" s="151" t="inlineStr">
        <is>
          <t>SUB-031651-4-001</t>
        </is>
      </c>
      <c r="J934" s="150" t="n">
        <v>12</v>
      </c>
      <c r="K934" s="151" t="inlineStr">
        <is>
          <t>grams</t>
        </is>
      </c>
      <c r="L934" s="151" t="inlineStr">
        <is>
          <t>UNCATEGORIZED BOM</t>
        </is>
      </c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inlineStr">
        <is>
          <t>FA-DE Spice, Parsley Dried /Gewürze, getrocknete Petersilie</t>
        </is>
      </c>
      <c r="X934" s="151" t="inlineStr">
        <is>
          <t>SPI-00-139374-5</t>
        </is>
      </c>
      <c r="Y934" s="151" t="inlineStr">
        <is>
          <t>0,03</t>
        </is>
      </c>
      <c r="Z934" s="149" t="inlineStr">
        <is>
          <t>0,03</t>
        </is>
      </c>
      <c r="AA934" s="151" t="inlineStr">
        <is>
          <t>grams</t>
        </is>
      </c>
      <c r="AB934" s="151" t="n"/>
      <c r="AC934" s="151" t="n"/>
      <c r="AD934" s="150" t="n">
        <v>0.99855</v>
      </c>
      <c r="AE934" s="149" t="n">
        <v>0.03</v>
      </c>
      <c r="AF934" s="151" t="inlineStr">
        <is>
          <t>grams</t>
        </is>
      </c>
      <c r="AG934" s="151" t="n"/>
      <c r="AH934" s="151" t="n"/>
    </row>
    <row r="935">
      <c r="A935" s="151" t="inlineStr">
        <is>
          <t>FV4006A - Pork tenderloin in sun dried tomato sauce [DKSE]</t>
        </is>
      </c>
      <c r="B935" s="151" t="inlineStr">
        <is>
          <t>REC-014085-4-002</t>
        </is>
      </c>
      <c r="C935" s="151" t="inlineStr">
        <is>
          <t>Pork tenderloin - herb marinade</t>
        </is>
      </c>
      <c r="D935" s="151" t="inlineStr">
        <is>
          <t>SUB-013466-4-001</t>
        </is>
      </c>
      <c r="E935" s="150" t="n">
        <v>140</v>
      </c>
      <c r="F935" s="151" t="inlineStr">
        <is>
          <t>grams</t>
        </is>
      </c>
      <c r="G935" s="151" t="inlineStr">
        <is>
          <t>BLAST CHILLER, GRILL, MARINADE, OVEN, SLICER</t>
        </is>
      </c>
      <c r="H935" s="151" t="inlineStr">
        <is>
          <t>Herb Marinade for Pork Tenderloin</t>
        </is>
      </c>
      <c r="I935" s="151" t="inlineStr">
        <is>
          <t>SUB-031651-4-001</t>
        </is>
      </c>
      <c r="J935" s="150" t="n">
        <v>12</v>
      </c>
      <c r="K935" s="151" t="inlineStr">
        <is>
          <t>grams</t>
        </is>
      </c>
      <c r="L935" s="151" t="inlineStr">
        <is>
          <t>UNCATEGORIZED BOM</t>
        </is>
      </c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inlineStr">
        <is>
          <t>FA-DE Chives, Dried /Schnittlauch, getrocknet</t>
        </is>
      </c>
      <c r="X935" s="151" t="inlineStr">
        <is>
          <t>SPI-00-139322-5</t>
        </is>
      </c>
      <c r="Y935" s="151" t="inlineStr">
        <is>
          <t>0,05</t>
        </is>
      </c>
      <c r="Z935" s="149" t="inlineStr">
        <is>
          <t>0,05</t>
        </is>
      </c>
      <c r="AA935" s="151" t="inlineStr">
        <is>
          <t>grams</t>
        </is>
      </c>
      <c r="AB935" s="151" t="n"/>
      <c r="AC935" s="151" t="n"/>
      <c r="AD935" s="150" t="n">
        <v>0.99855</v>
      </c>
      <c r="AE935" s="149" t="n">
        <v>0.05</v>
      </c>
      <c r="AF935" s="151" t="inlineStr">
        <is>
          <t>grams</t>
        </is>
      </c>
      <c r="AG935" s="151" t="n"/>
      <c r="AH935" s="151" t="n"/>
    </row>
    <row r="936">
      <c r="A936" s="151" t="inlineStr">
        <is>
          <t>FV4006A - Pork tenderloin in sun dried tomato sauce [DKSE]</t>
        </is>
      </c>
      <c r="B936" s="151" t="inlineStr">
        <is>
          <t>REC-014085-4-002</t>
        </is>
      </c>
      <c r="C936" s="151" t="inlineStr">
        <is>
          <t>Pork tenderloin - herb marinade</t>
        </is>
      </c>
      <c r="D936" s="151" t="inlineStr">
        <is>
          <t>SUB-013466-4-001</t>
        </is>
      </c>
      <c r="E936" s="150" t="n">
        <v>140</v>
      </c>
      <c r="F936" s="151" t="inlineStr">
        <is>
          <t>grams</t>
        </is>
      </c>
      <c r="G936" s="151" t="inlineStr">
        <is>
          <t>BLAST CHILLER, GRILL, MARINADE, OVEN, SLICER</t>
        </is>
      </c>
      <c r="H936" s="151" t="inlineStr">
        <is>
          <t>Herb Marinade for Pork Tenderloin</t>
        </is>
      </c>
      <c r="I936" s="151" t="inlineStr">
        <is>
          <t>SUB-031651-4-001</t>
        </is>
      </c>
      <c r="J936" s="150" t="n">
        <v>12</v>
      </c>
      <c r="K936" s="151" t="inlineStr">
        <is>
          <t>grams</t>
        </is>
      </c>
      <c r="L936" s="151" t="inlineStr">
        <is>
          <t>UNCATEGORIZED BOM</t>
        </is>
      </c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inlineStr">
        <is>
          <t>FA-DE Spice, Sea Salt /Gewürze, Meersalz</t>
        </is>
      </c>
      <c r="X936" s="151" t="inlineStr">
        <is>
          <t>SPI-00-139378-5</t>
        </is>
      </c>
      <c r="Y936" s="151" t="inlineStr">
        <is>
          <t>0,27</t>
        </is>
      </c>
      <c r="Z936" s="149" t="inlineStr">
        <is>
          <t>0,27</t>
        </is>
      </c>
      <c r="AA936" s="151" t="inlineStr">
        <is>
          <t>grams</t>
        </is>
      </c>
      <c r="AB936" s="151" t="n"/>
      <c r="AC936" s="151" t="n"/>
      <c r="AD936" s="150" t="n">
        <v>0.99855</v>
      </c>
      <c r="AE936" s="149" t="n">
        <v>0.27</v>
      </c>
      <c r="AF936" s="151" t="inlineStr">
        <is>
          <t>grams</t>
        </is>
      </c>
      <c r="AG936" s="151" t="n"/>
      <c r="AH936" s="151" t="n"/>
    </row>
    <row r="937">
      <c r="A937" s="151" t="inlineStr">
        <is>
          <t>FV4006A - Pork tenderloin in sun dried tomato sauce [DKSE]</t>
        </is>
      </c>
      <c r="B937" s="151" t="inlineStr">
        <is>
          <t>REC-014085-4-002</t>
        </is>
      </c>
      <c r="C937" s="151" t="inlineStr">
        <is>
          <t>Pork tenderloin - herb marinade</t>
        </is>
      </c>
      <c r="D937" s="151" t="inlineStr">
        <is>
          <t>SUB-013466-4-001</t>
        </is>
      </c>
      <c r="E937" s="150" t="n">
        <v>140</v>
      </c>
      <c r="F937" s="151" t="inlineStr">
        <is>
          <t>grams</t>
        </is>
      </c>
      <c r="G937" s="151" t="inlineStr">
        <is>
          <t>BLAST CHILLER, GRILL, MARINADE, OVEN, SLICER</t>
        </is>
      </c>
      <c r="H937" s="151" t="inlineStr">
        <is>
          <t>Herb Marinade for Pork Tenderloin</t>
        </is>
      </c>
      <c r="I937" s="151" t="inlineStr">
        <is>
          <t>SUB-031651-4-001</t>
        </is>
      </c>
      <c r="J937" s="150" t="n">
        <v>12</v>
      </c>
      <c r="K937" s="151" t="inlineStr">
        <is>
          <t>grams</t>
        </is>
      </c>
      <c r="L937" s="151" t="inlineStr">
        <is>
          <t>UNCATEGORIZED BOM</t>
        </is>
      </c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inlineStr">
        <is>
          <t>FA-DE Spice, Onion Granulated /Gewürze, Zwiebeln granuliert</t>
        </is>
      </c>
      <c r="X937" s="151" t="inlineStr">
        <is>
          <t>SPI-00-139370-5</t>
        </is>
      </c>
      <c r="Y937" s="151" t="inlineStr">
        <is>
          <t>0,12</t>
        </is>
      </c>
      <c r="Z937" s="149" t="inlineStr">
        <is>
          <t>0,12</t>
        </is>
      </c>
      <c r="AA937" s="151" t="inlineStr">
        <is>
          <t>grams</t>
        </is>
      </c>
      <c r="AB937" s="151" t="n"/>
      <c r="AC937" s="151" t="n"/>
      <c r="AD937" s="150" t="n">
        <v>0.99855</v>
      </c>
      <c r="AE937" s="149" t="n">
        <v>0.12</v>
      </c>
      <c r="AF937" s="151" t="inlineStr">
        <is>
          <t>grams</t>
        </is>
      </c>
      <c r="AG937" s="151" t="n"/>
      <c r="AH937" s="151" t="n"/>
    </row>
    <row r="938">
      <c r="A938" s="151" t="inlineStr">
        <is>
          <t>FV4006A - Pork tenderloin in sun dried tomato sauce [DKSE]</t>
        </is>
      </c>
      <c r="B938" s="151" t="inlineStr">
        <is>
          <t>REC-014085-4-002</t>
        </is>
      </c>
      <c r="C938" s="151" t="inlineStr">
        <is>
          <t>Pork tenderloin - herb marinade</t>
        </is>
      </c>
      <c r="D938" s="151" t="inlineStr">
        <is>
          <t>SUB-013466-4-001</t>
        </is>
      </c>
      <c r="E938" s="150" t="n">
        <v>140</v>
      </c>
      <c r="F938" s="151" t="inlineStr">
        <is>
          <t>grams</t>
        </is>
      </c>
      <c r="G938" s="151" t="inlineStr">
        <is>
          <t>BLAST CHILLER, GRILL, MARINADE, OVEN, SLICER</t>
        </is>
      </c>
      <c r="H938" s="151" t="inlineStr">
        <is>
          <t>Herb Marinade for Pork Tenderloin</t>
        </is>
      </c>
      <c r="I938" s="151" t="inlineStr">
        <is>
          <t>SUB-031651-4-001</t>
        </is>
      </c>
      <c r="J938" s="150" t="n">
        <v>12</v>
      </c>
      <c r="K938" s="151" t="inlineStr">
        <is>
          <t>grams</t>
        </is>
      </c>
      <c r="L938" s="151" t="inlineStr">
        <is>
          <t>UNCATEGORIZED BOM</t>
        </is>
      </c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inlineStr">
        <is>
          <t>FA-DE Spice, Black Pepper, Ground /Gewürz, schwarzer Pfeffer, gemahlen</t>
        </is>
      </c>
      <c r="X938" s="151" t="inlineStr">
        <is>
          <t>SPI-00-139334-5</t>
        </is>
      </c>
      <c r="Y938" s="151" t="inlineStr">
        <is>
          <t>0,18</t>
        </is>
      </c>
      <c r="Z938" s="149" t="inlineStr">
        <is>
          <t>0,18</t>
        </is>
      </c>
      <c r="AA938" s="151" t="inlineStr">
        <is>
          <t>grams</t>
        </is>
      </c>
      <c r="AB938" s="151" t="n"/>
      <c r="AC938" s="151" t="n"/>
      <c r="AD938" s="150" t="n">
        <v>0.99855</v>
      </c>
      <c r="AE938" s="149" t="n">
        <v>0.18</v>
      </c>
      <c r="AF938" s="151" t="inlineStr">
        <is>
          <t>grams</t>
        </is>
      </c>
      <c r="AG938" s="151" t="n"/>
      <c r="AH938" s="151" t="n"/>
    </row>
    <row r="939">
      <c r="A939" s="151" t="inlineStr">
        <is>
          <t>FV4006A - Pork tenderloin in sun dried tomato sauce [DKSE]</t>
        </is>
      </c>
      <c r="B939" s="151" t="inlineStr">
        <is>
          <t>REC-014085-4-002</t>
        </is>
      </c>
      <c r="C939" s="151" t="inlineStr">
        <is>
          <t>Sauce - Sun-Dried Tomato Sauce - Less Salt</t>
        </is>
      </c>
      <c r="D939" s="151" t="inlineStr">
        <is>
          <t>SUB-013571-4-001</t>
        </is>
      </c>
      <c r="E939" s="150" t="n">
        <v>50</v>
      </c>
      <c r="F939" s="151" t="inlineStr">
        <is>
          <t>grams</t>
        </is>
      </c>
      <c r="G939" s="151" t="inlineStr">
        <is>
          <t>BLAST CHILLER, BRAISER, IMMERSION BLENDER, SPICE PORTIONING</t>
        </is>
      </c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inlineStr">
        <is>
          <t>FA-DE Cheese, Parmesan, Grated /Käse, Parmesan, gerieben</t>
        </is>
      </c>
      <c r="X939" s="151" t="inlineStr">
        <is>
          <t>DAI-00-139127-3</t>
        </is>
      </c>
      <c r="Y939" s="154" t="inlineStr">
        <is>
          <t>5,2</t>
        </is>
      </c>
      <c r="Z939" s="149" t="inlineStr">
        <is>
          <t>5,2</t>
        </is>
      </c>
      <c r="AA939" s="151" t="inlineStr">
        <is>
          <t>grams</t>
        </is>
      </c>
      <c r="AB939" s="151" t="inlineStr">
        <is>
          <t>MILCH (EINSCHLIESSLICH LAKTOSE)</t>
        </is>
      </c>
      <c r="AC939" s="151" t="n"/>
      <c r="AD939" s="150" t="n">
        <v>0.88017</v>
      </c>
      <c r="AE939" s="149" t="n">
        <v>5.2</v>
      </c>
      <c r="AF939" s="151" t="inlineStr">
        <is>
          <t>grams</t>
        </is>
      </c>
      <c r="AG939" s="151" t="n"/>
      <c r="AH939" s="151" t="n"/>
    </row>
    <row r="940">
      <c r="A940" s="151" t="inlineStr">
        <is>
          <t>FV4006A - Pork tenderloin in sun dried tomato sauce [DKSE]</t>
        </is>
      </c>
      <c r="B940" s="151" t="inlineStr">
        <is>
          <t>REC-014085-4-002</t>
        </is>
      </c>
      <c r="C940" s="151" t="inlineStr">
        <is>
          <t>Sauce - Sun-Dried Tomato Sauce - Less Salt</t>
        </is>
      </c>
      <c r="D940" s="151" t="inlineStr">
        <is>
          <t>SUB-013571-4-001</t>
        </is>
      </c>
      <c r="E940" s="150" t="n">
        <v>50</v>
      </c>
      <c r="F940" s="151" t="inlineStr">
        <is>
          <t>grams</t>
        </is>
      </c>
      <c r="G940" s="151" t="inlineStr">
        <is>
          <t>BLAST CHILLER, BRAISER, IMMERSION BLENDER, SPICE PORTIONING</t>
        </is>
      </c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inlineStr">
        <is>
          <t>FA-DE Oil, Olive /Öl, Olivenöl</t>
        </is>
      </c>
      <c r="X940" s="151" t="inlineStr">
        <is>
          <t>PRO-00-139277-5</t>
        </is>
      </c>
      <c r="Y940" s="151" t="inlineStr">
        <is>
          <t>2,96</t>
        </is>
      </c>
      <c r="Z940" s="149" t="inlineStr">
        <is>
          <t>2,96</t>
        </is>
      </c>
      <c r="AA940" s="151" t="inlineStr">
        <is>
          <t>grams</t>
        </is>
      </c>
      <c r="AB940" s="151" t="n"/>
      <c r="AC940" s="151" t="n"/>
      <c r="AD940" s="150" t="n">
        <v>0.88017</v>
      </c>
      <c r="AE940" s="149" t="n">
        <v>2.96</v>
      </c>
      <c r="AF940" s="151" t="inlineStr">
        <is>
          <t>grams</t>
        </is>
      </c>
      <c r="AG940" s="151" t="n"/>
      <c r="AH940" s="151" t="n"/>
    </row>
    <row r="941">
      <c r="A941" s="151" t="inlineStr">
        <is>
          <t>FV4006A - Pork tenderloin in sun dried tomato sauce [DKSE]</t>
        </is>
      </c>
      <c r="B941" s="151" t="inlineStr">
        <is>
          <t>REC-014085-4-002</t>
        </is>
      </c>
      <c r="C941" s="151" t="inlineStr">
        <is>
          <t>Sauce - Sun-Dried Tomato Sauce - Less Salt</t>
        </is>
      </c>
      <c r="D941" s="151" t="inlineStr">
        <is>
          <t>SUB-013571-4-001</t>
        </is>
      </c>
      <c r="E941" s="150" t="n">
        <v>50</v>
      </c>
      <c r="F941" s="151" t="inlineStr">
        <is>
          <t>grams</t>
        </is>
      </c>
      <c r="G941" s="151" t="inlineStr">
        <is>
          <t>BLAST CHILLER, BRAISER, IMMERSION BLENDER, SPICE PORTIONING</t>
        </is>
      </c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inlineStr">
        <is>
          <t>FA-DE Stock, Chicken, Reduced/Brühe, Huhn, Reduziert</t>
        </is>
      </c>
      <c r="X941" s="151" t="inlineStr">
        <is>
          <t>PRO-00-139288-5</t>
        </is>
      </c>
      <c r="Y941" s="151" t="inlineStr">
        <is>
          <t>0,58</t>
        </is>
      </c>
      <c r="Z941" s="149" t="inlineStr">
        <is>
          <t>0,58</t>
        </is>
      </c>
      <c r="AA941" s="151" t="inlineStr">
        <is>
          <t>grams</t>
        </is>
      </c>
      <c r="AB941" s="151" t="n"/>
      <c r="AC941" s="151" t="n"/>
      <c r="AD941" s="150" t="n">
        <v>0.88017</v>
      </c>
      <c r="AE941" s="149" t="n">
        <v>0.58</v>
      </c>
      <c r="AF941" s="151" t="inlineStr">
        <is>
          <t>grams</t>
        </is>
      </c>
      <c r="AG941" s="151" t="n"/>
      <c r="AH941" s="151" t="n"/>
    </row>
    <row r="942">
      <c r="A942" s="151" t="inlineStr">
        <is>
          <t>FV4006A - Pork tenderloin in sun dried tomato sauce [DKSE]</t>
        </is>
      </c>
      <c r="B942" s="151" t="inlineStr">
        <is>
          <t>REC-014085-4-002</t>
        </is>
      </c>
      <c r="C942" s="151" t="inlineStr">
        <is>
          <t>Sauce - Sun-Dried Tomato Sauce - Less Salt</t>
        </is>
      </c>
      <c r="D942" s="151" t="inlineStr">
        <is>
          <t>SUB-013571-4-001</t>
        </is>
      </c>
      <c r="E942" s="150" t="n">
        <v>50</v>
      </c>
      <c r="F942" s="151" t="inlineStr">
        <is>
          <t>grams</t>
        </is>
      </c>
      <c r="G942" s="151" t="inlineStr">
        <is>
          <t>BLAST CHILLER, BRAISER, IMMERSION BLENDER, SPICE PORTIONING</t>
        </is>
      </c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inlineStr">
        <is>
          <t>FA-DE Garlic, IQF, Diced 4 mm /Knoblauch, IQF, gewürfelt 4 mm</t>
        </is>
      </c>
      <c r="X942" s="151" t="inlineStr">
        <is>
          <t>PHF-00-139237-1</t>
        </is>
      </c>
      <c r="Y942" s="153" t="inlineStr">
        <is>
          <t>1,18</t>
        </is>
      </c>
      <c r="Z942" s="149" t="inlineStr">
        <is>
          <t>1,18</t>
        </is>
      </c>
      <c r="AA942" s="151" t="inlineStr">
        <is>
          <t>grams</t>
        </is>
      </c>
      <c r="AB942" s="151" t="inlineStr">
        <is>
          <t>SCHWEFELDIOXIDE UND SULFITE</t>
        </is>
      </c>
      <c r="AC942" s="151" t="n"/>
      <c r="AD942" s="150" t="n">
        <v>0.88017</v>
      </c>
      <c r="AE942" s="149" t="n">
        <v>1.18</v>
      </c>
      <c r="AF942" s="151" t="inlineStr">
        <is>
          <t>grams</t>
        </is>
      </c>
      <c r="AG942" s="151" t="n"/>
      <c r="AH942" s="151" t="n"/>
    </row>
    <row r="943">
      <c r="A943" s="151" t="inlineStr">
        <is>
          <t>FV4006A - Pork tenderloin in sun dried tomato sauce [DKSE]</t>
        </is>
      </c>
      <c r="B943" s="151" t="inlineStr">
        <is>
          <t>REC-014085-4-002</t>
        </is>
      </c>
      <c r="C943" s="151" t="inlineStr">
        <is>
          <t>Sauce - Sun-Dried Tomato Sauce - Less Salt</t>
        </is>
      </c>
      <c r="D943" s="151" t="inlineStr">
        <is>
          <t>SUB-013571-4-001</t>
        </is>
      </c>
      <c r="E943" s="150" t="n">
        <v>50</v>
      </c>
      <c r="F943" s="151" t="inlineStr">
        <is>
          <t>grams</t>
        </is>
      </c>
      <c r="G943" s="151" t="inlineStr">
        <is>
          <t>BLAST CHILLER, BRAISER, IMMERSION BLENDER, SPICE PORTIONING</t>
        </is>
      </c>
      <c r="H943" s="151" t="inlineStr">
        <is>
          <t>Hydrated Sun-Dried Tomatoes</t>
        </is>
      </c>
      <c r="I943" s="151" t="inlineStr">
        <is>
          <t>SUB-013501-4-001</t>
        </is>
      </c>
      <c r="J943" s="150" t="n">
        <v>5.19</v>
      </c>
      <c r="K943" s="151" t="inlineStr">
        <is>
          <t>grams</t>
        </is>
      </c>
      <c r="L943" s="151" t="inlineStr">
        <is>
          <t>BRAISER</t>
        </is>
      </c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inlineStr">
        <is>
          <t>FA-DE Tomatoes, Sun - Dried Julienned /Tomaten, sonnengetrocknete Julienne</t>
        </is>
      </c>
      <c r="X943" s="151" t="inlineStr">
        <is>
          <t>PRO-00-139296-5</t>
        </is>
      </c>
      <c r="Y943" s="151" t="inlineStr">
        <is>
          <t>2,88</t>
        </is>
      </c>
      <c r="Z943" s="149" t="inlineStr">
        <is>
          <t>2,88</t>
        </is>
      </c>
      <c r="AA943" s="151" t="inlineStr">
        <is>
          <t>grams</t>
        </is>
      </c>
      <c r="AB943" s="151" t="n"/>
      <c r="AC943" s="151" t="n"/>
      <c r="AD943" s="150" t="n">
        <v>0.90001</v>
      </c>
      <c r="AE943" s="149" t="n">
        <v>2.88</v>
      </c>
      <c r="AF943" s="151" t="inlineStr">
        <is>
          <t>grams</t>
        </is>
      </c>
      <c r="AG943" s="151" t="n"/>
      <c r="AH943" s="151" t="n"/>
    </row>
    <row r="944">
      <c r="A944" s="151" t="inlineStr">
        <is>
          <t>FV4006A - Pork tenderloin in sun dried tomato sauce [DKSE]</t>
        </is>
      </c>
      <c r="B944" s="151" t="inlineStr">
        <is>
          <t>REC-014085-4-002</t>
        </is>
      </c>
      <c r="C944" s="151" t="inlineStr">
        <is>
          <t>Sauce - Sun-Dried Tomato Sauce - Less Salt</t>
        </is>
      </c>
      <c r="D944" s="151" t="inlineStr">
        <is>
          <t>SUB-013571-4-001</t>
        </is>
      </c>
      <c r="E944" s="150" t="n">
        <v>50</v>
      </c>
      <c r="F944" s="151" t="inlineStr">
        <is>
          <t>grams</t>
        </is>
      </c>
      <c r="G944" s="151" t="inlineStr">
        <is>
          <t>BLAST CHILLER, BRAISER, IMMERSION BLENDER, SPICE PORTIONING</t>
        </is>
      </c>
      <c r="H944" s="151" t="inlineStr">
        <is>
          <t>Hydrated Sun-Dried Tomatoes</t>
        </is>
      </c>
      <c r="I944" s="151" t="inlineStr">
        <is>
          <t>SUB-013501-4-001</t>
        </is>
      </c>
      <c r="J944" s="150" t="n">
        <v>5.19</v>
      </c>
      <c r="K944" s="151" t="inlineStr">
        <is>
          <t>grams</t>
        </is>
      </c>
      <c r="L944" s="151" t="inlineStr">
        <is>
          <t>BRAISER</t>
        </is>
      </c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inlineStr">
        <is>
          <t>FA-DE Water / Wasser</t>
        </is>
      </c>
      <c r="X944" s="151" t="inlineStr">
        <is>
          <t>OTH-00-144038-5</t>
        </is>
      </c>
      <c r="Y944" s="151" t="inlineStr">
        <is>
          <t>2,88</t>
        </is>
      </c>
      <c r="Z944" s="149" t="inlineStr">
        <is>
          <t>2,88</t>
        </is>
      </c>
      <c r="AA944" s="151" t="inlineStr">
        <is>
          <t>grams</t>
        </is>
      </c>
      <c r="AB944" s="151" t="n"/>
      <c r="AC944" s="151" t="n"/>
      <c r="AD944" s="150" t="n">
        <v>0.90001</v>
      </c>
      <c r="AE944" s="149" t="n">
        <v>2.88</v>
      </c>
      <c r="AF944" s="151" t="inlineStr">
        <is>
          <t>grams</t>
        </is>
      </c>
      <c r="AG944" s="151" t="n"/>
      <c r="AH944" s="151" t="n"/>
    </row>
    <row r="945">
      <c r="A945" s="151" t="inlineStr">
        <is>
          <t>FV4006A - Pork tenderloin in sun dried tomato sauce [DKSE]</t>
        </is>
      </c>
      <c r="B945" s="151" t="inlineStr">
        <is>
          <t>REC-014085-4-002</t>
        </is>
      </c>
      <c r="C945" s="151" t="inlineStr">
        <is>
          <t>Sauce - Sun-Dried Tomato Sauce - Less Salt</t>
        </is>
      </c>
      <c r="D945" s="151" t="inlineStr">
        <is>
          <t>SUB-013571-4-001</t>
        </is>
      </c>
      <c r="E945" s="150" t="n">
        <v>50</v>
      </c>
      <c r="F945" s="151" t="inlineStr">
        <is>
          <t>grams</t>
        </is>
      </c>
      <c r="G945" s="151" t="inlineStr">
        <is>
          <t>BLAST CHILLER, BRAISER, IMMERSION BLENDER, SPICE PORTIONING</t>
        </is>
      </c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inlineStr">
        <is>
          <t>FA-DE Spinach, Fresh, Stem Off /Spinat, frisch, ohne Stiel</t>
        </is>
      </c>
      <c r="X945" s="151" t="inlineStr">
        <is>
          <t>PHF-00-139225-3</t>
        </is>
      </c>
      <c r="Y945" s="153" t="inlineStr">
        <is>
          <t>4,16</t>
        </is>
      </c>
      <c r="Z945" s="149" t="inlineStr">
        <is>
          <t>4,16</t>
        </is>
      </c>
      <c r="AA945" s="151" t="inlineStr">
        <is>
          <t>grams</t>
        </is>
      </c>
      <c r="AB945" s="151" t="n"/>
      <c r="AC945" s="151" t="n"/>
      <c r="AD945" s="150" t="n">
        <v>0.88017</v>
      </c>
      <c r="AE945" s="149" t="n">
        <v>4.16</v>
      </c>
      <c r="AF945" s="151" t="inlineStr">
        <is>
          <t>grams</t>
        </is>
      </c>
      <c r="AG945" s="151" t="n"/>
      <c r="AH945" s="151" t="n"/>
    </row>
    <row r="946">
      <c r="A946" s="151" t="inlineStr">
        <is>
          <t>FV4006A - Pork tenderloin in sun dried tomato sauce [DKSE]</t>
        </is>
      </c>
      <c r="B946" s="151" t="inlineStr">
        <is>
          <t>REC-014085-4-002</t>
        </is>
      </c>
      <c r="C946" s="151" t="inlineStr">
        <is>
          <t>Sauce - Sun-Dried Tomato Sauce - Less Salt</t>
        </is>
      </c>
      <c r="D946" s="151" t="inlineStr">
        <is>
          <t>SUB-013571-4-001</t>
        </is>
      </c>
      <c r="E946" s="150" t="n">
        <v>50</v>
      </c>
      <c r="F946" s="151" t="inlineStr">
        <is>
          <t>grams</t>
        </is>
      </c>
      <c r="G946" s="151" t="inlineStr">
        <is>
          <t>BLAST CHILLER, BRAISER, IMMERSION BLENDER, SPICE PORTIONING</t>
        </is>
      </c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inlineStr">
        <is>
          <t>FA-DE Spice, Sea Salt /Gewürze, Meersalz</t>
        </is>
      </c>
      <c r="X946" s="151" t="inlineStr">
        <is>
          <t>SPI-00-139378-5</t>
        </is>
      </c>
      <c r="Y946" s="151" t="inlineStr">
        <is>
          <t>0,03</t>
        </is>
      </c>
      <c r="Z946" s="149" t="inlineStr">
        <is>
          <t>0,03</t>
        </is>
      </c>
      <c r="AA946" s="151" t="inlineStr">
        <is>
          <t>grams</t>
        </is>
      </c>
      <c r="AB946" s="151" t="n"/>
      <c r="AC946" s="151" t="n"/>
      <c r="AD946" s="150" t="n">
        <v>0.88017</v>
      </c>
      <c r="AE946" s="149" t="n">
        <v>0.03</v>
      </c>
      <c r="AF946" s="151" t="inlineStr">
        <is>
          <t>grams</t>
        </is>
      </c>
      <c r="AG946" s="151" t="n"/>
      <c r="AH946" s="151" t="n"/>
    </row>
    <row r="947">
      <c r="A947" s="151" t="inlineStr">
        <is>
          <t>FV4006A - Pork tenderloin in sun dried tomato sauce [DKSE]</t>
        </is>
      </c>
      <c r="B947" s="151" t="inlineStr">
        <is>
          <t>REC-014085-4-002</t>
        </is>
      </c>
      <c r="C947" s="151" t="inlineStr">
        <is>
          <t>Sauce - Sun-Dried Tomato Sauce - Less Salt</t>
        </is>
      </c>
      <c r="D947" s="151" t="inlineStr">
        <is>
          <t>SUB-013571-4-001</t>
        </is>
      </c>
      <c r="E947" s="150" t="n">
        <v>50</v>
      </c>
      <c r="F947" s="151" t="inlineStr">
        <is>
          <t>grams</t>
        </is>
      </c>
      <c r="G947" s="151" t="inlineStr">
        <is>
          <t>BLAST CHILLER, BRAISER, IMMERSION BLENDER, SPICE PORTIONING</t>
        </is>
      </c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inlineStr">
        <is>
          <t>FA-DE Onion, Spanish, Diced 5mm /Zwiebel, Spanisch, gewürfelt 5 mm</t>
        </is>
      </c>
      <c r="X947" s="151" t="inlineStr">
        <is>
          <t>PHF-00-139212-3</t>
        </is>
      </c>
      <c r="Y947" s="154" t="inlineStr">
        <is>
          <t>5,2</t>
        </is>
      </c>
      <c r="Z947" s="149" t="inlineStr">
        <is>
          <t>5,2</t>
        </is>
      </c>
      <c r="AA947" s="151" t="inlineStr">
        <is>
          <t>grams</t>
        </is>
      </c>
      <c r="AB947" s="151" t="n"/>
      <c r="AC947" s="151" t="n"/>
      <c r="AD947" s="150" t="n">
        <v>0.88017</v>
      </c>
      <c r="AE947" s="149" t="n">
        <v>5.2</v>
      </c>
      <c r="AF947" s="151" t="inlineStr">
        <is>
          <t>grams</t>
        </is>
      </c>
      <c r="AG947" s="151" t="n"/>
      <c r="AH947" s="151" t="n"/>
    </row>
    <row r="948">
      <c r="A948" s="151" t="inlineStr">
        <is>
          <t>FV4006A - Pork tenderloin in sun dried tomato sauce [DKSE]</t>
        </is>
      </c>
      <c r="B948" s="151" t="inlineStr">
        <is>
          <t>REC-014085-4-002</t>
        </is>
      </c>
      <c r="C948" s="151" t="inlineStr">
        <is>
          <t>Sauce - Sun-Dried Tomato Sauce - Less Salt</t>
        </is>
      </c>
      <c r="D948" s="151" t="inlineStr">
        <is>
          <t>SUB-013571-4-001</t>
        </is>
      </c>
      <c r="E948" s="150" t="n">
        <v>50</v>
      </c>
      <c r="F948" s="151" t="inlineStr">
        <is>
          <t>grams</t>
        </is>
      </c>
      <c r="G948" s="151" t="inlineStr">
        <is>
          <t>BLAST CHILLER, BRAISER, IMMERSION BLENDER, SPICE PORTIONING</t>
        </is>
      </c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inlineStr">
        <is>
          <t>FA-DE Heavy Cream 20% /Sahne 20%</t>
        </is>
      </c>
      <c r="X948" s="151" t="inlineStr">
        <is>
          <t>DAI-00-139137-3</t>
        </is>
      </c>
      <c r="Y948" s="151" t="inlineStr">
        <is>
          <t>32,32</t>
        </is>
      </c>
      <c r="Z948" s="149" t="inlineStr">
        <is>
          <t>32,32</t>
        </is>
      </c>
      <c r="AA948" s="151" t="inlineStr">
        <is>
          <t>grams</t>
        </is>
      </c>
      <c r="AB948" s="151" t="inlineStr">
        <is>
          <t>MILCH (EINSCHLIESSLICH LAKTOSE)</t>
        </is>
      </c>
      <c r="AC948" s="151" t="n"/>
      <c r="AD948" s="150" t="n">
        <v>0.88017</v>
      </c>
      <c r="AE948" s="149" t="n">
        <v>32.32</v>
      </c>
      <c r="AF948" s="151" t="inlineStr">
        <is>
          <t>grams</t>
        </is>
      </c>
      <c r="AG948" s="151" t="n"/>
      <c r="AH948" s="151" t="n"/>
    </row>
    <row r="949">
      <c r="A949" s="151" t="inlineStr">
        <is>
          <t>FV4006A - Pork tenderloin in sun dried tomato sauce [DKSE]</t>
        </is>
      </c>
      <c r="B949" s="151" t="inlineStr">
        <is>
          <t>REC-014085-4-002</t>
        </is>
      </c>
      <c r="C949" s="151" t="inlineStr">
        <is>
          <t>Broccoli - Roasted S&amp;P</t>
        </is>
      </c>
      <c r="D949" s="151" t="inlineStr">
        <is>
          <t>SUB-016200-4-001</t>
        </is>
      </c>
      <c r="E949" s="150" t="n">
        <v>50</v>
      </c>
      <c r="F949" s="151" t="inlineStr">
        <is>
          <t>grams</t>
        </is>
      </c>
      <c r="G949" s="151" t="inlineStr">
        <is>
          <t>BLAST CHILLER, OVEN</t>
        </is>
      </c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inlineStr">
        <is>
          <t>FA-DE Spice, Black Pepper, Ground /Gewürz, schwarzer Pfeffer, gemahlen</t>
        </is>
      </c>
      <c r="X949" s="151" t="inlineStr">
        <is>
          <t>SPI-00-139334-5</t>
        </is>
      </c>
      <c r="Y949" s="151" t="inlineStr">
        <is>
          <t>0,2</t>
        </is>
      </c>
      <c r="Z949" s="149" t="inlineStr">
        <is>
          <t>0,2</t>
        </is>
      </c>
      <c r="AA949" s="151" t="inlineStr">
        <is>
          <t>grams</t>
        </is>
      </c>
      <c r="AB949" s="151" t="n"/>
      <c r="AC949" s="151" t="n"/>
      <c r="AD949" s="150" t="n">
        <v>0.8136</v>
      </c>
      <c r="AE949" s="149" t="n">
        <v>0.2</v>
      </c>
      <c r="AF949" s="151" t="inlineStr">
        <is>
          <t>grams</t>
        </is>
      </c>
      <c r="AG949" s="151" t="n"/>
      <c r="AH949" s="151" t="n"/>
    </row>
    <row r="950">
      <c r="A950" s="151" t="inlineStr">
        <is>
          <t>FV4006A - Pork tenderloin in sun dried tomato sauce [DKSE]</t>
        </is>
      </c>
      <c r="B950" s="151" t="inlineStr">
        <is>
          <t>REC-014085-4-002</t>
        </is>
      </c>
      <c r="C950" s="151" t="inlineStr">
        <is>
          <t>Broccoli - Roasted S&amp;P</t>
        </is>
      </c>
      <c r="D950" s="151" t="inlineStr">
        <is>
          <t>SUB-016200-4-001</t>
        </is>
      </c>
      <c r="E950" s="150" t="n">
        <v>50</v>
      </c>
      <c r="F950" s="151" t="inlineStr">
        <is>
          <t>grams</t>
        </is>
      </c>
      <c r="G950" s="151" t="inlineStr">
        <is>
          <t>BLAST CHILLER, OVEN</t>
        </is>
      </c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inlineStr">
        <is>
          <t>FA-DE Spice, Garlic Powder, Toasted /Gewürz, Knoblauchpulver, geröstet</t>
        </is>
      </c>
      <c r="X950" s="151" t="inlineStr">
        <is>
          <t>SPI-00-139354-5</t>
        </is>
      </c>
      <c r="Y950" s="151" t="inlineStr">
        <is>
          <t>0,16</t>
        </is>
      </c>
      <c r="Z950" s="149" t="inlineStr">
        <is>
          <t>0,16</t>
        </is>
      </c>
      <c r="AA950" s="151" t="inlineStr">
        <is>
          <t>grams</t>
        </is>
      </c>
      <c r="AB950" s="151" t="n"/>
      <c r="AC950" s="151" t="n"/>
      <c r="AD950" s="150" t="n">
        <v>0.8136</v>
      </c>
      <c r="AE950" s="149" t="n">
        <v>0.16</v>
      </c>
      <c r="AF950" s="151" t="inlineStr">
        <is>
          <t>grams</t>
        </is>
      </c>
      <c r="AG950" s="151" t="n"/>
      <c r="AH950" s="151" t="n"/>
    </row>
    <row r="951">
      <c r="A951" s="151" t="inlineStr">
        <is>
          <t>FV4006A - Pork tenderloin in sun dried tomato sauce [DKSE]</t>
        </is>
      </c>
      <c r="B951" s="151" t="inlineStr">
        <is>
          <t>REC-014085-4-002</t>
        </is>
      </c>
      <c r="C951" s="151" t="inlineStr">
        <is>
          <t>Broccoli - Roasted S&amp;P</t>
        </is>
      </c>
      <c r="D951" s="151" t="inlineStr">
        <is>
          <t>SUB-016200-4-001</t>
        </is>
      </c>
      <c r="E951" s="150" t="n">
        <v>50</v>
      </c>
      <c r="F951" s="151" t="inlineStr">
        <is>
          <t>grams</t>
        </is>
      </c>
      <c r="G951" s="151" t="inlineStr">
        <is>
          <t>BLAST CHILLER, OVEN</t>
        </is>
      </c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inlineStr">
        <is>
          <t>FA-DE Broccoli, Florets, /Brokkoli, Röschen</t>
        </is>
      </c>
      <c r="X951" s="151" t="inlineStr">
        <is>
          <t>PHF-00-143425-3</t>
        </is>
      </c>
      <c r="Y951" s="151" t="inlineStr">
        <is>
          <t>56,75</t>
        </is>
      </c>
      <c r="Z951" s="149" t="inlineStr">
        <is>
          <t>56,75</t>
        </is>
      </c>
      <c r="AA951" s="151" t="inlineStr">
        <is>
          <t>grams</t>
        </is>
      </c>
      <c r="AB951" s="151" t="n"/>
      <c r="AC951" s="151" t="n"/>
      <c r="AD951" s="150" t="n">
        <v>0.8136</v>
      </c>
      <c r="AE951" s="149" t="n">
        <v>56.75</v>
      </c>
      <c r="AF951" s="151" t="inlineStr">
        <is>
          <t>grams</t>
        </is>
      </c>
      <c r="AG951" s="151" t="n"/>
      <c r="AH951" s="151" t="n"/>
    </row>
    <row r="952">
      <c r="A952" s="151" t="inlineStr">
        <is>
          <t>FV4006A - Pork tenderloin in sun dried tomato sauce [DKSE]</t>
        </is>
      </c>
      <c r="B952" s="151" t="inlineStr">
        <is>
          <t>REC-014085-4-002</t>
        </is>
      </c>
      <c r="C952" s="151" t="inlineStr">
        <is>
          <t>Broccoli - Roasted S&amp;P</t>
        </is>
      </c>
      <c r="D952" s="151" t="inlineStr">
        <is>
          <t>SUB-016200-4-001</t>
        </is>
      </c>
      <c r="E952" s="150" t="n">
        <v>50</v>
      </c>
      <c r="F952" s="151" t="inlineStr">
        <is>
          <t>grams</t>
        </is>
      </c>
      <c r="G952" s="151" t="inlineStr">
        <is>
          <t>BLAST CHILLER, OVEN</t>
        </is>
      </c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inlineStr">
        <is>
          <t>FA-DE Oil, Olive /Öl, Olivenöl</t>
        </is>
      </c>
      <c r="X952" s="151" t="inlineStr">
        <is>
          <t>PRO-00-139277-5</t>
        </is>
      </c>
      <c r="Y952" s="154" t="inlineStr">
        <is>
          <t>4,1</t>
        </is>
      </c>
      <c r="Z952" s="149" t="inlineStr">
        <is>
          <t>4,1</t>
        </is>
      </c>
      <c r="AA952" s="151" t="inlineStr">
        <is>
          <t>grams</t>
        </is>
      </c>
      <c r="AB952" s="151" t="n"/>
      <c r="AC952" s="151" t="n"/>
      <c r="AD952" s="150" t="n">
        <v>0.8136</v>
      </c>
      <c r="AE952" s="149" t="n">
        <v>4.1</v>
      </c>
      <c r="AF952" s="151" t="inlineStr">
        <is>
          <t>grams</t>
        </is>
      </c>
      <c r="AG952" s="151" t="n"/>
      <c r="AH952" s="151" t="n"/>
    </row>
    <row r="953">
      <c r="A953" s="151" t="inlineStr">
        <is>
          <t>FV4006A - Pork tenderloin in sun dried tomato sauce [DKSE]</t>
        </is>
      </c>
      <c r="B953" s="151" t="inlineStr">
        <is>
          <t>REC-014085-4-002</t>
        </is>
      </c>
      <c r="C953" s="151" t="inlineStr">
        <is>
          <t>Broccoli - Roasted S&amp;P</t>
        </is>
      </c>
      <c r="D953" s="151" t="inlineStr">
        <is>
          <t>SUB-016200-4-001</t>
        </is>
      </c>
      <c r="E953" s="150" t="n">
        <v>50</v>
      </c>
      <c r="F953" s="151" t="inlineStr">
        <is>
          <t>grams</t>
        </is>
      </c>
      <c r="G953" s="151" t="inlineStr">
        <is>
          <t>BLAST CHILLER, OVEN</t>
        </is>
      </c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inlineStr">
        <is>
          <t>FA-DE Spice, Sea Salt /Gewürze, Meersalz</t>
        </is>
      </c>
      <c r="X953" s="151" t="inlineStr">
        <is>
          <t>SPI-00-139378-5</t>
        </is>
      </c>
      <c r="Y953" s="151" t="inlineStr">
        <is>
          <t>0,24</t>
        </is>
      </c>
      <c r="Z953" s="149" t="inlineStr">
        <is>
          <t>0,24</t>
        </is>
      </c>
      <c r="AA953" s="151" t="inlineStr">
        <is>
          <t>grams</t>
        </is>
      </c>
      <c r="AB953" s="151" t="n"/>
      <c r="AC953" s="151" t="n"/>
      <c r="AD953" s="150" t="n">
        <v>0.8136</v>
      </c>
      <c r="AE953" s="149" t="n">
        <v>0.24</v>
      </c>
      <c r="AF953" s="151" t="inlineStr">
        <is>
          <t>grams</t>
        </is>
      </c>
      <c r="AG953" s="151" t="n"/>
      <c r="AH953" s="151" t="n"/>
    </row>
    <row r="954">
      <c r="A954" s="151" t="inlineStr">
        <is>
          <t>FV4006A - Pork tenderloin in sun dried tomato sauce [DKSE]</t>
        </is>
      </c>
      <c r="B954" s="151" t="inlineStr">
        <is>
          <t>REC-014085-4-002</t>
        </is>
      </c>
      <c r="C954" s="151" t="inlineStr">
        <is>
          <t>Cauliflower - Roasted S&amp;P</t>
        </is>
      </c>
      <c r="D954" s="151" t="inlineStr">
        <is>
          <t>SUB-016201-4-001</t>
        </is>
      </c>
      <c r="E954" s="150" t="n">
        <v>50</v>
      </c>
      <c r="F954" s="151" t="inlineStr">
        <is>
          <t>grams</t>
        </is>
      </c>
      <c r="G954" s="151" t="inlineStr">
        <is>
          <t>BLAST CHILLER, OVEN</t>
        </is>
      </c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inlineStr">
        <is>
          <t>FA-DE Cauliflower, Florets /Blumenkohl, Röschen</t>
        </is>
      </c>
      <c r="X954" s="151" t="inlineStr">
        <is>
          <t>PHF-00-143426-3</t>
        </is>
      </c>
      <c r="Y954" s="151" t="inlineStr">
        <is>
          <t>57,97</t>
        </is>
      </c>
      <c r="Z954" s="149" t="inlineStr">
        <is>
          <t>57,97</t>
        </is>
      </c>
      <c r="AA954" s="151" t="inlineStr">
        <is>
          <t>grams</t>
        </is>
      </c>
      <c r="AB954" s="151" t="n"/>
      <c r="AC954" s="151" t="n"/>
      <c r="AD954" s="150" t="n">
        <v>0.81858</v>
      </c>
      <c r="AE954" s="149" t="n">
        <v>57.97</v>
      </c>
      <c r="AF954" s="151" t="inlineStr">
        <is>
          <t>grams</t>
        </is>
      </c>
      <c r="AG954" s="151" t="n"/>
      <c r="AH954" s="151" t="n"/>
    </row>
    <row r="955">
      <c r="A955" s="151" t="inlineStr">
        <is>
          <t>FV4006A - Pork tenderloin in sun dried tomato sauce [DKSE]</t>
        </is>
      </c>
      <c r="B955" s="151" t="inlineStr">
        <is>
          <t>REC-014085-4-002</t>
        </is>
      </c>
      <c r="C955" s="151" t="inlineStr">
        <is>
          <t>Cauliflower - Roasted S&amp;P</t>
        </is>
      </c>
      <c r="D955" s="151" t="inlineStr">
        <is>
          <t>SUB-016201-4-001</t>
        </is>
      </c>
      <c r="E955" s="150" t="n">
        <v>50</v>
      </c>
      <c r="F955" s="151" t="inlineStr">
        <is>
          <t>grams</t>
        </is>
      </c>
      <c r="G955" s="151" t="inlineStr">
        <is>
          <t>BLAST CHILLER, OVEN</t>
        </is>
      </c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inlineStr">
        <is>
          <t>FA-DE Spice, Sea Salt /Gewürze, Meersalz</t>
        </is>
      </c>
      <c r="X955" s="151" t="inlineStr">
        <is>
          <t>SPI-00-139378-5</t>
        </is>
      </c>
      <c r="Y955" s="151" t="inlineStr">
        <is>
          <t>0,23</t>
        </is>
      </c>
      <c r="Z955" s="149" t="inlineStr">
        <is>
          <t>0,23</t>
        </is>
      </c>
      <c r="AA955" s="151" t="inlineStr">
        <is>
          <t>grams</t>
        </is>
      </c>
      <c r="AB955" s="151" t="n"/>
      <c r="AC955" s="151" t="n"/>
      <c r="AD955" s="150" t="n">
        <v>0.81858</v>
      </c>
      <c r="AE955" s="149" t="n">
        <v>0.23</v>
      </c>
      <c r="AF955" s="151" t="inlineStr">
        <is>
          <t>grams</t>
        </is>
      </c>
      <c r="AG955" s="151" t="n"/>
      <c r="AH955" s="151" t="n"/>
    </row>
    <row r="956">
      <c r="A956" s="151" t="inlineStr">
        <is>
          <t>FV4006A - Pork tenderloin in sun dried tomato sauce [DKSE]</t>
        </is>
      </c>
      <c r="B956" s="151" t="inlineStr">
        <is>
          <t>REC-014085-4-002</t>
        </is>
      </c>
      <c r="C956" s="151" t="inlineStr">
        <is>
          <t>Cauliflower - Roasted S&amp;P</t>
        </is>
      </c>
      <c r="D956" s="151" t="inlineStr">
        <is>
          <t>SUB-016201-4-001</t>
        </is>
      </c>
      <c r="E956" s="150" t="n">
        <v>50</v>
      </c>
      <c r="F956" s="151" t="inlineStr">
        <is>
          <t>grams</t>
        </is>
      </c>
      <c r="G956" s="151" t="inlineStr">
        <is>
          <t>BLAST CHILLER, OVEN</t>
        </is>
      </c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inlineStr">
        <is>
          <t>FA-DE Spice, Black Pepper, Ground /Gewürz, schwarzer Pfeffer, gemahlen</t>
        </is>
      </c>
      <c r="X956" s="151" t="inlineStr">
        <is>
          <t>SPI-00-139334-5</t>
        </is>
      </c>
      <c r="Y956" s="151" t="inlineStr">
        <is>
          <t>0,14</t>
        </is>
      </c>
      <c r="Z956" s="149" t="inlineStr">
        <is>
          <t>0,14</t>
        </is>
      </c>
      <c r="AA956" s="151" t="inlineStr">
        <is>
          <t>grams</t>
        </is>
      </c>
      <c r="AB956" s="151" t="n"/>
      <c r="AC956" s="151" t="n"/>
      <c r="AD956" s="150" t="n">
        <v>0.81858</v>
      </c>
      <c r="AE956" s="149" t="n">
        <v>0.14</v>
      </c>
      <c r="AF956" s="151" t="inlineStr">
        <is>
          <t>grams</t>
        </is>
      </c>
      <c r="AG956" s="151" t="n"/>
      <c r="AH956" s="151" t="n"/>
    </row>
    <row r="957">
      <c r="A957" s="151" t="inlineStr">
        <is>
          <t>FV4006A - Pork tenderloin in sun dried tomato sauce [DKSE]</t>
        </is>
      </c>
      <c r="B957" s="151" t="inlineStr">
        <is>
          <t>REC-014085-4-002</t>
        </is>
      </c>
      <c r="C957" s="151" t="inlineStr">
        <is>
          <t>Cauliflower - Roasted S&amp;P</t>
        </is>
      </c>
      <c r="D957" s="151" t="inlineStr">
        <is>
          <t>SUB-016201-4-001</t>
        </is>
      </c>
      <c r="E957" s="150" t="n">
        <v>50</v>
      </c>
      <c r="F957" s="151" t="inlineStr">
        <is>
          <t>grams</t>
        </is>
      </c>
      <c r="G957" s="151" t="inlineStr">
        <is>
          <t>BLAST CHILLER, OVEN</t>
        </is>
      </c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inlineStr">
        <is>
          <t>FA-DE Oil, Olive /Öl, Olivenöl</t>
        </is>
      </c>
      <c r="X957" s="151" t="inlineStr">
        <is>
          <t>PRO-00-139277-5</t>
        </is>
      </c>
      <c r="Y957" s="151" t="inlineStr">
        <is>
          <t>2,75</t>
        </is>
      </c>
      <c r="Z957" s="149" t="inlineStr">
        <is>
          <t>2,75</t>
        </is>
      </c>
      <c r="AA957" s="151" t="inlineStr">
        <is>
          <t>grams</t>
        </is>
      </c>
      <c r="AB957" s="151" t="n"/>
      <c r="AC957" s="151" t="n"/>
      <c r="AD957" s="150" t="n">
        <v>0.81858</v>
      </c>
      <c r="AE957" s="149" t="n">
        <v>2.75</v>
      </c>
      <c r="AF957" s="151" t="inlineStr">
        <is>
          <t>grams</t>
        </is>
      </c>
      <c r="AG957" s="151" t="n"/>
      <c r="AH957" s="151" t="n"/>
    </row>
    <row r="958">
      <c r="A958" s="151" t="inlineStr">
        <is>
          <t>FV4006A - Pork tenderloin in sun dried tomato sauce [DKSE]</t>
        </is>
      </c>
      <c r="B958" s="151" t="inlineStr">
        <is>
          <t>REC-014085-4-002</t>
        </is>
      </c>
      <c r="C958" s="151" t="inlineStr">
        <is>
          <t>Compound butter - Parmesan-Chive</t>
        </is>
      </c>
      <c r="D958" s="151" t="inlineStr">
        <is>
          <t>SUB-013536-4-001</t>
        </is>
      </c>
      <c r="E958" s="150" t="n">
        <v>10</v>
      </c>
      <c r="F958" s="151" t="inlineStr">
        <is>
          <t>grams</t>
        </is>
      </c>
      <c r="G958" s="151" t="inlineStr">
        <is>
          <t>BLAST CHILLER, PLANETARY MIXER, SCOOPER (BUTTER)</t>
        </is>
      </c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inlineStr">
        <is>
          <t>FA-DE Spice, Parsley Dried /Gewürze, getrocknete Petersilie</t>
        </is>
      </c>
      <c r="X958" s="151" t="inlineStr">
        <is>
          <t>SPI-00-139374-5</t>
        </is>
      </c>
      <c r="Y958" s="151" t="inlineStr">
        <is>
          <t>0,1</t>
        </is>
      </c>
      <c r="Z958" s="149" t="inlineStr">
        <is>
          <t>0,1</t>
        </is>
      </c>
      <c r="AA958" s="151" t="inlineStr">
        <is>
          <t>grams</t>
        </is>
      </c>
      <c r="AB958" s="151" t="n"/>
      <c r="AC958" s="151" t="n"/>
      <c r="AD958" s="150" t="n">
        <v>0.97999</v>
      </c>
      <c r="AE958" s="149" t="n">
        <v>0.1</v>
      </c>
      <c r="AF958" s="151" t="inlineStr">
        <is>
          <t>grams</t>
        </is>
      </c>
      <c r="AG958" s="151" t="n"/>
      <c r="AH958" s="151" t="n"/>
    </row>
    <row r="959">
      <c r="A959" s="151" t="inlineStr">
        <is>
          <t>FV4006A - Pork tenderloin in sun dried tomato sauce [DKSE]</t>
        </is>
      </c>
      <c r="B959" s="151" t="inlineStr">
        <is>
          <t>REC-014085-4-002</t>
        </is>
      </c>
      <c r="C959" s="151" t="inlineStr">
        <is>
          <t>Compound butter - Parmesan-Chive</t>
        </is>
      </c>
      <c r="D959" s="151" t="inlineStr">
        <is>
          <t>SUB-013536-4-001</t>
        </is>
      </c>
      <c r="E959" s="150" t="n">
        <v>10</v>
      </c>
      <c r="F959" s="151" t="inlineStr">
        <is>
          <t>grams</t>
        </is>
      </c>
      <c r="G959" s="151" t="inlineStr">
        <is>
          <t>BLAST CHILLER, PLANETARY MIXER, SCOOPER (BUTTER)</t>
        </is>
      </c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inlineStr">
        <is>
          <t>FA-DE Butter, Unsalted /Butter, ungesalzen</t>
        </is>
      </c>
      <c r="X959" s="151" t="inlineStr">
        <is>
          <t>DAI-00-139146-3</t>
        </is>
      </c>
      <c r="Y959" s="151" t="inlineStr">
        <is>
          <t>7,5</t>
        </is>
      </c>
      <c r="Z959" s="149" t="inlineStr">
        <is>
          <t>7,5</t>
        </is>
      </c>
      <c r="AA959" s="151" t="inlineStr">
        <is>
          <t>grams</t>
        </is>
      </c>
      <c r="AB959" s="151" t="inlineStr">
        <is>
          <t>MILCH (EINSCHLIESSLICH LAKTOSE)</t>
        </is>
      </c>
      <c r="AC959" s="151" t="n"/>
      <c r="AD959" s="150" t="n">
        <v>0.97999</v>
      </c>
      <c r="AE959" s="149" t="n">
        <v>7.5</v>
      </c>
      <c r="AF959" s="151" t="inlineStr">
        <is>
          <t>grams</t>
        </is>
      </c>
      <c r="AG959" s="151" t="n"/>
      <c r="AH959" s="151" t="n"/>
    </row>
    <row r="960">
      <c r="A960" s="151" t="inlineStr">
        <is>
          <t>FV4006A - Pork tenderloin in sun dried tomato sauce [DKSE]</t>
        </is>
      </c>
      <c r="B960" s="151" t="inlineStr">
        <is>
          <t>REC-014085-4-002</t>
        </is>
      </c>
      <c r="C960" s="151" t="inlineStr">
        <is>
          <t>Compound butter - Parmesan-Chive</t>
        </is>
      </c>
      <c r="D960" s="151" t="inlineStr">
        <is>
          <t>SUB-013536-4-001</t>
        </is>
      </c>
      <c r="E960" s="150" t="n">
        <v>10</v>
      </c>
      <c r="F960" s="151" t="inlineStr">
        <is>
          <t>grams</t>
        </is>
      </c>
      <c r="G960" s="151" t="inlineStr">
        <is>
          <t>BLAST CHILLER, PLANETARY MIXER, SCOOPER (BUTTER)</t>
        </is>
      </c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inlineStr">
        <is>
          <t>FA-DE Chives, Dried /Schnittlauch, getrocknet</t>
        </is>
      </c>
      <c r="X960" s="151" t="inlineStr">
        <is>
          <t>SPI-00-139322-5</t>
        </is>
      </c>
      <c r="Y960" s="151" t="inlineStr">
        <is>
          <t>0,1</t>
        </is>
      </c>
      <c r="Z960" s="149" t="inlineStr">
        <is>
          <t>0,1</t>
        </is>
      </c>
      <c r="AA960" s="151" t="inlineStr">
        <is>
          <t>grams</t>
        </is>
      </c>
      <c r="AB960" s="151" t="n"/>
      <c r="AC960" s="151" t="n"/>
      <c r="AD960" s="150" t="n">
        <v>0.97999</v>
      </c>
      <c r="AE960" s="149" t="n">
        <v>0.1</v>
      </c>
      <c r="AF960" s="151" t="inlineStr">
        <is>
          <t>grams</t>
        </is>
      </c>
      <c r="AG960" s="151" t="n"/>
      <c r="AH960" s="151" t="n"/>
    </row>
    <row r="961">
      <c r="A961" s="151" t="inlineStr">
        <is>
          <t>FV4006A - Pork tenderloin in sun dried tomato sauce [DKSE]</t>
        </is>
      </c>
      <c r="B961" s="151" t="inlineStr">
        <is>
          <t>REC-014085-4-002</t>
        </is>
      </c>
      <c r="C961" s="151" t="inlineStr">
        <is>
          <t>Compound butter - Parmesan-Chive</t>
        </is>
      </c>
      <c r="D961" s="151" t="inlineStr">
        <is>
          <t>SUB-013536-4-001</t>
        </is>
      </c>
      <c r="E961" s="150" t="n">
        <v>10</v>
      </c>
      <c r="F961" s="151" t="inlineStr">
        <is>
          <t>grams</t>
        </is>
      </c>
      <c r="G961" s="151" t="inlineStr">
        <is>
          <t>BLAST CHILLER, PLANETARY MIXER, SCOOPER (BUTTER)</t>
        </is>
      </c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inlineStr">
        <is>
          <t>FA-DE Cheese, Parmesan, Grated /Käse, Parmesan, gerieben</t>
        </is>
      </c>
      <c r="X961" s="151" t="inlineStr">
        <is>
          <t>DAI-00-139127-3</t>
        </is>
      </c>
      <c r="Y961" s="151" t="inlineStr">
        <is>
          <t>2,5</t>
        </is>
      </c>
      <c r="Z961" s="149" t="inlineStr">
        <is>
          <t>2,5</t>
        </is>
      </c>
      <c r="AA961" s="151" t="inlineStr">
        <is>
          <t>grams</t>
        </is>
      </c>
      <c r="AB961" s="151" t="inlineStr">
        <is>
          <t>MILCH (EINSCHLIESSLICH LAKTOSE)</t>
        </is>
      </c>
      <c r="AC961" s="151" t="n"/>
      <c r="AD961" s="150" t="n">
        <v>0.97999</v>
      </c>
      <c r="AE961" s="149" t="n">
        <v>2.5</v>
      </c>
      <c r="AF961" s="151" t="inlineStr">
        <is>
          <t>grams</t>
        </is>
      </c>
      <c r="AG961" s="151" t="n"/>
      <c r="AH961" s="151" t="n"/>
    </row>
    <row r="962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49" t="n"/>
      <c r="AA962" s="151" t="n"/>
      <c r="AB962" s="151" t="n"/>
      <c r="AC962" s="151" t="n"/>
      <c r="AD962" s="151" t="n"/>
      <c r="AE962" s="149" t="n"/>
      <c r="AF962" s="151" t="n"/>
      <c r="AG962" s="151" t="n"/>
      <c r="AH962" s="151" t="n"/>
    </row>
    <row r="963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49" t="n"/>
      <c r="AA963" s="151" t="n"/>
      <c r="AB963" s="151" t="n"/>
      <c r="AC963" s="151" t="n"/>
      <c r="AD963" s="151" t="n"/>
      <c r="AE963" s="149" t="n"/>
      <c r="AF963" s="151" t="n"/>
      <c r="AG963" s="151" t="n"/>
      <c r="AH963" s="151" t="n"/>
    </row>
    <row r="964">
      <c r="Z964" s="159" t="n"/>
      <c r="AE964" s="159" t="n"/>
    </row>
    <row r="965">
      <c r="Z965" s="159" t="n"/>
      <c r="AE965" s="159" t="n"/>
    </row>
    <row r="966">
      <c r="Z966" s="159" t="n"/>
      <c r="AE966" s="159" t="n"/>
    </row>
    <row r="967">
      <c r="Z967" s="159" t="n"/>
      <c r="AE967" s="159" t="n"/>
    </row>
    <row r="968">
      <c r="Z968" s="159" t="n"/>
      <c r="AE968" s="159" t="n"/>
    </row>
    <row r="969">
      <c r="Z969" s="159" t="n"/>
      <c r="AE969" s="159" t="n"/>
    </row>
    <row r="970">
      <c r="Z970" s="159" t="n"/>
      <c r="AE970" s="159" t="n"/>
    </row>
    <row r="971">
      <c r="Z971" s="159" t="n"/>
      <c r="AE971" s="159" t="n"/>
    </row>
    <row r="972">
      <c r="Z972" s="159" t="n"/>
      <c r="AE972" s="159" t="n"/>
    </row>
    <row r="973">
      <c r="Z973" s="159" t="n"/>
      <c r="AE973" s="159" t="n"/>
    </row>
    <row r="974">
      <c r="Z974" s="159" t="n"/>
      <c r="AE974" s="159" t="n"/>
    </row>
    <row r="975">
      <c r="Z975" s="159" t="n"/>
      <c r="AE975" s="159" t="n"/>
    </row>
    <row r="976">
      <c r="Z976" s="159" t="n"/>
      <c r="AE976" s="159" t="n"/>
    </row>
    <row r="977">
      <c r="Z977" s="159" t="n"/>
      <c r="AE977" s="159" t="n"/>
    </row>
    <row r="978">
      <c r="Z978" s="159" t="n"/>
      <c r="AE978" s="159" t="n"/>
    </row>
    <row r="979">
      <c r="Z979" s="159" t="n"/>
      <c r="AE979" s="159" t="n"/>
    </row>
    <row r="980">
      <c r="Z980" s="159" t="n"/>
      <c r="AE980" s="159" t="n"/>
    </row>
    <row r="981">
      <c r="Z981" s="159" t="n"/>
      <c r="AE981" s="159" t="n"/>
    </row>
    <row r="982">
      <c r="Z982" s="159" t="n"/>
      <c r="AE982" s="159" t="n"/>
    </row>
    <row r="983">
      <c r="Z983" s="159" t="n"/>
      <c r="AE983" s="159" t="n"/>
    </row>
    <row r="984">
      <c r="Z984" s="159" t="n"/>
      <c r="AE984" s="159" t="n"/>
    </row>
    <row r="985">
      <c r="Z985" s="159" t="n"/>
      <c r="AE985" s="159" t="n"/>
    </row>
    <row r="986">
      <c r="Z986" s="159" t="n"/>
      <c r="AE986" s="159" t="n"/>
    </row>
    <row r="987">
      <c r="Z987" s="159" t="n"/>
      <c r="AE987" s="159" t="n"/>
    </row>
    <row r="988">
      <c r="Z988" s="159" t="n"/>
      <c r="AE988" s="159" t="n"/>
    </row>
    <row r="989">
      <c r="Z989" s="159" t="n"/>
      <c r="AE989" s="159" t="n"/>
    </row>
    <row r="990">
      <c r="Z990" s="159" t="n"/>
      <c r="AE990" s="159" t="n"/>
    </row>
    <row r="991">
      <c r="Z991" s="159" t="n"/>
      <c r="AE991" s="159" t="n"/>
    </row>
    <row r="992">
      <c r="Z992" s="159" t="n"/>
      <c r="AE992" s="159" t="n"/>
    </row>
    <row r="993">
      <c r="Z993" s="159" t="n"/>
      <c r="AE993" s="159" t="n"/>
    </row>
    <row r="994">
      <c r="Z994" s="159" t="n"/>
      <c r="AE994" s="159" t="n"/>
    </row>
    <row r="995">
      <c r="Z995" s="159" t="n"/>
      <c r="AE995" s="159" t="n"/>
    </row>
    <row r="996">
      <c r="Z996" s="159" t="n"/>
      <c r="AE996" s="159" t="n"/>
    </row>
    <row r="997">
      <c r="Z997" s="159" t="n"/>
      <c r="AE997" s="159" t="n"/>
    </row>
    <row r="998">
      <c r="Z998" s="159" t="n"/>
      <c r="AE998" s="159" t="n"/>
    </row>
    <row r="999">
      <c r="Z999" s="159" t="n"/>
      <c r="AE999" s="159" t="n"/>
    </row>
    <row r="1000">
      <c r="Z1000" s="159" t="n"/>
      <c r="AE1000" s="15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W1000"/>
  <sheetViews>
    <sheetView workbookViewId="0">
      <selection activeCell="A1" sqref="A1"/>
    </sheetView>
  </sheetViews>
  <sheetFormatPr baseColWidth="8" defaultColWidth="12.63" defaultRowHeight="15.75" customHeight="1"/>
  <cols>
    <col width="39.25" customWidth="1" style="163" min="2" max="2"/>
    <col width="58.88" customWidth="1" style="163" min="12" max="12"/>
  </cols>
  <sheetData>
    <row r="1">
      <c r="A1" s="45">
        <f>IFERROR(__xludf.DUMMYFUNCTION("IMPORTRANGE(""https://docs.google.com/spreadsheets/d/13lZfV1HAcVuOAxd9-xHCEsxO0wHmPnJNl9NuoURpM6U/edit?gid=1819627895#gid=1819627895"",""Plating!A:BB"")"),"")</f>
        <v/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>
        <f>IFERROR(__xludf.DUMMYFUNCTION("""COMPUTED_VALUE"""),"Avg. plates/h")</f>
        <v/>
      </c>
      <c r="S1" s="45" t="n"/>
      <c r="T1" s="45" t="n"/>
      <c r="U1" s="45" t="n"/>
      <c r="V1" s="45" t="n"/>
      <c r="W1" s="45" t="n"/>
    </row>
    <row r="2">
      <c r="A2" s="45">
        <f>IFERROR(__xludf.DUMMYFUNCTION("""COMPUTED_VALUE"""),"Plating Day")</f>
        <v/>
      </c>
      <c r="B2" s="45">
        <f>IFERROR(__xludf.DUMMYFUNCTION("""COMPUTED_VALUE"""),"Recipe Name")</f>
        <v/>
      </c>
      <c r="C2" s="45">
        <f>IFERROR(__xludf.DUMMYFUNCTION("""COMPUTED_VALUE"""),"Total Amount")</f>
        <v/>
      </c>
      <c r="D2" s="45">
        <f>IFERROR(__xludf.DUMMYFUNCTION("""COMPUTED_VALUE"""),"Runtime/h")</f>
        <v/>
      </c>
      <c r="E2" s="45">
        <f>IFERROR(__xludf.DUMMYFUNCTION("""COMPUTED_VALUE"""),"BENL")</f>
        <v/>
      </c>
      <c r="F2" s="45">
        <f>IFERROR(__xludf.DUMMYFUNCTION("""COMPUTED_VALUE"""),"Runtime/h")</f>
        <v/>
      </c>
      <c r="G2" s="45">
        <f>IFERROR(__xludf.DUMMYFUNCTION("""COMPUTED_VALUE"""),"NORD")</f>
        <v/>
      </c>
      <c r="H2" s="45">
        <f>IFERROR(__xludf.DUMMYFUNCTION("""COMPUTED_VALUE"""),"Runtime/h")</f>
        <v/>
      </c>
      <c r="I2" s="45">
        <f>IFERROR(__xludf.DUMMYFUNCTION("""COMPUTED_VALUE"""),"DE")</f>
        <v/>
      </c>
      <c r="J2" s="45">
        <f>IFERROR(__xludf.DUMMYFUNCTION("""COMPUTED_VALUE"""),"Customer Order Forecast")</f>
        <v/>
      </c>
      <c r="K2" s="45">
        <f>IFERROR(__xludf.DUMMYFUNCTION("""COMPUTED_VALUE"""),"Runs")</f>
        <v/>
      </c>
      <c r="L2" s="45" t="n"/>
      <c r="M2" s="45" t="n"/>
      <c r="N2" s="160">
        <f>IFERROR(__xludf.DUMMYFUNCTION("""COMPUTED_VALUE"""),0.1)</f>
        <v/>
      </c>
      <c r="O2" s="160">
        <f>IFERROR(__xludf.DUMMYFUNCTION("""COMPUTED_VALUE"""),0.15)</f>
        <v/>
      </c>
      <c r="P2" s="45" t="n"/>
      <c r="Q2" s="45" t="n"/>
      <c r="R2" s="45">
        <f>IFERROR(__xludf.DUMMYFUNCTION("""COMPUTED_VALUE"""),20.0)</f>
        <v/>
      </c>
      <c r="S2" s="45" t="n"/>
      <c r="T2" s="45" t="n"/>
      <c r="U2" s="45" t="n"/>
      <c r="V2" s="45" t="n"/>
      <c r="W2" s="45" t="n"/>
    </row>
    <row r="3">
      <c r="A3" s="45">
        <f>IFERROR(__xludf.DUMMYFUNCTION("""COMPUTED_VALUE"""),"Tuesday")</f>
        <v/>
      </c>
      <c r="B3" s="45">
        <f>IFERROR(__xludf.DUMMYFUNCTION("""COMPUTED_VALUE"""),"FV0472A - Indian Butter Chicken")</f>
        <v/>
      </c>
      <c r="C3" s="45">
        <f>IFERROR(__xludf.DUMMYFUNCTION("""COMPUTED_VALUE"""),6102.0)</f>
        <v/>
      </c>
      <c r="D3" s="161">
        <f>IFERROR(__xludf.DUMMYFUNCTION("""COMPUTED_VALUE"""),5.085)</f>
        <v/>
      </c>
      <c r="E3" s="45">
        <f>IFERROR(__xludf.DUMMYFUNCTION("""COMPUTED_VALUE"""),2497.0)</f>
        <v/>
      </c>
      <c r="F3" s="161">
        <f>IFERROR(__xludf.DUMMYFUNCTION("""COMPUTED_VALUE"""),2.0808333333333335)</f>
        <v/>
      </c>
      <c r="G3" s="45">
        <f>IFERROR(__xludf.DUMMYFUNCTION("""COMPUTED_VALUE"""),1534.0)</f>
        <v/>
      </c>
      <c r="H3" s="161">
        <f>IFERROR(__xludf.DUMMYFUNCTION("""COMPUTED_VALUE"""),1.2783333333333333)</f>
        <v/>
      </c>
      <c r="I3" s="45">
        <f>IFERROR(__xludf.DUMMYFUNCTION("""COMPUTED_VALUE"""),1483.0)</f>
        <v/>
      </c>
      <c r="J3" s="89">
        <f>IFERROR(__xludf.DUMMYFUNCTION("""COMPUTED_VALUE"""),5514.0)</f>
        <v/>
      </c>
      <c r="K3" s="45">
        <f>IFERROR(__xludf.DUMMYFUNCTION("""COMPUTED_VALUE"""),"1. Run")</f>
        <v/>
      </c>
      <c r="L3" s="45">
        <f>IFERROR(__xludf.DUMMYFUNCTION("""COMPUTED_VALUE"""),"Salmon with pesto")</f>
        <v/>
      </c>
      <c r="M3" s="89">
        <f>IFERROR(__xludf.DUMMYFUNCTION("""COMPUTED_VALUE"""),5688.0)</f>
        <v/>
      </c>
      <c r="N3" s="89">
        <f>IFERROR(__xludf.DUMMYFUNCTION("""COMPUTED_VALUE"""),6256.8)</f>
        <v/>
      </c>
      <c r="O3" s="89">
        <f>IFERROR(__xludf.DUMMYFUNCTION("""COMPUTED_VALUE"""),6541.2)</f>
        <v/>
      </c>
      <c r="P3" s="45" t="n"/>
      <c r="Q3" s="45" t="n"/>
      <c r="R3" s="45" t="n"/>
      <c r="S3" s="45" t="n"/>
      <c r="T3" s="45" t="n"/>
      <c r="U3" s="45" t="n"/>
      <c r="V3" s="45" t="n"/>
      <c r="W3" s="45" t="n"/>
    </row>
    <row r="4">
      <c r="A4" s="45">
        <f>IFERROR(__xludf.DUMMYFUNCTION("""COMPUTED_VALUE"""),"Tuesday")</f>
        <v/>
      </c>
      <c r="B4" s="45">
        <f>IFERROR(__xludf.DUMMYFUNCTION("""COMPUTED_VALUE"""),"FV0846A - Stroganoff-Style Beef Burger")</f>
        <v/>
      </c>
      <c r="C4" s="45">
        <f>IFERROR(__xludf.DUMMYFUNCTION("""COMPUTED_VALUE"""),1826.0)</f>
        <v/>
      </c>
      <c r="D4" s="161">
        <f>IFERROR(__xludf.DUMMYFUNCTION("""COMPUTED_VALUE"""),1.5216666666666667)</f>
        <v/>
      </c>
      <c r="E4" s="89">
        <f>IFERROR(__xludf.DUMMYFUNCTION("""COMPUTED_VALUE"""),858.0418748512967)</f>
        <v/>
      </c>
      <c r="F4" s="161">
        <f>IFERROR(__xludf.DUMMYFUNCTION("""COMPUTED_VALUE"""),0.7150348957094139)</f>
        <v/>
      </c>
      <c r="G4" s="89">
        <f>IFERROR(__xludf.DUMMYFUNCTION("""COMPUTED_VALUE"""),463.994289793005)</f>
        <v/>
      </c>
      <c r="H4" s="161">
        <f>IFERROR(__xludf.DUMMYFUNCTION("""COMPUTED_VALUE"""),0.3866619081608375)</f>
        <v/>
      </c>
      <c r="I4" s="89">
        <f>IFERROR(__xludf.DUMMYFUNCTION("""COMPUTED_VALUE"""),521.776350226029)</f>
        <v/>
      </c>
      <c r="J4" s="89">
        <f>IFERROR(__xludf.DUMMYFUNCTION("""COMPUTED_VALUE"""),1843.8125148703307)</f>
        <v/>
      </c>
      <c r="K4" s="89">
        <f>IFERROR(__xludf.DUMMYFUNCTION("""COMPUTED_VALUE"""),"1. Run")</f>
        <v/>
      </c>
      <c r="L4" s="45">
        <f>IFERROR(__xludf.DUMMYFUNCTION("""COMPUTED_VALUE"""),"Indian style butter chicken")</f>
        <v/>
      </c>
      <c r="M4" s="89">
        <f>IFERROR(__xludf.DUMMYFUNCTION("""COMPUTED_VALUE"""),5600.0)</f>
        <v/>
      </c>
      <c r="N4" s="89">
        <f>IFERROR(__xludf.DUMMYFUNCTION("""COMPUTED_VALUE"""),6160.0)</f>
        <v/>
      </c>
      <c r="O4" s="89">
        <f>IFERROR(__xludf.DUMMYFUNCTION("""COMPUTED_VALUE"""),6440.0)</f>
        <v/>
      </c>
      <c r="P4" s="45" t="n"/>
      <c r="Q4" s="45" t="n"/>
      <c r="R4" s="45" t="n"/>
      <c r="S4" s="45" t="n"/>
      <c r="T4" s="45" t="n"/>
      <c r="U4" s="45" t="n"/>
      <c r="V4" s="45" t="n"/>
      <c r="W4" s="45" t="n"/>
    </row>
    <row r="5">
      <c r="A5" s="45">
        <f>IFERROR(__xludf.DUMMYFUNCTION("""COMPUTED_VALUE"""),"Wednesday")</f>
        <v/>
      </c>
      <c r="B5" s="45">
        <f>IFERROR(__xludf.DUMMYFUNCTION("""COMPUTED_VALUE"""),"FV0281A - Baja Salmon")</f>
        <v/>
      </c>
      <c r="C5" s="45">
        <f>IFERROR(__xludf.DUMMYFUNCTION("""COMPUTED_VALUE"""),7222.0)</f>
        <v/>
      </c>
      <c r="D5" s="161">
        <f>IFERROR(__xludf.DUMMYFUNCTION("""COMPUTED_VALUE"""),6.0183333333333335)</f>
        <v/>
      </c>
      <c r="E5" s="45">
        <f>IFERROR(__xludf.DUMMYFUNCTION("""COMPUTED_VALUE"""),3992.0)</f>
        <v/>
      </c>
      <c r="F5" s="161">
        <f>IFERROR(__xludf.DUMMYFUNCTION("""COMPUTED_VALUE"""),3.3266666666666667)</f>
        <v/>
      </c>
      <c r="G5" s="45">
        <f>IFERROR(__xludf.DUMMYFUNCTION("""COMPUTED_VALUE"""),1720.0)</f>
        <v/>
      </c>
      <c r="H5" s="161">
        <f>IFERROR(__xludf.DUMMYFUNCTION("""COMPUTED_VALUE"""),1.4333333333333333)</f>
        <v/>
      </c>
      <c r="I5" s="45">
        <f>IFERROR(__xludf.DUMMYFUNCTION("""COMPUTED_VALUE"""),1583.0)</f>
        <v/>
      </c>
      <c r="J5" s="89">
        <f>IFERROR(__xludf.DUMMYFUNCTION("""COMPUTED_VALUE"""),7295.0)</f>
        <v/>
      </c>
      <c r="K5" s="45">
        <f>IFERROR(__xludf.DUMMYFUNCTION("""COMPUTED_VALUE"""),"1. Run")</f>
        <v/>
      </c>
      <c r="L5" s="45">
        <f>IFERROR(__xludf.DUMMYFUNCTION("""COMPUTED_VALUE"""),"Spicy citrus salmon")</f>
        <v/>
      </c>
      <c r="M5" s="89">
        <f>IFERROR(__xludf.DUMMYFUNCTION("""COMPUTED_VALUE"""),7352.0)</f>
        <v/>
      </c>
      <c r="N5" s="89">
        <f>IFERROR(__xludf.DUMMYFUNCTION("""COMPUTED_VALUE"""),8087.2)</f>
        <v/>
      </c>
      <c r="O5" s="89">
        <f>IFERROR(__xludf.DUMMYFUNCTION("""COMPUTED_VALUE"""),8454.8)</f>
        <v/>
      </c>
      <c r="P5" s="45" t="n"/>
      <c r="Q5" s="45" t="n"/>
      <c r="R5" s="45" t="n"/>
      <c r="S5" s="45" t="n"/>
      <c r="T5" s="45" t="n"/>
      <c r="U5" s="45" t="n"/>
      <c r="V5" s="45" t="n"/>
      <c r="W5" s="45" t="n"/>
    </row>
    <row r="6">
      <c r="A6" s="45">
        <f>IFERROR(__xludf.DUMMYFUNCTION("""COMPUTED_VALUE"""),"Wednesday")</f>
        <v/>
      </c>
      <c r="B6" s="45">
        <f>IFERROR(__xludf.DUMMYFUNCTION("""COMPUTED_VALUE"""),"FV0333A - Tuscan Shrimp")</f>
        <v/>
      </c>
      <c r="C6" s="45">
        <f>IFERROR(__xludf.DUMMYFUNCTION("""COMPUTED_VALUE"""),2525.0)</f>
        <v/>
      </c>
      <c r="D6" s="161">
        <f>IFERROR(__xludf.DUMMYFUNCTION("""COMPUTED_VALUE"""),2.1041666666666665)</f>
        <v/>
      </c>
      <c r="E6" s="45">
        <f>IFERROR(__xludf.DUMMYFUNCTION("""COMPUTED_VALUE"""),1138.0)</f>
        <v/>
      </c>
      <c r="F6" s="161">
        <f>IFERROR(__xludf.DUMMYFUNCTION("""COMPUTED_VALUE"""),0.9483333333333334)</f>
        <v/>
      </c>
      <c r="G6" s="45">
        <f>IFERROR(__xludf.DUMMYFUNCTION("""COMPUTED_VALUE"""),712.0)</f>
        <v/>
      </c>
      <c r="H6" s="161">
        <f>IFERROR(__xludf.DUMMYFUNCTION("""COMPUTED_VALUE"""),0.5933333333333334)</f>
        <v/>
      </c>
      <c r="I6" s="45">
        <f>IFERROR(__xludf.DUMMYFUNCTION("""COMPUTED_VALUE"""),700.0)</f>
        <v/>
      </c>
      <c r="J6" s="89">
        <f>IFERROR(__xludf.DUMMYFUNCTION("""COMPUTED_VALUE"""),2550.0)</f>
        <v/>
      </c>
      <c r="K6" s="45">
        <f>IFERROR(__xludf.DUMMYFUNCTION("""COMPUTED_VALUE"""),"1. Run")</f>
        <v/>
      </c>
      <c r="L6" s="45">
        <f>IFERROR(__xludf.DUMMYFUNCTION("""COMPUTED_VALUE"""),"Tuscan Shrimp")</f>
        <v/>
      </c>
      <c r="M6" s="89">
        <f>IFERROR(__xludf.DUMMYFUNCTION("""COMPUTED_VALUE"""),2815.0)</f>
        <v/>
      </c>
      <c r="N6" s="89">
        <f>IFERROR(__xludf.DUMMYFUNCTION("""COMPUTED_VALUE"""),3096.5)</f>
        <v/>
      </c>
      <c r="O6" s="89">
        <f>IFERROR(__xludf.DUMMYFUNCTION("""COMPUTED_VALUE"""),3237.25)</f>
        <v/>
      </c>
      <c r="P6" s="45" t="n"/>
      <c r="Q6" s="45" t="n"/>
      <c r="R6" s="45" t="n"/>
      <c r="S6" s="45" t="n"/>
      <c r="T6" s="45" t="n"/>
      <c r="U6" s="45" t="n"/>
      <c r="V6" s="45" t="n"/>
      <c r="W6" s="45" t="n"/>
    </row>
    <row r="7">
      <c r="A7" s="45">
        <f>IFERROR(__xludf.DUMMYFUNCTION("""COMPUTED_VALUE"""),"Thursday")</f>
        <v/>
      </c>
      <c r="B7" s="45">
        <f>IFERROR(__xludf.DUMMYFUNCTION("""COMPUTED_VALUE"""),"FV0035A - Salmon with pesto")</f>
        <v/>
      </c>
      <c r="C7" s="89">
        <f>IFERROR(__xludf.DUMMYFUNCTION("""COMPUTED_VALUE"""),6256.8)</f>
        <v/>
      </c>
      <c r="D7" s="161">
        <f>IFERROR(__xludf.DUMMYFUNCTION("""COMPUTED_VALUE"""),5.214)</f>
        <v/>
      </c>
      <c r="E7" s="45">
        <f>IFERROR(__xludf.DUMMYFUNCTION("""COMPUTED_VALUE"""),2572.0)</f>
        <v/>
      </c>
      <c r="F7" s="161">
        <f>IFERROR(__xludf.DUMMYFUNCTION("""COMPUTED_VALUE"""),2.1433333333333335)</f>
        <v/>
      </c>
      <c r="G7" s="45">
        <f>IFERROR(__xludf.DUMMYFUNCTION("""COMPUTED_VALUE"""),1553.0)</f>
        <v/>
      </c>
      <c r="H7" s="161">
        <f>IFERROR(__xludf.DUMMYFUNCTION("""COMPUTED_VALUE"""),1.2941666666666667)</f>
        <v/>
      </c>
      <c r="I7" s="45">
        <f>IFERROR(__xludf.DUMMYFUNCTION("""COMPUTED_VALUE"""),1481.0)</f>
        <v/>
      </c>
      <c r="J7" s="89">
        <f>IFERROR(__xludf.DUMMYFUNCTION("""COMPUTED_VALUE"""),5606.0)</f>
        <v/>
      </c>
      <c r="K7" s="45">
        <f>IFERROR(__xludf.DUMMYFUNCTION("""COMPUTED_VALUE"""),"1. Run")</f>
        <v/>
      </c>
      <c r="L7" s="45">
        <f>IFERROR(__xludf.DUMMYFUNCTION("""COMPUTED_VALUE"""),"Stroganoff-Style Beef Burger")</f>
        <v/>
      </c>
      <c r="M7" s="89">
        <f>IFERROR(__xludf.DUMMYFUNCTION("""COMPUTED_VALUE"""),4313.0)</f>
        <v/>
      </c>
      <c r="N7" s="89">
        <f>IFERROR(__xludf.DUMMYFUNCTION("""COMPUTED_VALUE"""),4744.3)</f>
        <v/>
      </c>
      <c r="O7" s="89">
        <f>IFERROR(__xludf.DUMMYFUNCTION("""COMPUTED_VALUE"""),4959.95)</f>
        <v/>
      </c>
      <c r="P7" s="45" t="n"/>
      <c r="Q7" s="45" t="n"/>
      <c r="R7" s="45" t="n"/>
      <c r="S7" s="45" t="n"/>
      <c r="T7" s="45" t="n"/>
      <c r="U7" s="45" t="n"/>
      <c r="V7" s="45" t="n"/>
      <c r="W7" s="45" t="n"/>
    </row>
    <row r="8">
      <c r="A8" s="45">
        <f>IFERROR(__xludf.DUMMYFUNCTION("""COMPUTED_VALUE"""),"Thursday")</f>
        <v/>
      </c>
      <c r="B8" s="45">
        <f>IFERROR(__xludf.DUMMYFUNCTION("""COMPUTED_VALUE"""),"FV0846A - Stroganoff-Style Beef Burger")</f>
        <v/>
      </c>
      <c r="C8" s="45">
        <f>IFERROR(__xludf.DUMMYFUNCTION("""COMPUTED_VALUE"""),2377.0)</f>
        <v/>
      </c>
      <c r="D8" s="161">
        <f>IFERROR(__xludf.DUMMYFUNCTION("""COMPUTED_VALUE"""),1.9808333333333332)</f>
        <v/>
      </c>
      <c r="E8" s="89">
        <f>IFERROR(__xludf.DUMMYFUNCTION("""COMPUTED_VALUE"""),1116.9581251487032)</f>
        <v/>
      </c>
      <c r="F8" s="161">
        <f>IFERROR(__xludf.DUMMYFUNCTION("""COMPUTED_VALUE"""),0.9307984376239193)</f>
        <v/>
      </c>
      <c r="G8" s="89">
        <f>IFERROR(__xludf.DUMMYFUNCTION("""COMPUTED_VALUE"""),604.005710206995)</f>
        <v/>
      </c>
      <c r="H8" s="161">
        <f>IFERROR(__xludf.DUMMYFUNCTION("""COMPUTED_VALUE"""),0.5033380918391624)</f>
        <v/>
      </c>
      <c r="I8" s="89">
        <f>IFERROR(__xludf.DUMMYFUNCTION("""COMPUTED_VALUE"""),679.2236497739709)</f>
        <v/>
      </c>
      <c r="J8" s="89">
        <f>IFERROR(__xludf.DUMMYFUNCTION("""COMPUTED_VALUE"""),2400.187485129669)</f>
        <v/>
      </c>
      <c r="K8" s="89">
        <f>IFERROR(__xludf.DUMMYFUNCTION("""COMPUTED_VALUE"""),"2. Run")</f>
        <v/>
      </c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</row>
    <row r="9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</row>
    <row r="10">
      <c r="A10" s="45" t="n"/>
      <c r="B10" s="45" t="n"/>
      <c r="C10" s="45">
        <f>IFERROR(__xludf.DUMMYFUNCTION("""COMPUTED_VALUE"""),"Forecast")</f>
        <v/>
      </c>
      <c r="D10" s="45">
        <f>IFERROR(__xludf.DUMMYFUNCTION("""COMPUTED_VALUE"""),"vs. plan")</f>
        <v/>
      </c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</row>
    <row r="11">
      <c r="A11" s="45" t="n"/>
      <c r="B11" s="45">
        <f>IFERROR(__xludf.DUMMYFUNCTION("""COMPUTED_VALUE"""),"FV0846A - Stroganoff-Style Beef Burger")</f>
        <v/>
      </c>
      <c r="C11" s="159">
        <f>IFERROR(__xludf.DUMMYFUNCTION("""COMPUTED_VALUE"""),4313.0)</f>
        <v/>
      </c>
      <c r="D11" s="162">
        <f>IFERROR(__xludf.DUMMYFUNCTION("""COMPUTED_VALUE"""),110.0)</f>
        <v/>
      </c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</row>
    <row r="12">
      <c r="A12" s="45" t="n"/>
      <c r="B12" s="45">
        <f>IFERROR(__xludf.DUMMYFUNCTION("""COMPUTED_VALUE"""),"FV0281A - Baja Salmon")</f>
        <v/>
      </c>
      <c r="C12" s="159">
        <f>IFERROR(__xludf.DUMMYFUNCTION("""COMPUTED_VALUE"""),7352.0)</f>
        <v/>
      </c>
      <c r="D12" s="162">
        <f>IFERROR(__xludf.DUMMYFUNCTION("""COMPUTED_VALUE"""),130.0)</f>
        <v/>
      </c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</row>
    <row r="13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</row>
    <row r="16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</row>
    <row r="2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</row>
    <row r="22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</row>
    <row r="23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</row>
    <row r="24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</row>
    <row r="25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</row>
    <row r="2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</row>
    <row r="27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</row>
    <row r="28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</row>
    <row r="29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</row>
    <row r="30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</row>
    <row r="31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</row>
    <row r="3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</row>
    <row r="3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</row>
    <row r="37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</row>
    <row r="38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</row>
    <row r="39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</row>
    <row r="40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</row>
    <row r="41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</row>
    <row r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</row>
    <row r="43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</row>
    <row r="44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</row>
    <row r="45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</row>
    <row r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</row>
    <row r="47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</row>
    <row r="48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</row>
    <row r="49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</row>
    <row r="50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</row>
    <row r="5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</row>
    <row r="5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</row>
    <row r="53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</row>
    <row r="54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</row>
    <row r="55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</row>
    <row r="5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</row>
    <row r="57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</row>
    <row r="58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</row>
    <row r="59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</row>
    <row r="60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</row>
    <row r="61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</row>
    <row r="6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</row>
    <row r="63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</row>
    <row r="64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</row>
    <row r="65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</row>
    <row r="66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</row>
    <row r="67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</row>
    <row r="68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</row>
    <row r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</row>
    <row r="70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</row>
    <row r="71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</row>
    <row r="7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</row>
    <row r="73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</row>
    <row r="74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</row>
    <row r="75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</row>
    <row r="76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</row>
    <row r="77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</row>
    <row r="78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</row>
    <row r="79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</row>
    <row r="80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</row>
    <row r="81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</row>
    <row r="8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</row>
    <row r="83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</row>
    <row r="84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</row>
    <row r="85">
      <c r="A85" s="45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</row>
    <row r="86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</row>
    <row r="87">
      <c r="A87" s="45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</row>
    <row r="88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</row>
    <row r="89">
      <c r="A89" s="45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</row>
    <row r="90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</row>
    <row r="91">
      <c r="A91" s="45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</row>
    <row r="9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</row>
    <row r="93">
      <c r="A93" s="45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</row>
    <row r="94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</row>
    <row r="95">
      <c r="A95" s="45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</row>
    <row r="96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</row>
    <row r="97">
      <c r="A97" s="45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</row>
    <row r="98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</row>
    <row r="99">
      <c r="A99" s="45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</row>
    <row r="100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</row>
    <row r="101">
      <c r="A101" s="45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</row>
    <row r="10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</row>
    <row r="103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</row>
    <row r="104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</row>
    <row r="105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</row>
    <row r="106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</row>
    <row r="108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</row>
    <row r="109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</row>
    <row r="110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</row>
    <row r="111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</row>
    <row r="11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</row>
    <row r="113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</row>
    <row r="114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</row>
    <row r="115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</row>
    <row r="116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</row>
    <row r="11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</row>
    <row r="11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</row>
    <row r="11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</row>
    <row r="12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</row>
    <row r="121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</row>
    <row r="12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</row>
    <row r="123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</row>
    <row r="124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</row>
    <row r="125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</row>
    <row r="126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</row>
    <row r="12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</row>
    <row r="12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</row>
    <row r="12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</row>
    <row r="13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</row>
    <row r="131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</row>
    <row r="13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</row>
    <row r="133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</row>
    <row r="134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</row>
    <row r="135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</row>
    <row r="136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</row>
    <row r="13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</row>
    <row r="13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</row>
    <row r="13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</row>
    <row r="14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</row>
    <row r="141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</row>
    <row r="1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</row>
    <row r="143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</row>
    <row r="144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</row>
    <row r="145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</row>
    <row r="146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</row>
    <row r="1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</row>
    <row r="14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</row>
    <row r="14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</row>
    <row r="15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</row>
    <row r="151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</row>
    <row r="15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</row>
    <row r="153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</row>
    <row r="154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</row>
    <row r="155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</row>
    <row r="156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</row>
    <row r="15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</row>
    <row r="1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</row>
    <row r="15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</row>
    <row r="16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</row>
    <row r="161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</row>
    <row r="16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</row>
    <row r="163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</row>
    <row r="164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</row>
    <row r="165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</row>
    <row r="166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</row>
    <row r="16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</row>
    <row r="16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</row>
    <row r="1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</row>
    <row r="17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</row>
    <row r="171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</row>
    <row r="17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</row>
    <row r="173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</row>
    <row r="174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</row>
    <row r="175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</row>
    <row r="176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</row>
    <row r="17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</row>
    <row r="17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</row>
    <row r="17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</row>
    <row r="18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</row>
    <row r="181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</row>
    <row r="18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</row>
    <row r="183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</row>
    <row r="184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</row>
    <row r="185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</row>
    <row r="186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</row>
    <row r="18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</row>
    <row r="18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</row>
    <row r="18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</row>
    <row r="1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</row>
    <row r="191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</row>
    <row r="19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</row>
    <row r="193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</row>
    <row r="194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</row>
    <row r="195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</row>
    <row r="196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</row>
    <row r="19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</row>
    <row r="19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</row>
    <row r="19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</row>
    <row r="20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</row>
    <row r="201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</row>
    <row r="20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</row>
    <row r="203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</row>
    <row r="204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</row>
    <row r="205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</row>
    <row r="206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</row>
    <row r="20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</row>
    <row r="20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</row>
    <row r="20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</row>
    <row r="21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</row>
    <row r="211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</row>
    <row r="21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</row>
    <row r="213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</row>
    <row r="214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</row>
    <row r="215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</row>
    <row r="216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</row>
    <row r="21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</row>
    <row r="21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</row>
    <row r="21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</row>
    <row r="22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</row>
    <row r="221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</row>
    <row r="22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</row>
    <row r="223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</row>
    <row r="224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</row>
    <row r="225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</row>
    <row r="226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</row>
    <row r="22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</row>
    <row r="228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</row>
    <row r="22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</row>
    <row r="230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</row>
    <row r="231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</row>
    <row r="23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</row>
    <row r="233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</row>
    <row r="234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</row>
    <row r="235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</row>
    <row r="236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</row>
    <row r="23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</row>
    <row r="238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</row>
    <row r="23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</row>
    <row r="240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</row>
    <row r="241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</row>
    <row r="2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</row>
    <row r="243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</row>
    <row r="244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</row>
    <row r="245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</row>
    <row r="246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</row>
    <row r="2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</row>
    <row r="248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</row>
    <row r="24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</row>
    <row r="250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</row>
    <row r="251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</row>
    <row r="25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</row>
    <row r="253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</row>
    <row r="254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</row>
    <row r="255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</row>
    <row r="256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</row>
    <row r="25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</row>
    <row r="258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</row>
    <row r="25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</row>
    <row r="260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</row>
    <row r="261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</row>
    <row r="26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</row>
    <row r="263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</row>
    <row r="264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</row>
    <row r="265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</row>
    <row r="266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</row>
    <row r="26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</row>
    <row r="268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</row>
    <row r="2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</row>
    <row r="270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</row>
    <row r="271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</row>
    <row r="27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</row>
    <row r="273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</row>
    <row r="274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</row>
    <row r="275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</row>
    <row r="276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</row>
    <row r="27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</row>
    <row r="278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</row>
    <row r="27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</row>
    <row r="280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</row>
    <row r="281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</row>
    <row r="28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</row>
    <row r="283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</row>
    <row r="284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</row>
    <row r="285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</row>
    <row r="286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</row>
    <row r="28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</row>
    <row r="288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</row>
    <row r="28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</row>
    <row r="290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</row>
    <row r="291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</row>
    <row r="29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</row>
    <row r="293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</row>
    <row r="294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</row>
    <row r="295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</row>
    <row r="296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</row>
    <row r="29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</row>
    <row r="298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</row>
    <row r="29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</row>
    <row r="300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</row>
    <row r="301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</row>
    <row r="30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</row>
    <row r="303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</row>
    <row r="304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</row>
    <row r="305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</row>
    <row r="306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</row>
    <row r="307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</row>
    <row r="308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</row>
    <row r="30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</row>
    <row r="310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</row>
    <row r="311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</row>
    <row r="31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</row>
    <row r="313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</row>
    <row r="314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</row>
    <row r="315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</row>
    <row r="316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</row>
    <row r="317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</row>
    <row r="318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</row>
    <row r="31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</row>
    <row r="320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</row>
    <row r="321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</row>
    <row r="32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</row>
    <row r="323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</row>
    <row r="324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</row>
    <row r="325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</row>
    <row r="326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</row>
    <row r="327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</row>
    <row r="328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</row>
    <row r="32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</row>
    <row r="330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</row>
    <row r="331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</row>
    <row r="33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</row>
    <row r="333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</row>
    <row r="334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</row>
    <row r="335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</row>
    <row r="336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</row>
    <row r="337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</row>
    <row r="338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</row>
    <row r="33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</row>
    <row r="340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</row>
    <row r="341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</row>
    <row r="3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</row>
    <row r="343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</row>
    <row r="344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</row>
    <row r="345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</row>
    <row r="346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</row>
    <row r="347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</row>
    <row r="348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</row>
    <row r="34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</row>
    <row r="350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</row>
    <row r="351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</row>
    <row r="35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</row>
    <row r="353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</row>
    <row r="354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</row>
    <row r="355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</row>
    <row r="356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</row>
    <row r="361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</row>
    <row r="36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</row>
    <row r="363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</row>
    <row r="364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</row>
    <row r="365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</row>
    <row r="366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</row>
    <row r="367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</row>
    <row r="368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</row>
    <row r="3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</row>
    <row r="370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</row>
    <row r="371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</row>
    <row r="37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</row>
    <row r="373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</row>
    <row r="374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</row>
    <row r="375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</row>
    <row r="376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</row>
    <row r="377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</row>
    <row r="378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</row>
    <row r="37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</row>
    <row r="380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</row>
    <row r="381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</row>
    <row r="38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</row>
    <row r="383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</row>
    <row r="384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</row>
    <row r="385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</row>
    <row r="386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</row>
    <row r="387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</row>
    <row r="388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</row>
    <row r="38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</row>
    <row r="390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</row>
    <row r="391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</row>
    <row r="39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</row>
    <row r="393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</row>
    <row r="394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</row>
    <row r="395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</row>
    <row r="396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</row>
    <row r="397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</row>
    <row r="398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</row>
    <row r="39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</row>
    <row r="400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</row>
    <row r="401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</row>
    <row r="40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</row>
    <row r="403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</row>
    <row r="404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</row>
    <row r="405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</row>
    <row r="406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</row>
    <row r="407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</row>
    <row r="408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</row>
    <row r="40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</row>
    <row r="410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</row>
    <row r="411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</row>
    <row r="41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</row>
    <row r="413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</row>
    <row r="414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</row>
    <row r="415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</row>
    <row r="416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</row>
    <row r="417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</row>
    <row r="418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</row>
    <row r="41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</row>
    <row r="420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</row>
    <row r="421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</row>
    <row r="42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</row>
    <row r="423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</row>
    <row r="424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</row>
    <row r="425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</row>
    <row r="426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</row>
    <row r="427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</row>
    <row r="428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</row>
    <row r="42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</row>
    <row r="430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</row>
    <row r="431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</row>
    <row r="43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</row>
    <row r="433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</row>
    <row r="434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</row>
    <row r="435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</row>
    <row r="436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</row>
    <row r="437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</row>
    <row r="438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</row>
    <row r="43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</row>
    <row r="440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</row>
    <row r="441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</row>
    <row r="4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</row>
    <row r="443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</row>
    <row r="444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</row>
    <row r="445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</row>
    <row r="446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</row>
    <row r="447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</row>
    <row r="448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</row>
    <row r="44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</row>
    <row r="450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</row>
    <row r="451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</row>
    <row r="45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</row>
    <row r="453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</row>
    <row r="454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</row>
    <row r="455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</row>
    <row r="456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</row>
    <row r="457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</row>
    <row r="458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</row>
    <row r="45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</row>
    <row r="460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</row>
    <row r="461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</row>
    <row r="46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</row>
    <row r="463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</row>
    <row r="464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</row>
    <row r="465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</row>
    <row r="466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</row>
    <row r="467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</row>
    <row r="468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</row>
    <row r="4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</row>
    <row r="470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</row>
    <row r="471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</row>
    <row r="47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</row>
    <row r="473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</row>
    <row r="474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</row>
    <row r="475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</row>
    <row r="476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</row>
    <row r="477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</row>
    <row r="478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</row>
    <row r="47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</row>
    <row r="480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</row>
    <row r="481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</row>
    <row r="48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</row>
    <row r="483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</row>
    <row r="484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</row>
    <row r="485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</row>
    <row r="486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</row>
    <row r="487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</row>
    <row r="488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</row>
    <row r="48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</row>
    <row r="490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</row>
    <row r="491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</row>
    <row r="49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</row>
    <row r="493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</row>
    <row r="494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</row>
    <row r="495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</row>
    <row r="496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</row>
    <row r="497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</row>
    <row r="498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</row>
    <row r="49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</row>
    <row r="500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</row>
    <row r="501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</row>
    <row r="50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</row>
    <row r="503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</row>
    <row r="504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</row>
    <row r="505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</row>
    <row r="506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</row>
    <row r="507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</row>
    <row r="508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</row>
    <row r="50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</row>
    <row r="510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</row>
    <row r="511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</row>
    <row r="51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</row>
    <row r="513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</row>
    <row r="514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</row>
    <row r="515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</row>
    <row r="516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</row>
    <row r="517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</row>
    <row r="518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</row>
    <row r="51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</row>
    <row r="520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</row>
    <row r="521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</row>
    <row r="52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</row>
    <row r="523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</row>
    <row r="524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</row>
    <row r="525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</row>
    <row r="526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</row>
    <row r="527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</row>
    <row r="528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</row>
    <row r="52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</row>
    <row r="530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</row>
    <row r="531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</row>
    <row r="53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</row>
    <row r="533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</row>
    <row r="534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</row>
    <row r="535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</row>
    <row r="536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</row>
    <row r="537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</row>
    <row r="538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</row>
    <row r="53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</row>
    <row r="540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</row>
    <row r="541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</row>
    <row r="5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</row>
    <row r="543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</row>
    <row r="544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</row>
    <row r="545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</row>
    <row r="546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</row>
    <row r="547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</row>
    <row r="548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</row>
    <row r="54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</row>
    <row r="550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</row>
    <row r="551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</row>
    <row r="55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</row>
    <row r="553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</row>
    <row r="554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</row>
    <row r="555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</row>
    <row r="556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</row>
    <row r="557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</row>
    <row r="558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</row>
    <row r="55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</row>
    <row r="560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</row>
    <row r="561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</row>
    <row r="56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</row>
    <row r="563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</row>
    <row r="564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</row>
    <row r="565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</row>
    <row r="566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</row>
    <row r="567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</row>
    <row r="568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</row>
    <row r="5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</row>
    <row r="570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</row>
    <row r="571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</row>
    <row r="57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</row>
    <row r="573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</row>
    <row r="574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</row>
    <row r="575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</row>
    <row r="576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</row>
    <row r="577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</row>
    <row r="578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</row>
    <row r="57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</row>
    <row r="580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</row>
    <row r="581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</row>
    <row r="58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</row>
    <row r="583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</row>
    <row r="584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</row>
    <row r="585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</row>
    <row r="586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</row>
    <row r="587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</row>
    <row r="588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</row>
    <row r="58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</row>
    <row r="590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</row>
    <row r="591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</row>
    <row r="59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</row>
    <row r="593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</row>
    <row r="594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</row>
    <row r="595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</row>
    <row r="596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</row>
    <row r="597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</row>
    <row r="598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</row>
    <row r="59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</row>
    <row r="600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</row>
    <row r="601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</row>
    <row r="60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</row>
    <row r="603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</row>
    <row r="604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</row>
    <row r="605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</row>
    <row r="606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</row>
    <row r="607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</row>
    <row r="608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</row>
    <row r="60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</row>
    <row r="610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</row>
    <row r="611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</row>
    <row r="61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</row>
    <row r="613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</row>
    <row r="614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</row>
    <row r="615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</row>
    <row r="616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</row>
    <row r="617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</row>
    <row r="618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</row>
    <row r="61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</row>
    <row r="620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</row>
    <row r="621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</row>
    <row r="62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</row>
    <row r="623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</row>
    <row r="624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</row>
    <row r="625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</row>
    <row r="626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</row>
    <row r="627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</row>
    <row r="628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</row>
    <row r="62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</row>
    <row r="630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</row>
    <row r="631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</row>
    <row r="63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</row>
    <row r="633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</row>
    <row r="634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</row>
    <row r="635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</row>
    <row r="636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</row>
    <row r="637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</row>
    <row r="638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</row>
    <row r="63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</row>
    <row r="640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</row>
    <row r="64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</row>
    <row r="6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</row>
    <row r="643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</row>
    <row r="644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</row>
    <row r="645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</row>
    <row r="646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</row>
    <row r="647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</row>
    <row r="648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</row>
    <row r="64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</row>
    <row r="650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</row>
    <row r="651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</row>
    <row r="65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</row>
    <row r="653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</row>
    <row r="654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</row>
    <row r="655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</row>
    <row r="656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</row>
    <row r="657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</row>
    <row r="658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</row>
    <row r="65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</row>
    <row r="660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</row>
    <row r="66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</row>
    <row r="66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</row>
    <row r="663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</row>
    <row r="664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</row>
    <row r="665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</row>
    <row r="666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</row>
    <row r="667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</row>
    <row r="668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</row>
    <row r="6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</row>
    <row r="670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</row>
    <row r="671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</row>
    <row r="67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</row>
    <row r="673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</row>
    <row r="674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</row>
    <row r="675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</row>
    <row r="676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</row>
    <row r="677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</row>
    <row r="678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</row>
    <row r="67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</row>
    <row r="680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</row>
    <row r="681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</row>
    <row r="68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</row>
    <row r="683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</row>
    <row r="684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</row>
    <row r="685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</row>
    <row r="686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</row>
    <row r="687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</row>
    <row r="688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</row>
    <row r="68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</row>
    <row r="690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</row>
    <row r="69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</row>
    <row r="69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</row>
    <row r="693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</row>
    <row r="694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</row>
    <row r="695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</row>
    <row r="696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</row>
    <row r="697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</row>
    <row r="698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</row>
    <row r="69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</row>
    <row r="700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</row>
    <row r="701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</row>
    <row r="70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</row>
    <row r="703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</row>
    <row r="704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</row>
    <row r="705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</row>
    <row r="706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</row>
    <row r="707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</row>
    <row r="708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</row>
    <row r="70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</row>
    <row r="710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</row>
    <row r="711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</row>
    <row r="71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</row>
    <row r="713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</row>
    <row r="714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</row>
    <row r="715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</row>
    <row r="716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</row>
    <row r="717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</row>
    <row r="718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</row>
    <row r="71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</row>
    <row r="720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</row>
    <row r="721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</row>
    <row r="72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</row>
    <row r="723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</row>
    <row r="724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</row>
    <row r="725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</row>
    <row r="726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</row>
    <row r="727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</row>
    <row r="728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</row>
    <row r="72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</row>
    <row r="730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</row>
    <row r="731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</row>
    <row r="73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</row>
    <row r="733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</row>
    <row r="734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</row>
    <row r="735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</row>
    <row r="736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</row>
    <row r="737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</row>
    <row r="738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</row>
    <row r="73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</row>
    <row r="740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</row>
    <row r="741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</row>
    <row r="7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</row>
    <row r="743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</row>
    <row r="744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</row>
    <row r="745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</row>
    <row r="746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</row>
    <row r="747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</row>
    <row r="748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</row>
    <row r="74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</row>
    <row r="750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</row>
    <row r="751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</row>
    <row r="75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</row>
    <row r="753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</row>
    <row r="754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</row>
    <row r="755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</row>
    <row r="756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</row>
    <row r="757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</row>
    <row r="758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</row>
    <row r="75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</row>
    <row r="760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</row>
    <row r="761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</row>
    <row r="76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</row>
    <row r="763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</row>
    <row r="764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</row>
    <row r="765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</row>
    <row r="766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</row>
    <row r="767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</row>
    <row r="768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</row>
    <row r="7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</row>
    <row r="770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</row>
    <row r="771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</row>
    <row r="77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</row>
    <row r="773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</row>
    <row r="774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</row>
    <row r="775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</row>
    <row r="776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</row>
    <row r="777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</row>
    <row r="778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</row>
    <row r="77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</row>
    <row r="780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</row>
    <row r="781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</row>
    <row r="78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</row>
    <row r="783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</row>
    <row r="784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</row>
    <row r="785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</row>
    <row r="786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</row>
    <row r="787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</row>
    <row r="788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</row>
    <row r="78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</row>
    <row r="790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</row>
    <row r="791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</row>
    <row r="79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</row>
    <row r="793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</row>
    <row r="794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</row>
    <row r="795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</row>
    <row r="796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</row>
    <row r="797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</row>
    <row r="798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</row>
    <row r="79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</row>
    <row r="800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</row>
    <row r="80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</row>
    <row r="80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</row>
    <row r="803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</row>
    <row r="804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</row>
    <row r="805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</row>
    <row r="806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</row>
    <row r="807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</row>
    <row r="808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</row>
    <row r="80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</row>
    <row r="810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</row>
    <row r="81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</row>
    <row r="81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</row>
    <row r="813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</row>
    <row r="814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</row>
    <row r="815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</row>
    <row r="816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</row>
    <row r="817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</row>
    <row r="818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</row>
    <row r="81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</row>
    <row r="820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</row>
    <row r="82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</row>
    <row r="82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</row>
    <row r="823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</row>
    <row r="824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</row>
    <row r="825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</row>
    <row r="826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</row>
    <row r="827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</row>
    <row r="828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</row>
    <row r="82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</row>
    <row r="830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</row>
    <row r="83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</row>
    <row r="83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</row>
    <row r="833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</row>
    <row r="834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</row>
    <row r="835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</row>
    <row r="836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</row>
    <row r="837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</row>
    <row r="838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</row>
    <row r="83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</row>
    <row r="840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</row>
    <row r="84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</row>
    <row r="8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</row>
    <row r="843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</row>
    <row r="844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</row>
    <row r="845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</row>
    <row r="846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</row>
    <row r="847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</row>
    <row r="848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</row>
    <row r="84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</row>
    <row r="850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</row>
    <row r="85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</row>
    <row r="85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</row>
    <row r="853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</row>
    <row r="854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</row>
    <row r="855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</row>
    <row r="856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</row>
    <row r="857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</row>
    <row r="858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</row>
    <row r="85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</row>
    <row r="860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</row>
    <row r="86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</row>
    <row r="86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</row>
    <row r="863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</row>
    <row r="864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</row>
    <row r="865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</row>
    <row r="866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</row>
    <row r="867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</row>
    <row r="868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</row>
    <row r="8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</row>
    <row r="870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</row>
    <row r="87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</row>
    <row r="87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</row>
    <row r="873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</row>
    <row r="874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</row>
    <row r="875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</row>
    <row r="876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</row>
    <row r="877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</row>
    <row r="878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</row>
    <row r="87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</row>
    <row r="880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</row>
    <row r="88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</row>
    <row r="88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</row>
    <row r="883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</row>
    <row r="884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</row>
    <row r="885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</row>
    <row r="886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</row>
    <row r="887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</row>
    <row r="888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</row>
    <row r="88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</row>
    <row r="890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</row>
    <row r="89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</row>
    <row r="89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</row>
    <row r="893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</row>
    <row r="894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</row>
    <row r="895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</row>
    <row r="896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</row>
    <row r="897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</row>
    <row r="898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</row>
    <row r="89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</row>
    <row r="900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</row>
    <row r="90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</row>
    <row r="90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</row>
    <row r="903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</row>
    <row r="904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</row>
    <row r="905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</row>
    <row r="906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</row>
    <row r="907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</row>
    <row r="908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</row>
    <row r="90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</row>
    <row r="910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</row>
    <row r="91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</row>
    <row r="91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</row>
    <row r="913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</row>
    <row r="914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</row>
    <row r="915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</row>
    <row r="916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</row>
    <row r="917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</row>
    <row r="918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</row>
    <row r="91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</row>
    <row r="920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</row>
    <row r="92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</row>
    <row r="92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</row>
    <row r="923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</row>
    <row r="924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</row>
    <row r="925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</row>
    <row r="926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</row>
    <row r="927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</row>
    <row r="928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</row>
    <row r="92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</row>
    <row r="930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</row>
    <row r="93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</row>
    <row r="93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</row>
    <row r="933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</row>
    <row r="934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</row>
    <row r="935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</row>
    <row r="936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</row>
    <row r="937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</row>
    <row r="938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</row>
    <row r="93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</row>
    <row r="940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</row>
    <row r="94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</row>
    <row r="9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</row>
    <row r="943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</row>
    <row r="944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</row>
    <row r="945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</row>
    <row r="946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</row>
    <row r="947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</row>
    <row r="948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</row>
    <row r="94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</row>
    <row r="950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</row>
    <row r="95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</row>
    <row r="95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</row>
    <row r="953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</row>
    <row r="954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</row>
    <row r="955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</row>
    <row r="956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</row>
    <row r="957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</row>
    <row r="958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</row>
    <row r="95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</row>
    <row r="960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</row>
    <row r="96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</row>
    <row r="96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</row>
    <row r="963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</row>
    <row r="964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</row>
    <row r="965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</row>
    <row r="966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</row>
    <row r="967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</row>
    <row r="968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</row>
    <row r="9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</row>
    <row r="970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</row>
    <row r="97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</row>
    <row r="97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</row>
    <row r="973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</row>
    <row r="974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</row>
    <row r="975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</row>
    <row r="976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</row>
    <row r="977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</row>
    <row r="978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</row>
    <row r="97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</row>
    <row r="980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</row>
    <row r="98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</row>
    <row r="98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</row>
    <row r="983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</row>
    <row r="984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</row>
    <row r="985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</row>
    <row r="986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</row>
    <row r="987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</row>
    <row r="988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</row>
    <row r="98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</row>
    <row r="990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</row>
    <row r="99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</row>
    <row r="99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</row>
    <row r="993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</row>
    <row r="994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</row>
    <row r="995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</row>
    <row r="996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</row>
    <row r="997">
      <c r="A997" s="45" t="n"/>
      <c r="B997" s="45" t="n"/>
      <c r="C997" s="45" t="n"/>
      <c r="D997" s="45" t="n"/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</row>
    <row r="998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</row>
    <row r="999">
      <c r="A999" s="45" t="n"/>
      <c r="B999" s="45" t="n"/>
      <c r="C999" s="45" t="n"/>
      <c r="D999" s="45" t="n"/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</row>
    <row r="1000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163" min="5" max="5"/>
    <col width="0.38" customWidth="1" style="163" min="6" max="6"/>
    <col width="30.88" customWidth="1" style="163" min="7" max="7"/>
    <col width="17.88" customWidth="1" style="163" min="9" max="9"/>
    <col width="22.88" customWidth="1" style="163" min="10" max="10"/>
    <col width="39.38" customWidth="1" style="163" min="11" max="11"/>
    <col width="55" customWidth="1" style="163" min="12" max="12"/>
  </cols>
  <sheetData>
    <row r="1">
      <c r="A1" s="45">
        <f>IFERROR(__xludf.DUMMYFUNCTION("IMPORTRANGE(""https://docs.google.com/spreadsheets/d/13lZfV1HAcVuOAxd9-xHCEsxO0wHmPnJNl9NuoURpM6U/edit?gid=1819627895#gid=1819627895"",""Verden-2026-W20!A:BB"")"),"")</f>
        <v/>
      </c>
      <c r="B1" s="45">
        <f>IFERROR(__xludf.DUMMYFUNCTION("""COMPUTED_VALUE"""),"Production week")</f>
        <v/>
      </c>
      <c r="C1" s="45">
        <f>IFERROR(__xludf.DUMMYFUNCTION("""COMPUTED_VALUE"""),20.0)</f>
        <v/>
      </c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5" t="n"/>
      <c r="B2" s="45">
        <f>IFERROR(__xludf.DUMMYFUNCTION("""COMPUTED_VALUE"""),"Priority")</f>
        <v/>
      </c>
      <c r="C2" s="45">
        <f>IFERROR(__xludf.DUMMYFUNCTION("""COMPUTED_VALUE"""),"WOStaging by")</f>
        <v/>
      </c>
      <c r="D2" s="45">
        <f>IFERROR(__xludf.DUMMYFUNCTION("""COMPUTED_VALUE"""),"Comments WO's")</f>
        <v/>
      </c>
      <c r="E2" s="45">
        <f>IFERROR(__xludf.DUMMYFUNCTION("""COMPUTED_VALUE"""),"Debox Day")</f>
        <v/>
      </c>
      <c r="F2" s="45">
        <f>IFERROR(__xludf.DUMMYFUNCTION("""COMPUTED_VALUE"""),"WO Ready")</f>
        <v/>
      </c>
      <c r="G2" s="45">
        <f>IFERROR(__xludf.DUMMYFUNCTION("""COMPUTED_VALUE"""),"Hot Kitchen Weekday")</f>
        <v/>
      </c>
      <c r="H2" s="45">
        <f>IFERROR(__xludf.DUMMYFUNCTION("""COMPUTED_VALUE"""),"Date Needed")</f>
        <v/>
      </c>
      <c r="I2" s="45">
        <f>IFERROR(__xludf.DUMMYFUNCTION("""COMPUTED_VALUE"""),"Work Order Number")</f>
        <v/>
      </c>
      <c r="J2" s="45">
        <f>IFERROR(__xludf.DUMMYFUNCTION("""COMPUTED_VALUE"""),"Recipe ID")</f>
        <v/>
      </c>
      <c r="K2" s="45">
        <f>IFERROR(__xludf.DUMMYFUNCTION("""COMPUTED_VALUE"""),"Recipe Name")</f>
        <v/>
      </c>
      <c r="L2" s="45">
        <f>IFERROR(__xludf.DUMMYFUNCTION("""COMPUTED_VALUE"""),"Sub Recipe Name")</f>
        <v/>
      </c>
      <c r="M2" s="45">
        <f>IFERROR(__xludf.DUMMYFUNCTION("""COMPUTED_VALUE"""),"Production Minimum Needs Amount")</f>
        <v/>
      </c>
      <c r="N2" s="45">
        <f>IFERROR(__xludf.DUMMYFUNCTION("""COMPUTED_VALUE"""),"Cook Methods")</f>
        <v/>
      </c>
      <c r="O2" s="45">
        <f>IFERROR(__xludf.DUMMYFUNCTION("""COMPUTED_VALUE"""),"WO Cooked Portions")</f>
        <v/>
      </c>
      <c r="P2" s="45">
        <f>IFERROR(__xludf.DUMMYFUNCTION("""COMPUTED_VALUE"""),"Target Portions")</f>
        <v/>
      </c>
      <c r="Q2" s="45">
        <f>IFERROR(__xludf.DUMMYFUNCTION("""COMPUTED_VALUE"""),"Cooked Portions Excess")</f>
        <v/>
      </c>
      <c r="R2" s="45">
        <f>IFERROR(__xludf.DUMMYFUNCTION("""COMPUTED_VALUE"""),"Staging Status")</f>
        <v/>
      </c>
      <c r="S2" s="45">
        <f>IFERROR(__xludf.DUMMYFUNCTION("""COMPUTED_VALUE"""),"Staging Comment")</f>
        <v/>
      </c>
      <c r="T2" s="45">
        <f>IFERROR(__xludf.DUMMYFUNCTION("""COMPUTED_VALUE"""),"Kitchen Status")</f>
        <v/>
      </c>
      <c r="U2" s="45">
        <f>IFERROR(__xludf.DUMMYFUNCTION("""COMPUTED_VALUE"""),"Unlocked ETA")</f>
        <v/>
      </c>
      <c r="V2" s="45">
        <f>IFERROR(__xludf.DUMMYFUNCTION("""COMPUTED_VALUE"""),"Work Order Comment")</f>
        <v/>
      </c>
      <c r="W2" s="45">
        <f>IFERROR(__xludf.DUMMYFUNCTION("""COMPUTED_VALUE"""),"Date Needed")</f>
        <v/>
      </c>
      <c r="X2" s="45">
        <f>IFERROR(__xludf.DUMMYFUNCTION("""COMPUTED_VALUE"""),"Work Order Number")</f>
        <v/>
      </c>
      <c r="Y2" s="45">
        <f>IFERROR(__xludf.DUMMYFUNCTION("""COMPUTED_VALUE"""),"Recipe ID")</f>
        <v/>
      </c>
      <c r="Z2" s="45">
        <f>IFERROR(__xludf.DUMMYFUNCTION("""COMPUTED_VALUE"""),"Allergense")</f>
        <v/>
      </c>
    </row>
    <row r="3">
      <c r="A3" s="45" t="n"/>
      <c r="B3" s="45">
        <f>IFERROR(__xludf.DUMMYFUNCTION("""COMPUTED_VALUE"""),1.0)</f>
        <v/>
      </c>
      <c r="C3" s="45">
        <f>IFERROR(__xludf.DUMMYFUNCTION("""COMPUTED_VALUE"""),"02.05 Part. Staged
Chicken&amp;Greek Yoghurt missing ")</f>
        <v/>
      </c>
      <c r="D3" s="45">
        <f>IFERROR(__xludf.DUMMYFUNCTION("""COMPUTED_VALUE"""),"only 650KG Chicken verfügbar. ")</f>
        <v/>
      </c>
      <c r="E3" s="45">
        <f>IFERROR(__xludf.DUMMYFUNCTION("""COMPUTED_VALUE"""),"Sunday")</f>
        <v/>
      </c>
      <c r="F3" s="45">
        <f>IFERROR(__xludf.DUMMYFUNCTION("""COMPUTED_VALUE"""),FALSE)</f>
        <v/>
      </c>
      <c r="G3" s="45">
        <f>IFERROR(__xludf.DUMMYFUNCTION("""COMPUTED_VALUE"""),"Monday")</f>
        <v/>
      </c>
      <c r="H3" s="45">
        <f>IFERROR(__xludf.DUMMYFUNCTION("""COMPUTED_VALUE"""),"2026-05-03 - 1")</f>
        <v/>
      </c>
      <c r="I3" s="45">
        <f>IFERROR(__xludf.DUMMYFUNCTION("""COMPUTED_VALUE"""),"20-32")</f>
        <v/>
      </c>
      <c r="J3" s="45">
        <f>IFERROR(__xludf.DUMMYFUNCTION("""COMPUTED_VALUE"""),"REC-013852-4-002")</f>
        <v/>
      </c>
      <c r="K3" s="45">
        <f>IFERROR(__xludf.DUMMYFUNCTION("""COMPUTED_VALUE"""),"FV0472A - Indian Butter Chicken [DE]")</f>
        <v/>
      </c>
      <c r="L3" s="45">
        <f>IFERROR(__xludf.DUMMYFUNCTION("""COMPUTED_VALUE"""),"Diced chicken - Butter Chicken Batch - BA")</f>
        <v/>
      </c>
      <c r="M3" s="45">
        <f>IFERROR(__xludf.DUMMYFUNCTION("""COMPUTED_VALUE"""),0.0)</f>
        <v/>
      </c>
      <c r="N3" s="45">
        <f>IFERROR(__xludf.DUMMYFUNCTION("""COMPUTED_VALUE"""),"MARINADE / OVEN / BLAST CHILLER")</f>
        <v/>
      </c>
      <c r="O3" s="45" t="n"/>
      <c r="P3" s="45">
        <f>IFERROR(__xludf.DUMMYFUNCTION("""COMPUTED_VALUE"""),6102.0)</f>
        <v/>
      </c>
      <c r="Q3" s="45">
        <f>IFERROR(__xludf.DUMMYFUNCTION("""COMPUTED_VALUE"""),-6102.0)</f>
        <v/>
      </c>
      <c r="R3" s="45">
        <f>IFERROR(__xludf.DUMMYFUNCTION("""COMPUTED_VALUE"""),"Partially Staged")</f>
        <v/>
      </c>
      <c r="S3" s="45" t="n"/>
      <c r="T3" s="45">
        <f>IFERROR(__xludf.DUMMYFUNCTION("""COMPUTED_VALUE"""),"Not Started")</f>
        <v/>
      </c>
      <c r="U3" s="45" t="n"/>
      <c r="V3" s="45" t="n"/>
      <c r="W3" s="45" t="n"/>
      <c r="X3" s="45" t="n"/>
      <c r="Y3" s="45" t="n"/>
      <c r="Z3" s="45">
        <f>IFERROR(__xludf.DUMMYFUNCTION("""COMPUTED_VALUE"""),"MILCH (EINSCHLIESSLICH LAKTOSE), SCHWEFELDIOXIDE UND SULFITE")</f>
        <v/>
      </c>
    </row>
    <row r="4">
      <c r="A4" s="45" t="n"/>
      <c r="B4" s="45">
        <f>IFERROR(__xludf.DUMMYFUNCTION("""COMPUTED_VALUE"""),2.0)</f>
        <v/>
      </c>
      <c r="C4" s="45">
        <f>IFERROR(__xludf.DUMMYFUNCTION("""COMPUTED_VALUE"""),"02.05 Part. Staged
Onions missing (arrive on 03.5)")</f>
        <v/>
      </c>
      <c r="D4" s="45" t="n"/>
      <c r="E4" s="45">
        <f>IFERROR(__xludf.DUMMYFUNCTION("""COMPUTED_VALUE"""),"Sunday")</f>
        <v/>
      </c>
      <c r="F4" s="45">
        <f>IFERROR(__xludf.DUMMYFUNCTION("""COMPUTED_VALUE"""),FALSE)</f>
        <v/>
      </c>
      <c r="G4" s="45">
        <f>IFERROR(__xludf.DUMMYFUNCTION("""COMPUTED_VALUE"""),"Monday")</f>
        <v/>
      </c>
      <c r="H4" s="45">
        <f>IFERROR(__xludf.DUMMYFUNCTION("""COMPUTED_VALUE"""),"2026-05-03 - 1")</f>
        <v/>
      </c>
      <c r="I4" s="45">
        <f>IFERROR(__xludf.DUMMYFUNCTION("""COMPUTED_VALUE"""),"20-35")</f>
        <v/>
      </c>
      <c r="J4" s="45">
        <f>IFERROR(__xludf.DUMMYFUNCTION("""COMPUTED_VALUE"""),"REC-029854-4-001")</f>
        <v/>
      </c>
      <c r="K4" s="45">
        <f>IFERROR(__xludf.DUMMYFUNCTION("""COMPUTED_VALUE"""),"FV0846A - Stroganoff-Style Beef Burger [DE]")</f>
        <v/>
      </c>
      <c r="L4" s="45">
        <f>IFERROR(__xludf.DUMMYFUNCTION("""COMPUTED_VALUE"""),"Beef Burger Master EU")</f>
        <v/>
      </c>
      <c r="M4" s="45">
        <f>IFERROR(__xludf.DUMMYFUNCTION("""COMPUTED_VALUE"""),0.0)</f>
        <v/>
      </c>
      <c r="N4" s="45">
        <f>IFERROR(__xludf.DUMMYFUNCTION("""COMPUTED_VALUE"""),"HORIZONTAL MIXER / PATTY MAKER / OVEN / BLAST CHILLER")</f>
        <v/>
      </c>
      <c r="O4" s="45" t="n"/>
      <c r="P4" s="45">
        <f>IFERROR(__xludf.DUMMYFUNCTION("""COMPUTED_VALUE"""),1826.0)</f>
        <v/>
      </c>
      <c r="Q4" s="45">
        <f>IFERROR(__xludf.DUMMYFUNCTION("""COMPUTED_VALUE"""),-1826.0)</f>
        <v/>
      </c>
      <c r="R4" s="45">
        <f>IFERROR(__xludf.DUMMYFUNCTION("""COMPUTED_VALUE"""),"Partially Staged")</f>
        <v/>
      </c>
      <c r="S4" s="45" t="n"/>
      <c r="T4" s="45">
        <f>IFERROR(__xludf.DUMMYFUNCTION("""COMPUTED_VALUE"""),"Not Started")</f>
        <v/>
      </c>
      <c r="U4" s="45" t="n"/>
      <c r="V4" s="45" t="n"/>
      <c r="W4" s="45" t="n"/>
      <c r="X4" s="45" t="n"/>
      <c r="Y4" s="45" t="n"/>
      <c r="Z4" s="45">
        <f>IFERROR(__xludf.DUMMYFUNCTION("""COMPUTED_VALUE"""),"SCHWEFELDIOXIDE UND SULFITE")</f>
        <v/>
      </c>
    </row>
    <row r="5">
      <c r="A5" s="45" t="n"/>
      <c r="B5" s="45">
        <f>IFERROR(__xludf.DUMMYFUNCTION("""COMPUTED_VALUE"""),3.0)</f>
        <v/>
      </c>
      <c r="C5" s="45" t="n"/>
      <c r="D5" s="45" t="n"/>
      <c r="E5" s="45">
        <f>IFERROR(__xludf.DUMMYFUNCTION("""COMPUTED_VALUE"""),"Monday")</f>
        <v/>
      </c>
      <c r="F5" s="45">
        <f>IFERROR(__xludf.DUMMYFUNCTION("""COMPUTED_VALUE"""),FALSE)</f>
        <v/>
      </c>
      <c r="G5" s="45">
        <f>IFERROR(__xludf.DUMMYFUNCTION("""COMPUTED_VALUE"""),"Tuesday")</f>
        <v/>
      </c>
      <c r="H5" s="45">
        <f>IFERROR(__xludf.DUMMYFUNCTION("""COMPUTED_VALUE"""),"2026-05-04 - 1")</f>
        <v/>
      </c>
      <c r="I5" s="45">
        <f>IFERROR(__xludf.DUMMYFUNCTION("""COMPUTED_VALUE"""),"20-18")</f>
        <v/>
      </c>
      <c r="J5" s="45">
        <f>IFERROR(__xludf.DUMMYFUNCTION("""COMPUTED_VALUE"""),"REC-014197-4-004")</f>
        <v/>
      </c>
      <c r="K5" s="45">
        <f>IFERROR(__xludf.DUMMYFUNCTION("""COMPUTED_VALUE"""),"FV0281A - Baja Salmon [DE]")</f>
        <v/>
      </c>
      <c r="L5" s="45">
        <f>IFERROR(__xludf.DUMMYFUNCTION("""COMPUTED_VALUE"""),"Salmon - BAJA Salmon - Batch")</f>
        <v/>
      </c>
      <c r="M5" s="45">
        <f>IFERROR(__xludf.DUMMYFUNCTION("""COMPUTED_VALUE"""),0.0)</f>
        <v/>
      </c>
      <c r="N5" s="45">
        <f>IFERROR(__xludf.DUMMYFUNCTION("""COMPUTED_VALUE"""),"THAW / HAND MARINADE / OVEN / BLAST CHILLER")</f>
        <v/>
      </c>
      <c r="O5" s="45" t="n"/>
      <c r="P5" s="45">
        <f>IFERROR(__xludf.DUMMYFUNCTION("""COMPUTED_VALUE"""),7550.0)</f>
        <v/>
      </c>
      <c r="Q5" s="45">
        <f>IFERROR(__xludf.DUMMYFUNCTION("""COMPUTED_VALUE"""),-7550.0)</f>
        <v/>
      </c>
      <c r="R5" s="45">
        <f>IFERROR(__xludf.DUMMYFUNCTION("""COMPUTED_VALUE"""),"Open")</f>
        <v/>
      </c>
      <c r="S5" s="45" t="n"/>
      <c r="T5" s="45">
        <f>IFERROR(__xludf.DUMMYFUNCTION("""COMPUTED_VALUE"""),"Not Started")</f>
        <v/>
      </c>
      <c r="U5" s="45" t="n"/>
      <c r="V5" s="45" t="n"/>
      <c r="W5" s="45" t="n"/>
      <c r="X5" s="45" t="n"/>
      <c r="Y5" s="45" t="n"/>
      <c r="Z5" s="45">
        <f>IFERROR(__xludf.DUMMYFUNCTION("""COMPUTED_VALUE"""),"FISCH, SCHWEFELDIOXIDE UND SULFITE")</f>
        <v/>
      </c>
    </row>
    <row r="6">
      <c r="A6" s="45" t="n"/>
      <c r="B6" s="45">
        <f>IFERROR(__xludf.DUMMYFUNCTION("""COMPUTED_VALUE"""),4.0)</f>
        <v/>
      </c>
      <c r="C6" s="45">
        <f>IFERROR(__xludf.DUMMYFUNCTION("""COMPUTED_VALUE"""),"02.05 Part. Staged
Garlic &amp; Koriander missing (arrive 03.5)")</f>
        <v/>
      </c>
      <c r="D6" s="45" t="n"/>
      <c r="E6" s="45">
        <f>IFERROR(__xludf.DUMMYFUNCTION("""COMPUTED_VALUE"""),"Monday")</f>
        <v/>
      </c>
      <c r="F6" s="45">
        <f>IFERROR(__xludf.DUMMYFUNCTION("""COMPUTED_VALUE"""),FALSE)</f>
        <v/>
      </c>
      <c r="G6" s="45">
        <f>IFERROR(__xludf.DUMMYFUNCTION("""COMPUTED_VALUE"""),"Monday")</f>
        <v/>
      </c>
      <c r="H6" s="45">
        <f>IFERROR(__xludf.DUMMYFUNCTION("""COMPUTED_VALUE"""),"2026-05-04 - 1")</f>
        <v/>
      </c>
      <c r="I6" s="45">
        <f>IFERROR(__xludf.DUMMYFUNCTION("""COMPUTED_VALUE"""),"20-31")</f>
        <v/>
      </c>
      <c r="J6" s="45">
        <f>IFERROR(__xludf.DUMMYFUNCTION("""COMPUTED_VALUE"""),"REC-013852-4-002")</f>
        <v/>
      </c>
      <c r="K6" s="45">
        <f>IFERROR(__xludf.DUMMYFUNCTION("""COMPUTED_VALUE"""),"FV0472A - Indian Butter Chicken [DE]")</f>
        <v/>
      </c>
      <c r="L6" s="45">
        <f>IFERROR(__xludf.DUMMYFUNCTION("""COMPUTED_VALUE"""),"Cauliflower rice - Cilantro and Lime Cauliflower Rice - BA")</f>
        <v/>
      </c>
      <c r="M6" s="45">
        <f>IFERROR(__xludf.DUMMYFUNCTION("""COMPUTED_VALUE"""),0.0)</f>
        <v/>
      </c>
      <c r="N6" s="45">
        <f>IFERROR(__xludf.DUMMYFUNCTION("""COMPUTED_VALUE"""),"OVEN / BLAST CHILLER")</f>
        <v/>
      </c>
      <c r="O6" s="45" t="n"/>
      <c r="P6" s="45">
        <f>IFERROR(__xludf.DUMMYFUNCTION("""COMPUTED_VALUE"""),6379.0)</f>
        <v/>
      </c>
      <c r="Q6" s="45">
        <f>IFERROR(__xludf.DUMMYFUNCTION("""COMPUTED_VALUE"""),-6379.0)</f>
        <v/>
      </c>
      <c r="R6" s="45">
        <f>IFERROR(__xludf.DUMMYFUNCTION("""COMPUTED_VALUE"""),"Partially Staged")</f>
        <v/>
      </c>
      <c r="S6" s="45" t="n"/>
      <c r="T6" s="45">
        <f>IFERROR(__xludf.DUMMYFUNCTION("""COMPUTED_VALUE"""),"Not Started")</f>
        <v/>
      </c>
      <c r="U6" s="45" t="n"/>
      <c r="V6" s="45" t="n"/>
      <c r="W6" s="45" t="n"/>
      <c r="X6" s="45" t="n"/>
      <c r="Y6" s="45" t="n"/>
      <c r="Z6" s="45" t="n"/>
    </row>
    <row r="7">
      <c r="A7" s="45" t="n"/>
      <c r="B7" s="45">
        <f>IFERROR(__xludf.DUMMYFUNCTION("""COMPUTED_VALUE"""),5.0)</f>
        <v/>
      </c>
      <c r="C7" s="45">
        <f>IFERROR(__xludf.DUMMYFUNCTION("""COMPUTED_VALUE"""),"02.05 Green Onions missing (arrcie 03.5)")</f>
        <v/>
      </c>
      <c r="D7" s="45" t="n"/>
      <c r="E7" s="45">
        <f>IFERROR(__xludf.DUMMYFUNCTION("""COMPUTED_VALUE"""),"Monday")</f>
        <v/>
      </c>
      <c r="F7" s="45">
        <f>IFERROR(__xludf.DUMMYFUNCTION("""COMPUTED_VALUE"""),FALSE)</f>
        <v/>
      </c>
      <c r="G7" s="45">
        <f>IFERROR(__xludf.DUMMYFUNCTION("""COMPUTED_VALUE"""),"Monday")</f>
        <v/>
      </c>
      <c r="H7" s="45">
        <f>IFERROR(__xludf.DUMMYFUNCTION("""COMPUTED_VALUE"""),"2026-05-04 - 1")</f>
        <v/>
      </c>
      <c r="I7" s="45">
        <f>IFERROR(__xludf.DUMMYFUNCTION("""COMPUTED_VALUE"""),"20-33")</f>
        <v/>
      </c>
      <c r="J7" s="45">
        <f>IFERROR(__xludf.DUMMYFUNCTION("""COMPUTED_VALUE"""),"REC-013852-4-002")</f>
        <v/>
      </c>
      <c r="K7" s="45">
        <f>IFERROR(__xludf.DUMMYFUNCTION("""COMPUTED_VALUE"""),"FV0472A - Indian Butter Chicken [DE]")</f>
        <v/>
      </c>
      <c r="L7" s="45">
        <f>IFERROR(__xludf.DUMMYFUNCTION("""COMPUTED_VALUE"""),"Roasted Green Onions")</f>
        <v/>
      </c>
      <c r="M7" s="45">
        <f>IFERROR(__xludf.DUMMYFUNCTION("""COMPUTED_VALUE"""),0.0)</f>
        <v/>
      </c>
      <c r="N7" s="45">
        <f>IFERROR(__xludf.DUMMYFUNCTION("""COMPUTED_VALUE"""),"OVEN / BLAST CHILLER")</f>
        <v/>
      </c>
      <c r="O7" s="45" t="n"/>
      <c r="P7" s="45">
        <f>IFERROR(__xludf.DUMMYFUNCTION("""COMPUTED_VALUE"""),6379.0)</f>
        <v/>
      </c>
      <c r="Q7" s="45">
        <f>IFERROR(__xludf.DUMMYFUNCTION("""COMPUTED_VALUE"""),-6379.0)</f>
        <v/>
      </c>
      <c r="R7" s="45">
        <f>IFERROR(__xludf.DUMMYFUNCTION("""COMPUTED_VALUE"""),"Released")</f>
        <v/>
      </c>
      <c r="S7" s="45" t="n"/>
      <c r="T7" s="45">
        <f>IFERROR(__xludf.DUMMYFUNCTION("""COMPUTED_VALUE"""),"Not Started")</f>
        <v/>
      </c>
      <c r="U7" s="45" t="n"/>
      <c r="V7" s="45" t="n"/>
      <c r="W7" s="45" t="n"/>
      <c r="X7" s="45" t="n"/>
      <c r="Y7" s="45" t="n"/>
      <c r="Z7" s="45" t="n"/>
    </row>
    <row r="8">
      <c r="A8" s="45" t="n"/>
      <c r="B8" s="45">
        <f>IFERROR(__xludf.DUMMYFUNCTION("""COMPUTED_VALUE"""),6.0)</f>
        <v/>
      </c>
      <c r="C8" s="45">
        <f>IFERROR(__xludf.DUMMYFUNCTION("""COMPUTED_VALUE"""),"02.05 Part. Staged
missing Onions (arrive 03.5)
missing butter unsalted")</f>
        <v/>
      </c>
      <c r="D8" s="45" t="n"/>
      <c r="E8" s="45">
        <f>IFERROR(__xludf.DUMMYFUNCTION("""COMPUTED_VALUE"""),"Monday")</f>
        <v/>
      </c>
      <c r="F8" s="45">
        <f>IFERROR(__xludf.DUMMYFUNCTION("""COMPUTED_VALUE"""),FALSE)</f>
        <v/>
      </c>
      <c r="G8" s="45">
        <f>IFERROR(__xludf.DUMMYFUNCTION("""COMPUTED_VALUE"""),"Monday")</f>
        <v/>
      </c>
      <c r="H8" s="45">
        <f>IFERROR(__xludf.DUMMYFUNCTION("""COMPUTED_VALUE"""),"2026-05-04 - 1")</f>
        <v/>
      </c>
      <c r="I8" s="45">
        <f>IFERROR(__xludf.DUMMYFUNCTION("""COMPUTED_VALUE"""),"20-34")</f>
        <v/>
      </c>
      <c r="J8" s="45">
        <f>IFERROR(__xludf.DUMMYFUNCTION("""COMPUTED_VALUE"""),"REC-013852-4-002")</f>
        <v/>
      </c>
      <c r="K8" s="45">
        <f>IFERROR(__xludf.DUMMYFUNCTION("""COMPUTED_VALUE"""),"FV0472A - Indian Butter Chicken [DE]")</f>
        <v/>
      </c>
      <c r="L8" s="45">
        <f>IFERROR(__xludf.DUMMYFUNCTION("""COMPUTED_VALUE"""),"Sauce - Butter Chicken sauce")</f>
        <v/>
      </c>
      <c r="M8" s="45">
        <f>IFERROR(__xludf.DUMMYFUNCTION("""COMPUTED_VALUE"""),0.0)</f>
        <v/>
      </c>
      <c r="N8" s="45">
        <f>IFERROR(__xludf.DUMMYFUNCTION("""COMPUTED_VALUE"""),"SPICE PORTIONING / IMMERSION BLENDER / BRAISER / BLAST CHILLER")</f>
        <v/>
      </c>
      <c r="O8" s="45" t="n"/>
      <c r="P8" s="45">
        <f>IFERROR(__xludf.DUMMYFUNCTION("""COMPUTED_VALUE"""),6379.0)</f>
        <v/>
      </c>
      <c r="Q8" s="45">
        <f>IFERROR(__xludf.DUMMYFUNCTION("""COMPUTED_VALUE"""),-6379.0)</f>
        <v/>
      </c>
      <c r="R8" s="45">
        <f>IFERROR(__xludf.DUMMYFUNCTION("""COMPUTED_VALUE"""),"Partially Staged")</f>
        <v/>
      </c>
      <c r="S8" s="45" t="n"/>
      <c r="T8" s="45">
        <f>IFERROR(__xludf.DUMMYFUNCTION("""COMPUTED_VALUE"""),"Not Started")</f>
        <v/>
      </c>
      <c r="U8" s="45" t="n"/>
      <c r="V8" s="45" t="n"/>
      <c r="W8" s="45" t="n"/>
      <c r="X8" s="45" t="n"/>
      <c r="Y8" s="45" t="n"/>
      <c r="Z8" s="45">
        <f>IFERROR(__xludf.DUMMYFUNCTION("""COMPUTED_VALUE"""),"MILCH (EINSCHLIESSLICH LAKTOSE), SCHWEFELDIOXIDE UND SULFITE")</f>
        <v/>
      </c>
    </row>
    <row r="9">
      <c r="A9" s="45" t="n"/>
      <c r="B9" s="45">
        <f>IFERROR(__xludf.DUMMYFUNCTION("""COMPUTED_VALUE"""),7.0)</f>
        <v/>
      </c>
      <c r="C9" s="45">
        <f>IFERROR(__xludf.DUMMYFUNCTION("""COMPUTED_VALUE"""),"02.05 Part. Staged
missing green beans (arriive 03.5)")</f>
        <v/>
      </c>
      <c r="D9" s="45" t="n"/>
      <c r="E9" s="45">
        <f>IFERROR(__xludf.DUMMYFUNCTION("""COMPUTED_VALUE"""),"Monday")</f>
        <v/>
      </c>
      <c r="F9" s="45">
        <f>IFERROR(__xludf.DUMMYFUNCTION("""COMPUTED_VALUE"""),FALSE)</f>
        <v/>
      </c>
      <c r="G9" s="45">
        <f>IFERROR(__xludf.DUMMYFUNCTION("""COMPUTED_VALUE"""),"Monday")</f>
        <v/>
      </c>
      <c r="H9" s="45">
        <f>IFERROR(__xludf.DUMMYFUNCTION("""COMPUTED_VALUE"""),"2026-05-04 - 1")</f>
        <v/>
      </c>
      <c r="I9" s="45">
        <f>IFERROR(__xludf.DUMMYFUNCTION("""COMPUTED_VALUE"""),"20-26")</f>
        <v/>
      </c>
      <c r="J9" s="45">
        <f>IFERROR(__xludf.DUMMYFUNCTION("""COMPUTED_VALUE"""),"REC-029854-4-001")</f>
        <v/>
      </c>
      <c r="K9" s="45">
        <f>IFERROR(__xludf.DUMMYFUNCTION("""COMPUTED_VALUE"""),"FV0846A - Stroganoff-Style Beef Burger [DE]")</f>
        <v/>
      </c>
      <c r="L9" s="45">
        <f>IFERROR(__xludf.DUMMYFUNCTION("""COMPUTED_VALUE"""),"Green Beans CUT 1-1/2 - Fresh - Less Salt")</f>
        <v/>
      </c>
      <c r="M9" s="45">
        <f>IFERROR(__xludf.DUMMYFUNCTION("""COMPUTED_VALUE"""),0.0)</f>
        <v/>
      </c>
      <c r="N9" s="45">
        <f>IFERROR(__xludf.DUMMYFUNCTION("""COMPUTED_VALUE"""),"OVEN / BLAST CHILLER")</f>
        <v/>
      </c>
      <c r="O9" s="45" t="n"/>
      <c r="P9" s="45">
        <f>IFERROR(__xludf.DUMMYFUNCTION("""COMPUTED_VALUE"""),2100.0)</f>
        <v/>
      </c>
      <c r="Q9" s="45">
        <f>IFERROR(__xludf.DUMMYFUNCTION("""COMPUTED_VALUE"""),-2100.0)</f>
        <v/>
      </c>
      <c r="R9" s="45">
        <f>IFERROR(__xludf.DUMMYFUNCTION("""COMPUTED_VALUE"""),"Picking")</f>
        <v/>
      </c>
      <c r="S9" s="45" t="n"/>
      <c r="T9" s="45">
        <f>IFERROR(__xludf.DUMMYFUNCTION("""COMPUTED_VALUE"""),"Not Started")</f>
        <v/>
      </c>
      <c r="U9" s="45" t="n"/>
      <c r="V9" s="45" t="n"/>
      <c r="W9" s="45" t="n"/>
      <c r="X9" s="45" t="n"/>
      <c r="Y9" s="45" t="n"/>
      <c r="Z9" s="45" t="n"/>
    </row>
    <row r="10">
      <c r="A10" s="45" t="n"/>
      <c r="B10" s="45">
        <f>IFERROR(__xludf.DUMMYFUNCTION("""COMPUTED_VALUE"""),8.0)</f>
        <v/>
      </c>
      <c r="C10" s="45">
        <f>IFERROR(__xludf.DUMMYFUNCTION("""COMPUTED_VALUE"""),"Staged ")</f>
        <v/>
      </c>
      <c r="D10" s="45" t="n"/>
      <c r="E10" s="45">
        <f>IFERROR(__xludf.DUMMYFUNCTION("""COMPUTED_VALUE"""),"Monday")</f>
        <v/>
      </c>
      <c r="F10" s="45">
        <f>IFERROR(__xludf.DUMMYFUNCTION("""COMPUTED_VALUE"""),FALSE)</f>
        <v/>
      </c>
      <c r="G10" s="45">
        <f>IFERROR(__xludf.DUMMYFUNCTION("""COMPUTED_VALUE"""),"Monday")</f>
        <v/>
      </c>
      <c r="H10" s="45">
        <f>IFERROR(__xludf.DUMMYFUNCTION("""COMPUTED_VALUE"""),"2026-05-04 - 1")</f>
        <v/>
      </c>
      <c r="I10" s="45">
        <f>IFERROR(__xludf.DUMMYFUNCTION("""COMPUTED_VALUE"""),"20-27")</f>
        <v/>
      </c>
      <c r="J10" s="45">
        <f>IFERROR(__xludf.DUMMYFUNCTION("""COMPUTED_VALUE"""),"REC-029854-4-001")</f>
        <v/>
      </c>
      <c r="K10" s="45">
        <f>IFERROR(__xludf.DUMMYFUNCTION("""COMPUTED_VALUE"""),"FV0846A - Stroganoff-Style Beef Burger [DE]")</f>
        <v/>
      </c>
      <c r="L10" s="45">
        <f>IFERROR(__xludf.DUMMYFUNCTION("""COMPUTED_VALUE"""),"Herb-Parmesan Butter")</f>
        <v/>
      </c>
      <c r="M10" s="45">
        <f>IFERROR(__xludf.DUMMYFUNCTION("""COMPUTED_VALUE"""),0.0)</f>
        <v/>
      </c>
      <c r="N10" s="45">
        <f>IFERROR(__xludf.DUMMYFUNCTION("""COMPUTED_VALUE"""),"PLANETARY MIXER / SCOOPER (BUTTER) / BLAST CHILLER")</f>
        <v/>
      </c>
      <c r="O10" s="45" t="n"/>
      <c r="P10" s="45">
        <f>IFERROR(__xludf.DUMMYFUNCTION("""COMPUTED_VALUE"""),2100.0)</f>
        <v/>
      </c>
      <c r="Q10" s="45">
        <f>IFERROR(__xludf.DUMMYFUNCTION("""COMPUTED_VALUE"""),-2100.0)</f>
        <v/>
      </c>
      <c r="R10" s="45">
        <f>IFERROR(__xludf.DUMMYFUNCTION("""COMPUTED_VALUE"""),"Picking")</f>
        <v/>
      </c>
      <c r="S10" s="45" t="n"/>
      <c r="T10" s="45">
        <f>IFERROR(__xludf.DUMMYFUNCTION("""COMPUTED_VALUE"""),"Not Started")</f>
        <v/>
      </c>
      <c r="U10" s="45" t="n"/>
      <c r="V10" s="45" t="n"/>
      <c r="W10" s="45" t="n"/>
      <c r="X10" s="45" t="n"/>
      <c r="Y10" s="45" t="n"/>
      <c r="Z10" s="45">
        <f>IFERROR(__xludf.DUMMYFUNCTION("""COMPUTED_VALUE"""),"MILCH (EINSCHLIESSLICH LAKTOSE)")</f>
        <v/>
      </c>
    </row>
    <row r="11">
      <c r="A11" s="45" t="n"/>
      <c r="B11" s="45">
        <f>IFERROR(__xludf.DUMMYFUNCTION("""COMPUTED_VALUE"""),9.0)</f>
        <v/>
      </c>
      <c r="C11" s="45">
        <f>IFERROR(__xludf.DUMMYFUNCTION("""COMPUTED_VALUE"""),"02.05 Part. Staged 
missing mushrooms")</f>
        <v/>
      </c>
      <c r="D11" s="45" t="n"/>
      <c r="E11" s="45">
        <f>IFERROR(__xludf.DUMMYFUNCTION("""COMPUTED_VALUE"""),"Monday")</f>
        <v/>
      </c>
      <c r="F11" s="45">
        <f>IFERROR(__xludf.DUMMYFUNCTION("""COMPUTED_VALUE"""),FALSE)</f>
        <v/>
      </c>
      <c r="G11" s="45">
        <f>IFERROR(__xludf.DUMMYFUNCTION("""COMPUTED_VALUE"""),"Monday")</f>
        <v/>
      </c>
      <c r="H11" s="45">
        <f>IFERROR(__xludf.DUMMYFUNCTION("""COMPUTED_VALUE"""),"2026-05-04 - 1")</f>
        <v/>
      </c>
      <c r="I11" s="45">
        <f>IFERROR(__xludf.DUMMYFUNCTION("""COMPUTED_VALUE"""),"20-28")</f>
        <v/>
      </c>
      <c r="J11" s="45">
        <f>IFERROR(__xludf.DUMMYFUNCTION("""COMPUTED_VALUE"""),"REC-029854-4-001")</f>
        <v/>
      </c>
      <c r="K11" s="45">
        <f>IFERROR(__xludf.DUMMYFUNCTION("""COMPUTED_VALUE"""),"FV0846A - Stroganoff-Style Beef Burger [DE]")</f>
        <v/>
      </c>
      <c r="L11" s="45">
        <f>IFERROR(__xludf.DUMMYFUNCTION("""COMPUTED_VALUE"""),"Loaded Roasted Sliced Mushrooms 1/2 green onion")</f>
        <v/>
      </c>
      <c r="M11" s="45">
        <f>IFERROR(__xludf.DUMMYFUNCTION("""COMPUTED_VALUE"""),0.0)</f>
        <v/>
      </c>
      <c r="N11" s="45">
        <f>IFERROR(__xludf.DUMMYFUNCTION("""COMPUTED_VALUE"""),"OVEN / BLAST CHILLER")</f>
        <v/>
      </c>
      <c r="O11" s="45" t="n"/>
      <c r="P11" s="45">
        <f>IFERROR(__xludf.DUMMYFUNCTION("""COMPUTED_VALUE"""),2100.0)</f>
        <v/>
      </c>
      <c r="Q11" s="45">
        <f>IFERROR(__xludf.DUMMYFUNCTION("""COMPUTED_VALUE"""),-2100.0)</f>
        <v/>
      </c>
      <c r="R11" s="45">
        <f>IFERROR(__xludf.DUMMYFUNCTION("""COMPUTED_VALUE"""),"Partially Staged")</f>
        <v/>
      </c>
      <c r="S11" s="45" t="n"/>
      <c r="T11" s="45">
        <f>IFERROR(__xludf.DUMMYFUNCTION("""COMPUTED_VALUE"""),"Not Started")</f>
        <v/>
      </c>
      <c r="U11" s="45" t="n"/>
      <c r="V11" s="45" t="n"/>
      <c r="W11" s="45" t="n"/>
      <c r="X11" s="45" t="n"/>
      <c r="Y11" s="45" t="n"/>
      <c r="Z11" s="45">
        <f>IFERROR(__xludf.DUMMYFUNCTION("""COMPUTED_VALUE"""),"SCHWEFELDIOXIDE UND SULFITE")</f>
        <v/>
      </c>
    </row>
    <row r="12">
      <c r="A12" s="45" t="n"/>
      <c r="B12" s="45">
        <f>IFERROR(__xludf.DUMMYFUNCTION("""COMPUTED_VALUE"""),10.0)</f>
        <v/>
      </c>
      <c r="C12" s="45">
        <f>IFERROR(__xludf.DUMMYFUNCTION("""COMPUTED_VALUE"""),"missing green onions")</f>
        <v/>
      </c>
      <c r="D12" s="45" t="n"/>
      <c r="E12" s="45">
        <f>IFERROR(__xludf.DUMMYFUNCTION("""COMPUTED_VALUE"""),"Monday")</f>
        <v/>
      </c>
      <c r="F12" s="45">
        <f>IFERROR(__xludf.DUMMYFUNCTION("""COMPUTED_VALUE"""),FALSE)</f>
        <v/>
      </c>
      <c r="G12" s="45">
        <f>IFERROR(__xludf.DUMMYFUNCTION("""COMPUTED_VALUE"""),"Monday")</f>
        <v/>
      </c>
      <c r="H12" s="45">
        <f>IFERROR(__xludf.DUMMYFUNCTION("""COMPUTED_VALUE"""),"2026-05-04 - 1")</f>
        <v/>
      </c>
      <c r="I12" s="45">
        <f>IFERROR(__xludf.DUMMYFUNCTION("""COMPUTED_VALUE"""),"20-29")</f>
        <v/>
      </c>
      <c r="J12" s="45">
        <f>IFERROR(__xludf.DUMMYFUNCTION("""COMPUTED_VALUE"""),"REC-029854-4-001")</f>
        <v/>
      </c>
      <c r="K12" s="45">
        <f>IFERROR(__xludf.DUMMYFUNCTION("""COMPUTED_VALUE"""),"FV0846A - Stroganoff-Style Beef Burger [DE]")</f>
        <v/>
      </c>
      <c r="L12" s="45">
        <f>IFERROR(__xludf.DUMMYFUNCTION("""COMPUTED_VALUE"""),"Roasted Green Onions")</f>
        <v/>
      </c>
      <c r="M12" s="45">
        <f>IFERROR(__xludf.DUMMYFUNCTION("""COMPUTED_VALUE"""),0.0)</f>
        <v/>
      </c>
      <c r="N12" s="45">
        <f>IFERROR(__xludf.DUMMYFUNCTION("""COMPUTED_VALUE"""),"OVEN / BLAST CHILLER")</f>
        <v/>
      </c>
      <c r="O12" s="45" t="n"/>
      <c r="P12" s="45">
        <f>IFERROR(__xludf.DUMMYFUNCTION("""COMPUTED_VALUE"""),2100.0)</f>
        <v/>
      </c>
      <c r="Q12" s="45">
        <f>IFERROR(__xludf.DUMMYFUNCTION("""COMPUTED_VALUE"""),-2100.0)</f>
        <v/>
      </c>
      <c r="R12" s="45">
        <f>IFERROR(__xludf.DUMMYFUNCTION("""COMPUTED_VALUE"""),"Released")</f>
        <v/>
      </c>
      <c r="S12" s="45" t="n"/>
      <c r="T12" s="45">
        <f>IFERROR(__xludf.DUMMYFUNCTION("""COMPUTED_VALUE"""),"Not Started")</f>
        <v/>
      </c>
      <c r="U12" s="45" t="n"/>
      <c r="V12" s="45" t="n"/>
      <c r="W12" s="45" t="n"/>
      <c r="X12" s="45" t="n"/>
      <c r="Y12" s="45" t="n"/>
      <c r="Z12" s="45" t="n"/>
    </row>
    <row r="13">
      <c r="A13" s="45" t="n"/>
      <c r="B13" s="45">
        <f>IFERROR(__xludf.DUMMYFUNCTION("""COMPUTED_VALUE"""),11.0)</f>
        <v/>
      </c>
      <c r="C13" s="45">
        <f>IFERROR(__xludf.DUMMYFUNCTION("""COMPUTED_VALUE"""),"02.05 Part. Staged
missing mushrooms &amp; green onions")</f>
        <v/>
      </c>
      <c r="D13" s="45" t="n"/>
      <c r="E13" s="45">
        <f>IFERROR(__xludf.DUMMYFUNCTION("""COMPUTED_VALUE"""),"Monday")</f>
        <v/>
      </c>
      <c r="F13" s="45">
        <f>IFERROR(__xludf.DUMMYFUNCTION("""COMPUTED_VALUE"""),FALSE)</f>
        <v/>
      </c>
      <c r="G13" s="45">
        <f>IFERROR(__xludf.DUMMYFUNCTION("""COMPUTED_VALUE"""),"Monday")</f>
        <v/>
      </c>
      <c r="H13" s="45">
        <f>IFERROR(__xludf.DUMMYFUNCTION("""COMPUTED_VALUE"""),"2026-05-04 - 1")</f>
        <v/>
      </c>
      <c r="I13" s="45">
        <f>IFERROR(__xludf.DUMMYFUNCTION("""COMPUTED_VALUE"""),"20-30")</f>
        <v/>
      </c>
      <c r="J13" s="45">
        <f>IFERROR(__xludf.DUMMYFUNCTION("""COMPUTED_VALUE"""),"REC-029854-4-001")</f>
        <v/>
      </c>
      <c r="K13" s="45">
        <f>IFERROR(__xludf.DUMMYFUNCTION("""COMPUTED_VALUE"""),"FV0846A - Stroganoff-Style Beef Burger [DE]")</f>
        <v/>
      </c>
      <c r="L13" s="45">
        <f>IFERROR(__xludf.DUMMYFUNCTION("""COMPUTED_VALUE"""),"Sauce for Beef Stroganoff - 1/2 garlic- No wine")</f>
        <v/>
      </c>
      <c r="M13" s="45">
        <f>IFERROR(__xludf.DUMMYFUNCTION("""COMPUTED_VALUE"""),0.0)</f>
        <v/>
      </c>
      <c r="N13" s="45">
        <f>IFERROR(__xludf.DUMMYFUNCTION("""COMPUTED_VALUE"""),"SPICE PORTIONING / IMMERSION BLENDER / BRAISER / BLAST CHILLER")</f>
        <v/>
      </c>
      <c r="O13" s="45" t="n"/>
      <c r="P13" s="45">
        <f>IFERROR(__xludf.DUMMYFUNCTION("""COMPUTED_VALUE"""),2100.0)</f>
        <v/>
      </c>
      <c r="Q13" s="45">
        <f>IFERROR(__xludf.DUMMYFUNCTION("""COMPUTED_VALUE"""),-2100.0)</f>
        <v/>
      </c>
      <c r="R13" s="45">
        <f>IFERROR(__xludf.DUMMYFUNCTION("""COMPUTED_VALUE"""),"Partially Staged")</f>
        <v/>
      </c>
      <c r="S13" s="45" t="n"/>
      <c r="T13" s="45">
        <f>IFERROR(__xludf.DUMMYFUNCTION("""COMPUTED_VALUE"""),"Not Started")</f>
        <v/>
      </c>
      <c r="U13" s="45" t="n"/>
      <c r="V13" s="45" t="n"/>
      <c r="W13" s="45" t="n"/>
      <c r="X13" s="45" t="n"/>
      <c r="Y13" s="45" t="n"/>
      <c r="Z13" s="45">
        <f>IFERROR(__xludf.DUMMYFUNCTION("""COMPUTED_VALUE"""),"MILCH (EINSCHLIESSLICH LAKTOSE), SCHWEFELDIOXIDE UND SULFITE, SELLERIE, SENF")</f>
        <v/>
      </c>
    </row>
    <row r="14">
      <c r="A14" s="45" t="n"/>
      <c r="B14" s="45">
        <f>IFERROR(__xludf.DUMMYFUNCTION("""COMPUTED_VALUE"""),12.0)</f>
        <v/>
      </c>
      <c r="C14" s="45" t="n"/>
      <c r="D14" s="45" t="n"/>
      <c r="E14" s="45" t="n"/>
      <c r="F14" s="45">
        <f>IFERROR(__xludf.DUMMYFUNCTION("""COMPUTED_VALUE"""),FALSE)</f>
        <v/>
      </c>
      <c r="G14" s="45">
        <f>IFERROR(__xludf.DUMMYFUNCTION("""COMPUTED_VALUE"""),"Tuesday")</f>
        <v/>
      </c>
      <c r="H14" s="45">
        <f>IFERROR(__xludf.DUMMYFUNCTION("""COMPUTED_VALUE"""),"2026-05-05 - 1")</f>
        <v/>
      </c>
      <c r="I14" s="45">
        <f>IFERROR(__xludf.DUMMYFUNCTION("""COMPUTED_VALUE"""),"20-23")</f>
        <v/>
      </c>
      <c r="J14" s="45">
        <f>IFERROR(__xludf.DUMMYFUNCTION("""COMPUTED_VALUE"""),"REC-013835-4-002")</f>
        <v/>
      </c>
      <c r="K14" s="45">
        <f>IFERROR(__xludf.DUMMYFUNCTION("""COMPUTED_VALUE"""),"FV0333A - Tuscan Shrimp [DE]")</f>
        <v/>
      </c>
      <c r="L14" s="45">
        <f>IFERROR(__xludf.DUMMYFUNCTION("""COMPUTED_VALUE"""),"Tuscan Shrimp batch")</f>
        <v/>
      </c>
      <c r="M14" s="45">
        <f>IFERROR(__xludf.DUMMYFUNCTION("""COMPUTED_VALUE"""),0.0)</f>
        <v/>
      </c>
      <c r="N14" s="45">
        <f>IFERROR(__xludf.DUMMYFUNCTION("""COMPUTED_VALUE"""),"THAW / MARINADE / OVEN / BLAST CHILLER")</f>
        <v/>
      </c>
      <c r="O14" s="45" t="n"/>
      <c r="P14" s="45">
        <f>IFERROR(__xludf.DUMMYFUNCTION("""COMPUTED_VALUE"""),2639.0)</f>
        <v/>
      </c>
      <c r="Q14" s="45">
        <f>IFERROR(__xludf.DUMMYFUNCTION("""COMPUTED_VALUE"""),-2639.0)</f>
        <v/>
      </c>
      <c r="R14" s="45">
        <f>IFERROR(__xludf.DUMMYFUNCTION("""COMPUTED_VALUE"""),"Open")</f>
        <v/>
      </c>
      <c r="S14" s="45" t="n"/>
      <c r="T14" s="45">
        <f>IFERROR(__xludf.DUMMYFUNCTION("""COMPUTED_VALUE"""),"Not Started")</f>
        <v/>
      </c>
      <c r="U14" s="45" t="n"/>
      <c r="V14" s="45" t="n"/>
      <c r="W14" s="45" t="n"/>
      <c r="X14" s="45" t="n"/>
      <c r="Y14" s="45" t="n"/>
      <c r="Z14" s="45">
        <f>IFERROR(__xludf.DUMMYFUNCTION("""COMPUTED_VALUE"""),"KREBSTIERE, SCHWEFELDIOXIDE UND SULFITE")</f>
        <v/>
      </c>
    </row>
    <row r="15">
      <c r="A15" s="45" t="n"/>
      <c r="B15" s="45">
        <f>IFERROR(__xludf.DUMMYFUNCTION("""COMPUTED_VALUE"""),13.0)</f>
        <v/>
      </c>
      <c r="C15" s="45" t="n"/>
      <c r="D15" s="45" t="n"/>
      <c r="E15" s="45" t="n"/>
      <c r="F15" s="45">
        <f>IFERROR(__xludf.DUMMYFUNCTION("""COMPUTED_VALUE"""),FALSE)</f>
        <v/>
      </c>
      <c r="G15" s="45">
        <f>IFERROR(__xludf.DUMMYFUNCTION("""COMPUTED_VALUE"""),"Wednesday")</f>
        <v/>
      </c>
      <c r="H15" s="45">
        <f>IFERROR(__xludf.DUMMYFUNCTION("""COMPUTED_VALUE"""),"2026-05-05 - 1")</f>
        <v/>
      </c>
      <c r="I15" s="45">
        <f>IFERROR(__xludf.DUMMYFUNCTION("""COMPUTED_VALUE"""),"20-53")</f>
        <v/>
      </c>
      <c r="J15" s="45">
        <f>IFERROR(__xludf.DUMMYFUNCTION("""COMPUTED_VALUE"""),"REC-013940-4-006")</f>
        <v/>
      </c>
      <c r="K15" s="45">
        <f>IFERROR(__xludf.DUMMYFUNCTION("""COMPUTED_VALUE"""),"FV0035A - Salmon with pesto [DE]")</f>
        <v/>
      </c>
      <c r="L15" s="45">
        <f>IFERROR(__xludf.DUMMYFUNCTION("""COMPUTED_VALUE"""),"Salmon - garlic seasoning")</f>
        <v/>
      </c>
      <c r="M15" s="45">
        <f>IFERROR(__xludf.DUMMYFUNCTION("""COMPUTED_VALUE"""),0.0)</f>
        <v/>
      </c>
      <c r="N15" s="45">
        <f>IFERROR(__xludf.DUMMYFUNCTION("""COMPUTED_VALUE"""),"THAW / HAND MARINADE / OVEN / BLAST CHILLER")</f>
        <v/>
      </c>
      <c r="O15" s="45" t="n"/>
      <c r="P15" s="45">
        <f>IFERROR(__xludf.DUMMYFUNCTION("""COMPUTED_VALUE"""),5550.0)</f>
        <v/>
      </c>
      <c r="Q15" s="45">
        <f>IFERROR(__xludf.DUMMYFUNCTION("""COMPUTED_VALUE"""),-5550.0)</f>
        <v/>
      </c>
      <c r="R15" s="45">
        <f>IFERROR(__xludf.DUMMYFUNCTION("""COMPUTED_VALUE"""),"Open")</f>
        <v/>
      </c>
      <c r="S15" s="45" t="n"/>
      <c r="T15" s="45">
        <f>IFERROR(__xludf.DUMMYFUNCTION("""COMPUTED_VALUE"""),"Not Started")</f>
        <v/>
      </c>
      <c r="U15" s="45" t="n"/>
      <c r="V15" s="45" t="n"/>
      <c r="W15" s="45" t="n"/>
      <c r="X15" s="45" t="n"/>
      <c r="Y15" s="45" t="n"/>
      <c r="Z15" s="45">
        <f>IFERROR(__xludf.DUMMYFUNCTION("""COMPUTED_VALUE"""),"FISCH")</f>
        <v/>
      </c>
    </row>
    <row r="16">
      <c r="A16" s="45" t="n"/>
      <c r="B16" s="45">
        <f>IFERROR(__xludf.DUMMYFUNCTION("""COMPUTED_VALUE"""),14.0)</f>
        <v/>
      </c>
      <c r="C16" s="45" t="n"/>
      <c r="D16" s="45" t="n"/>
      <c r="E16" s="45" t="n"/>
      <c r="F16" s="45">
        <f>IFERROR(__xludf.DUMMYFUNCTION("""COMPUTED_VALUE"""),FALSE)</f>
        <v/>
      </c>
      <c r="G16" s="45">
        <f>IFERROR(__xludf.DUMMYFUNCTION("""COMPUTED_VALUE"""),"Tuesday")</f>
        <v/>
      </c>
      <c r="H16" s="45">
        <f>IFERROR(__xludf.DUMMYFUNCTION("""COMPUTED_VALUE"""),"2026-05-05 - 1")</f>
        <v/>
      </c>
      <c r="I16" s="45">
        <f>IFERROR(__xludf.DUMMYFUNCTION("""COMPUTED_VALUE"""),"20-14")</f>
        <v/>
      </c>
      <c r="J16" s="45">
        <f>IFERROR(__xludf.DUMMYFUNCTION("""COMPUTED_VALUE"""),"REC-014197-4-004")</f>
        <v/>
      </c>
      <c r="K16" s="45">
        <f>IFERROR(__xludf.DUMMYFUNCTION("""COMPUTED_VALUE"""),"FV0281A - Baja Salmon [DE]")</f>
        <v/>
      </c>
      <c r="L16" s="45">
        <f>IFERROR(__xludf.DUMMYFUNCTION("""COMPUTED_VALUE"""),"Broccoli - S&amp;P Broccoli FLORETS - less salt")</f>
        <v/>
      </c>
      <c r="M16" s="45">
        <f>IFERROR(__xludf.DUMMYFUNCTION("""COMPUTED_VALUE"""),0.0)</f>
        <v/>
      </c>
      <c r="N16" s="45">
        <f>IFERROR(__xludf.DUMMYFUNCTION("""COMPUTED_VALUE"""),"SPICE PORTIONING / HAND MIX")</f>
        <v/>
      </c>
      <c r="O16" s="45" t="n"/>
      <c r="P16" s="45">
        <f>IFERROR(__xludf.DUMMYFUNCTION("""COMPUTED_VALUE"""),7550.0)</f>
        <v/>
      </c>
      <c r="Q16" s="45">
        <f>IFERROR(__xludf.DUMMYFUNCTION("""COMPUTED_VALUE"""),-7550.0)</f>
        <v/>
      </c>
      <c r="R16" s="45">
        <f>IFERROR(__xludf.DUMMYFUNCTION("""COMPUTED_VALUE"""),"Open")</f>
        <v/>
      </c>
      <c r="S16" s="45" t="n"/>
      <c r="T16" s="45">
        <f>IFERROR(__xludf.DUMMYFUNCTION("""COMPUTED_VALUE"""),"Not Started")</f>
        <v/>
      </c>
      <c r="U16" s="45" t="n"/>
      <c r="V16" s="45" t="n"/>
      <c r="W16" s="45" t="n"/>
      <c r="X16" s="45" t="n"/>
      <c r="Y16" s="45" t="n"/>
      <c r="Z16" s="45" t="n"/>
    </row>
    <row r="17">
      <c r="A17" s="45" t="n"/>
      <c r="B17" s="45">
        <f>IFERROR(__xludf.DUMMYFUNCTION("""COMPUTED_VALUE"""),15.0)</f>
        <v/>
      </c>
      <c r="C17" s="45" t="n"/>
      <c r="D17" s="45" t="n"/>
      <c r="E17" s="45" t="n"/>
      <c r="F17" s="45">
        <f>IFERROR(__xludf.DUMMYFUNCTION("""COMPUTED_VALUE"""),FALSE)</f>
        <v/>
      </c>
      <c r="G17" s="45">
        <f>IFERROR(__xludf.DUMMYFUNCTION("""COMPUTED_VALUE"""),"Tuesday")</f>
        <v/>
      </c>
      <c r="H17" s="45">
        <f>IFERROR(__xludf.DUMMYFUNCTION("""COMPUTED_VALUE"""),"2026-05-05 - 1")</f>
        <v/>
      </c>
      <c r="I17" s="45">
        <f>IFERROR(__xludf.DUMMYFUNCTION("""COMPUTED_VALUE"""),"20-16")</f>
        <v/>
      </c>
      <c r="J17" s="45">
        <f>IFERROR(__xludf.DUMMYFUNCTION("""COMPUTED_VALUE"""),"REC-014197-4-004")</f>
        <v/>
      </c>
      <c r="K17" s="45">
        <f>IFERROR(__xludf.DUMMYFUNCTION("""COMPUTED_VALUE"""),"FV0281A - Baja Salmon [DE]")</f>
        <v/>
      </c>
      <c r="L17" s="45">
        <f>IFERROR(__xludf.DUMMYFUNCTION("""COMPUTED_VALUE"""),"Compound butter - Chili-Garlic Butter - master batch")</f>
        <v/>
      </c>
      <c r="M17" s="45">
        <f>IFERROR(__xludf.DUMMYFUNCTION("""COMPUTED_VALUE"""),0.0)</f>
        <v/>
      </c>
      <c r="N17" s="45">
        <f>IFERROR(__xludf.DUMMYFUNCTION("""COMPUTED_VALUE"""),"PLANETARY MIXER / SCOOPER (BUTTER) / BLAST CHILLER")</f>
        <v/>
      </c>
      <c r="O17" s="45" t="n"/>
      <c r="P17" s="45">
        <f>IFERROR(__xludf.DUMMYFUNCTION("""COMPUTED_VALUE"""),7550.0)</f>
        <v/>
      </c>
      <c r="Q17" s="45">
        <f>IFERROR(__xludf.DUMMYFUNCTION("""COMPUTED_VALUE"""),-7550.0)</f>
        <v/>
      </c>
      <c r="R17" s="45">
        <f>IFERROR(__xludf.DUMMYFUNCTION("""COMPUTED_VALUE"""),"Open")</f>
        <v/>
      </c>
      <c r="S17" s="45" t="n"/>
      <c r="T17" s="45">
        <f>IFERROR(__xludf.DUMMYFUNCTION("""COMPUTED_VALUE"""),"Not Started")</f>
        <v/>
      </c>
      <c r="U17" s="45" t="n"/>
      <c r="V17" s="45" t="n"/>
      <c r="W17" s="45" t="n"/>
      <c r="X17" s="45" t="n"/>
      <c r="Y17" s="45" t="n"/>
      <c r="Z17" s="45">
        <f>IFERROR(__xludf.DUMMYFUNCTION("""COMPUTED_VALUE"""),"MILCH (EINSCHLIESSLICH LAKTOSE)")</f>
        <v/>
      </c>
    </row>
    <row r="18">
      <c r="A18" s="45" t="n"/>
      <c r="B18" s="45">
        <f>IFERROR(__xludf.DUMMYFUNCTION("""COMPUTED_VALUE"""),16.0)</f>
        <v/>
      </c>
      <c r="C18" s="45" t="n"/>
      <c r="D18" s="45" t="n"/>
      <c r="E18" s="45" t="n"/>
      <c r="F18" s="45">
        <f>IFERROR(__xludf.DUMMYFUNCTION("""COMPUTED_VALUE"""),FALSE)</f>
        <v/>
      </c>
      <c r="G18" s="45">
        <f>IFERROR(__xludf.DUMMYFUNCTION("""COMPUTED_VALUE"""),"Tuesday")</f>
        <v/>
      </c>
      <c r="H18" s="45">
        <f>IFERROR(__xludf.DUMMYFUNCTION("""COMPUTED_VALUE"""),"2026-05-05 - 1")</f>
        <v/>
      </c>
      <c r="I18" s="45">
        <f>IFERROR(__xludf.DUMMYFUNCTION("""COMPUTED_VALUE"""),"20-17")</f>
        <v/>
      </c>
      <c r="J18" s="45">
        <f>IFERROR(__xludf.DUMMYFUNCTION("""COMPUTED_VALUE"""),"REC-014197-4-004")</f>
        <v/>
      </c>
      <c r="K18" s="45">
        <f>IFERROR(__xludf.DUMMYFUNCTION("""COMPUTED_VALUE"""),"FV0281A - Baja Salmon [DE]")</f>
        <v/>
      </c>
      <c r="L18" s="45">
        <f>IFERROR(__xludf.DUMMYFUNCTION("""COMPUTED_VALUE"""),"Mexican Cauliflower Rice")</f>
        <v/>
      </c>
      <c r="M18" s="45">
        <f>IFERROR(__xludf.DUMMYFUNCTION("""COMPUTED_VALUE"""),0.0)</f>
        <v/>
      </c>
      <c r="N18" s="45">
        <f>IFERROR(__xludf.DUMMYFUNCTION("""COMPUTED_VALUE"""),"OVEN")</f>
        <v/>
      </c>
      <c r="O18" s="45" t="n"/>
      <c r="P18" s="45">
        <f>IFERROR(__xludf.DUMMYFUNCTION("""COMPUTED_VALUE"""),7550.0)</f>
        <v/>
      </c>
      <c r="Q18" s="45">
        <f>IFERROR(__xludf.DUMMYFUNCTION("""COMPUTED_VALUE"""),-7550.0)</f>
        <v/>
      </c>
      <c r="R18" s="45">
        <f>IFERROR(__xludf.DUMMYFUNCTION("""COMPUTED_VALUE"""),"Open")</f>
        <v/>
      </c>
      <c r="S18" s="45" t="n"/>
      <c r="T18" s="45">
        <f>IFERROR(__xludf.DUMMYFUNCTION("""COMPUTED_VALUE"""),"Not Started")</f>
        <v/>
      </c>
      <c r="U18" s="45" t="n"/>
      <c r="V18" s="45" t="n"/>
      <c r="W18" s="45" t="n"/>
      <c r="X18" s="45" t="n"/>
      <c r="Y18" s="45" t="n"/>
      <c r="Z18" s="45" t="n"/>
    </row>
    <row r="19">
      <c r="A19" s="45" t="n"/>
      <c r="B19" s="45">
        <f>IFERROR(__xludf.DUMMYFUNCTION("""COMPUTED_VALUE"""),17.0)</f>
        <v/>
      </c>
      <c r="C19" s="45" t="n"/>
      <c r="D19" s="45" t="n"/>
      <c r="E19" s="45" t="n"/>
      <c r="F19" s="45">
        <f>IFERROR(__xludf.DUMMYFUNCTION("""COMPUTED_VALUE"""),FALSE)</f>
        <v/>
      </c>
      <c r="G19" s="45">
        <f>IFERROR(__xludf.DUMMYFUNCTION("""COMPUTED_VALUE"""),"Tuesday")</f>
        <v/>
      </c>
      <c r="H19" s="45">
        <f>IFERROR(__xludf.DUMMYFUNCTION("""COMPUTED_VALUE"""),"2026-05-05 - 1")</f>
        <v/>
      </c>
      <c r="I19" s="45">
        <f>IFERROR(__xludf.DUMMYFUNCTION("""COMPUTED_VALUE"""),"20-19")</f>
        <v/>
      </c>
      <c r="J19" s="45">
        <f>IFERROR(__xludf.DUMMYFUNCTION("""COMPUTED_VALUE"""),"REC-014197-4-004")</f>
        <v/>
      </c>
      <c r="K19" s="45">
        <f>IFERROR(__xludf.DUMMYFUNCTION("""COMPUTED_VALUE"""),"FV0281A - Baja Salmon [DE]")</f>
        <v/>
      </c>
      <c r="L19" s="45">
        <f>IFERROR(__xludf.DUMMYFUNCTION("""COMPUTED_VALUE"""),"Sauce - Cilantro Sour Cream")</f>
        <v/>
      </c>
      <c r="M19" s="45">
        <f>IFERROR(__xludf.DUMMYFUNCTION("""COMPUTED_VALUE"""),0.0)</f>
        <v/>
      </c>
      <c r="N19" s="45">
        <f>IFERROR(__xludf.DUMMYFUNCTION("""COMPUTED_VALUE"""),"IMMERSION BLENDER / CUPPING")</f>
        <v/>
      </c>
      <c r="O19" s="45" t="n"/>
      <c r="P19" s="45">
        <f>IFERROR(__xludf.DUMMYFUNCTION("""COMPUTED_VALUE"""),7550.0)</f>
        <v/>
      </c>
      <c r="Q19" s="45">
        <f>IFERROR(__xludf.DUMMYFUNCTION("""COMPUTED_VALUE"""),-7550.0)</f>
        <v/>
      </c>
      <c r="R19" s="45">
        <f>IFERROR(__xludf.DUMMYFUNCTION("""COMPUTED_VALUE"""),"Open")</f>
        <v/>
      </c>
      <c r="S19" s="45" t="n"/>
      <c r="T19" s="45">
        <f>IFERROR(__xludf.DUMMYFUNCTION("""COMPUTED_VALUE"""),"Not Started")</f>
        <v/>
      </c>
      <c r="U19" s="45" t="n"/>
      <c r="V19" s="45" t="n"/>
      <c r="W19" s="45" t="n"/>
      <c r="X19" s="45" t="n"/>
      <c r="Y19" s="45" t="n"/>
      <c r="Z19" s="45">
        <f>IFERROR(__xludf.DUMMYFUNCTION("""COMPUTED_VALUE"""),"MILCH (EINSCHLIESSLICH LAKTOSE)")</f>
        <v/>
      </c>
    </row>
    <row r="20">
      <c r="A20" s="45" t="n"/>
      <c r="B20" s="45">
        <f>IFERROR(__xludf.DUMMYFUNCTION("""COMPUTED_VALUE"""),18.0)</f>
        <v/>
      </c>
      <c r="C20" s="45" t="n"/>
      <c r="D20" s="45" t="n"/>
      <c r="E20" s="45" t="n"/>
      <c r="F20" s="45">
        <f>IFERROR(__xludf.DUMMYFUNCTION("""COMPUTED_VALUE"""),FALSE)</f>
        <v/>
      </c>
      <c r="G20" s="45">
        <f>IFERROR(__xludf.DUMMYFUNCTION("""COMPUTED_VALUE"""),"Tuesday")</f>
        <v/>
      </c>
      <c r="H20" s="45">
        <f>IFERROR(__xludf.DUMMYFUNCTION("""COMPUTED_VALUE"""),"2026-05-05 - 1")</f>
        <v/>
      </c>
      <c r="I20" s="45">
        <f>IFERROR(__xludf.DUMMYFUNCTION("""COMPUTED_VALUE"""),"20-21")</f>
        <v/>
      </c>
      <c r="J20" s="45">
        <f>IFERROR(__xludf.DUMMYFUNCTION("""COMPUTED_VALUE"""),"REC-013835-4-002")</f>
        <v/>
      </c>
      <c r="K20" s="45">
        <f>IFERROR(__xludf.DUMMYFUNCTION("""COMPUTED_VALUE"""),"FV0333A - Tuscan Shrimp [DE]")</f>
        <v/>
      </c>
      <c r="L20" s="45">
        <f>IFERROR(__xludf.DUMMYFUNCTION("""COMPUTED_VALUE"""),"Creamed Kale - Cream Cheese")</f>
        <v/>
      </c>
      <c r="M20" s="45">
        <f>IFERROR(__xludf.DUMMYFUNCTION("""COMPUTED_VALUE"""),0.0)</f>
        <v/>
      </c>
      <c r="N20" s="45">
        <f>IFERROR(__xludf.DUMMYFUNCTION("""COMPUTED_VALUE"""),"SPICE PORTIONING / BRAISER / BLAST CHILLER")</f>
        <v/>
      </c>
      <c r="O20" s="45" t="n"/>
      <c r="P20" s="45">
        <f>IFERROR(__xludf.DUMMYFUNCTION("""COMPUTED_VALUE"""),2639.0)</f>
        <v/>
      </c>
      <c r="Q20" s="45">
        <f>IFERROR(__xludf.DUMMYFUNCTION("""COMPUTED_VALUE"""),-2639.0)</f>
        <v/>
      </c>
      <c r="R20" s="45">
        <f>IFERROR(__xludf.DUMMYFUNCTION("""COMPUTED_VALUE"""),"Open")</f>
        <v/>
      </c>
      <c r="S20" s="45" t="n"/>
      <c r="T20" s="45">
        <f>IFERROR(__xludf.DUMMYFUNCTION("""COMPUTED_VALUE"""),"Not Started")</f>
        <v/>
      </c>
      <c r="U20" s="45" t="n"/>
      <c r="V20" s="45" t="n"/>
      <c r="W20" s="45" t="n"/>
      <c r="X20" s="45" t="n"/>
      <c r="Y20" s="45" t="n"/>
      <c r="Z20" s="45">
        <f>IFERROR(__xludf.DUMMYFUNCTION("""COMPUTED_VALUE"""),"MILCH (EINSCHLIESSLICH LAKTOSE), SCHWEFELDIOXIDE UND SULFITE")</f>
        <v/>
      </c>
    </row>
    <row r="21">
      <c r="A21" s="45" t="n"/>
      <c r="B21" s="45">
        <f>IFERROR(__xludf.DUMMYFUNCTION("""COMPUTED_VALUE"""),19.0)</f>
        <v/>
      </c>
      <c r="C21" s="45" t="n"/>
      <c r="D21" s="45" t="n"/>
      <c r="E21" s="45" t="n"/>
      <c r="F21" s="45">
        <f>IFERROR(__xludf.DUMMYFUNCTION("""COMPUTED_VALUE"""),FALSE)</f>
        <v/>
      </c>
      <c r="G21" s="45">
        <f>IFERROR(__xludf.DUMMYFUNCTION("""COMPUTED_VALUE"""),"Tuesday")</f>
        <v/>
      </c>
      <c r="H21" s="45">
        <f>IFERROR(__xludf.DUMMYFUNCTION("""COMPUTED_VALUE"""),"2026-05-05 - 1")</f>
        <v/>
      </c>
      <c r="I21" s="45">
        <f>IFERROR(__xludf.DUMMYFUNCTION("""COMPUTED_VALUE"""),"20-22")</f>
        <v/>
      </c>
      <c r="J21" s="45">
        <f>IFERROR(__xludf.DUMMYFUNCTION("""COMPUTED_VALUE"""),"REC-013835-4-002")</f>
        <v/>
      </c>
      <c r="K21" s="45">
        <f>IFERROR(__xludf.DUMMYFUNCTION("""COMPUTED_VALUE"""),"FV0333A - Tuscan Shrimp [DE]")</f>
        <v/>
      </c>
      <c r="L21" s="45">
        <f>IFERROR(__xludf.DUMMYFUNCTION("""COMPUTED_VALUE"""),"Sauce - Tuscan Shrimp Butter Sauce")</f>
        <v/>
      </c>
      <c r="M21" s="45">
        <f>IFERROR(__xludf.DUMMYFUNCTION("""COMPUTED_VALUE"""),0.0)</f>
        <v/>
      </c>
      <c r="N21" s="45">
        <f>IFERROR(__xludf.DUMMYFUNCTION("""COMPUTED_VALUE"""),"SPICE PORTIONING / IMMERSION BLENDER / BRAISER / BLAST CHILLER")</f>
        <v/>
      </c>
      <c r="O21" s="45" t="n"/>
      <c r="P21" s="45">
        <f>IFERROR(__xludf.DUMMYFUNCTION("""COMPUTED_VALUE"""),2639.0)</f>
        <v/>
      </c>
      <c r="Q21" s="45">
        <f>IFERROR(__xludf.DUMMYFUNCTION("""COMPUTED_VALUE"""),-2639.0)</f>
        <v/>
      </c>
      <c r="R21" s="45">
        <f>IFERROR(__xludf.DUMMYFUNCTION("""COMPUTED_VALUE"""),"Open")</f>
        <v/>
      </c>
      <c r="S21" s="45" t="n"/>
      <c r="T21" s="45">
        <f>IFERROR(__xludf.DUMMYFUNCTION("""COMPUTED_VALUE"""),"Not Started")</f>
        <v/>
      </c>
      <c r="U21" s="45" t="n"/>
      <c r="V21" s="45" t="n"/>
      <c r="W21" s="45" t="n"/>
      <c r="X21" s="45" t="n"/>
      <c r="Y21" s="45" t="n"/>
      <c r="Z21" s="45">
        <f>IFERROR(__xludf.DUMMYFUNCTION("""COMPUTED_VALUE"""),"MILCH (EINSCHLIESSLICH LAKTOSE), SCHWEFELDIOXIDE UND SULFITE, SELLERIE")</f>
        <v/>
      </c>
    </row>
    <row r="22">
      <c r="A22" s="45" t="n"/>
      <c r="B22" s="45">
        <f>IFERROR(__xludf.DUMMYFUNCTION("""COMPUTED_VALUE"""),20.0)</f>
        <v/>
      </c>
      <c r="C22" s="45" t="n"/>
      <c r="D22" s="45" t="n"/>
      <c r="E22" s="45" t="n"/>
      <c r="F22" s="45">
        <f>IFERROR(__xludf.DUMMYFUNCTION("""COMPUTED_VALUE"""),FALSE)</f>
        <v/>
      </c>
      <c r="G22" s="45">
        <f>IFERROR(__xludf.DUMMYFUNCTION("""COMPUTED_VALUE"""),"Tuesday")</f>
        <v/>
      </c>
      <c r="H22" s="45">
        <f>IFERROR(__xludf.DUMMYFUNCTION("""COMPUTED_VALUE"""),"2026-05-05 - 1")</f>
        <v/>
      </c>
      <c r="I22" s="45">
        <f>IFERROR(__xludf.DUMMYFUNCTION("""COMPUTED_VALUE"""),"20-24")</f>
        <v/>
      </c>
      <c r="J22" s="45">
        <f>IFERROR(__xludf.DUMMYFUNCTION("""COMPUTED_VALUE"""),"REC-013835-4-002")</f>
        <v/>
      </c>
      <c r="K22" s="45">
        <f>IFERROR(__xludf.DUMMYFUNCTION("""COMPUTED_VALUE"""),"FV0333A - Tuscan Shrimp [DE]")</f>
        <v/>
      </c>
      <c r="L22" s="45">
        <f>IFERROR(__xludf.DUMMYFUNCTION("""COMPUTED_VALUE"""),"Zucchini/Pepper/Onion Mix for Tuscan Shrimp - 1/2 Diced")</f>
        <v/>
      </c>
      <c r="M22" s="45">
        <f>IFERROR(__xludf.DUMMYFUNCTION("""COMPUTED_VALUE"""),0.0)</f>
        <v/>
      </c>
      <c r="N22" s="45" t="n"/>
      <c r="O22" s="45" t="n"/>
      <c r="P22" s="45">
        <f>IFERROR(__xludf.DUMMYFUNCTION("""COMPUTED_VALUE"""),2639.0)</f>
        <v/>
      </c>
      <c r="Q22" s="45">
        <f>IFERROR(__xludf.DUMMYFUNCTION("""COMPUTED_VALUE"""),-2639.0)</f>
        <v/>
      </c>
      <c r="R22" s="45">
        <f>IFERROR(__xludf.DUMMYFUNCTION("""COMPUTED_VALUE"""),"Open")</f>
        <v/>
      </c>
      <c r="S22" s="45" t="n"/>
      <c r="T22" s="45">
        <f>IFERROR(__xludf.DUMMYFUNCTION("""COMPUTED_VALUE"""),"Not Started")</f>
        <v/>
      </c>
      <c r="U22" s="45" t="n"/>
      <c r="V22" s="45" t="n"/>
      <c r="W22" s="45" t="n"/>
      <c r="X22" s="45" t="n"/>
      <c r="Y22" s="45" t="n"/>
      <c r="Z22" s="45" t="n"/>
    </row>
    <row r="23">
      <c r="A23" s="45" t="n"/>
      <c r="B23" s="45">
        <f>IFERROR(__xludf.DUMMYFUNCTION("""COMPUTED_VALUE"""),21.0)</f>
        <v/>
      </c>
      <c r="C23" s="45" t="n"/>
      <c r="D23" s="45" t="n"/>
      <c r="E23" s="45" t="n"/>
      <c r="F23" s="45">
        <f>IFERROR(__xludf.DUMMYFUNCTION("""COMPUTED_VALUE"""),FALSE)</f>
        <v/>
      </c>
      <c r="G23" s="45" t="n"/>
      <c r="H23" s="45">
        <f>IFERROR(__xludf.DUMMYFUNCTION("""COMPUTED_VALUE"""),"2026-05-05 - 2")</f>
        <v/>
      </c>
      <c r="I23" s="45">
        <f>IFERROR(__xludf.DUMMYFUNCTION("""COMPUTED_VALUE"""),"20-43")</f>
        <v/>
      </c>
      <c r="J23" s="45">
        <f>IFERROR(__xludf.DUMMYFUNCTION("""COMPUTED_VALUE"""),"REC-029854-4-001")</f>
        <v/>
      </c>
      <c r="K23" s="45">
        <f>IFERROR(__xludf.DUMMYFUNCTION("""COMPUTED_VALUE"""),"FV0846A - Stroganoff-Style Beef Burger [DE]")</f>
        <v/>
      </c>
      <c r="L23" s="45">
        <f>IFERROR(__xludf.DUMMYFUNCTION("""COMPUTED_VALUE"""),"Beef Burger Master EU")</f>
        <v/>
      </c>
      <c r="M23" s="45">
        <f>IFERROR(__xludf.DUMMYFUNCTION("""COMPUTED_VALUE"""),0.0)</f>
        <v/>
      </c>
      <c r="N23" s="45">
        <f>IFERROR(__xludf.DUMMYFUNCTION("""COMPUTED_VALUE"""),"HORIZONTAL MIXER / PATTY MAKER / OVEN / BLAST CHILLER")</f>
        <v/>
      </c>
      <c r="O23" s="45" t="n"/>
      <c r="P23" s="45">
        <f>IFERROR(__xludf.DUMMYFUNCTION("""COMPUTED_VALUE"""),3293.0)</f>
        <v/>
      </c>
      <c r="Q23" s="45">
        <f>IFERROR(__xludf.DUMMYFUNCTION("""COMPUTED_VALUE"""),-3293.0)</f>
        <v/>
      </c>
      <c r="R23" s="45">
        <f>IFERROR(__xludf.DUMMYFUNCTION("""COMPUTED_VALUE"""),"Released")</f>
        <v/>
      </c>
      <c r="S23" s="45" t="n"/>
      <c r="T23" s="45">
        <f>IFERROR(__xludf.DUMMYFUNCTION("""COMPUTED_VALUE"""),"Not Started")</f>
        <v/>
      </c>
      <c r="U23" s="45" t="n"/>
      <c r="V23" s="45" t="n"/>
      <c r="W23" s="45" t="n"/>
      <c r="X23" s="45" t="n"/>
      <c r="Y23" s="45">
        <f>IFERROR(__xludf.DUMMYFUNCTION("""COMPUTED_VALUE"""),"SCHWEFELDIOXIDE UND SULFITE")</f>
        <v/>
      </c>
      <c r="Z23" s="45">
        <f>IFERROR(__xludf.DUMMYFUNCTION("""COMPUTED_VALUE"""),"SCHWEFELDIOXIDE UND SULFITE")</f>
        <v/>
      </c>
    </row>
    <row r="24">
      <c r="A24" s="45" t="n"/>
      <c r="B24" s="45">
        <f>IFERROR(__xludf.DUMMYFUNCTION("""COMPUTED_VALUE"""),22.0)</f>
        <v/>
      </c>
      <c r="C24" s="45" t="n"/>
      <c r="D24" s="45" t="n"/>
      <c r="E24" s="45" t="n"/>
      <c r="F24" s="45">
        <f>IFERROR(__xludf.DUMMYFUNCTION("""COMPUTED_VALUE"""),FALSE)</f>
        <v/>
      </c>
      <c r="G24" s="45" t="n"/>
      <c r="H24" s="45">
        <f>IFERROR(__xludf.DUMMYFUNCTION("""COMPUTED_VALUE"""),"2026-05-06 - 1")</f>
        <v/>
      </c>
      <c r="I24" s="45">
        <f>IFERROR(__xludf.DUMMYFUNCTION("""COMPUTED_VALUE"""),"20-56")</f>
        <v/>
      </c>
      <c r="J24" s="45">
        <f>IFERROR(__xludf.DUMMYFUNCTION("""COMPUTED_VALUE"""),"REC-013940-4-006")</f>
        <v/>
      </c>
      <c r="K24" s="45">
        <f>IFERROR(__xludf.DUMMYFUNCTION("""COMPUTED_VALUE"""),"FV0035A - Salmon with pesto [DE]")</f>
        <v/>
      </c>
      <c r="L24" s="45">
        <f>IFERROR(__xludf.DUMMYFUNCTION("""COMPUTED_VALUE"""),"Compound butter - Sun-Dried Tomato")</f>
        <v/>
      </c>
      <c r="M24" s="45">
        <f>IFERROR(__xludf.DUMMYFUNCTION("""COMPUTED_VALUE"""),0.0)</f>
        <v/>
      </c>
      <c r="N24" s="45">
        <f>IFERROR(__xludf.DUMMYFUNCTION("""COMPUTED_VALUE"""),"PLANETARY MIXER / SCOOPER (BUTTER) / BLAST CHILLER")</f>
        <v/>
      </c>
      <c r="O24" s="45" t="n"/>
      <c r="P24" s="45">
        <f>IFERROR(__xludf.DUMMYFUNCTION("""COMPUTED_VALUE"""),6257.0)</f>
        <v/>
      </c>
      <c r="Q24" s="45">
        <f>IFERROR(__xludf.DUMMYFUNCTION("""COMPUTED_VALUE"""),-6257.0)</f>
        <v/>
      </c>
      <c r="R24" s="45">
        <f>IFERROR(__xludf.DUMMYFUNCTION("""COMPUTED_VALUE"""),"Allocation Pending")</f>
        <v/>
      </c>
      <c r="S24" s="45" t="n"/>
      <c r="T24" s="45">
        <f>IFERROR(__xludf.DUMMYFUNCTION("""COMPUTED_VALUE"""),"Not Started")</f>
        <v/>
      </c>
      <c r="U24" s="45" t="n"/>
      <c r="V24" s="45" t="n"/>
      <c r="W24" s="45" t="n"/>
      <c r="X24" s="45" t="n"/>
      <c r="Y24" s="45">
        <f>IFERROR(__xludf.DUMMYFUNCTION("""COMPUTED_VALUE"""),"MILCH (EINSCHLIESSLICH LAKTOSE)")</f>
        <v/>
      </c>
      <c r="Z24" s="45">
        <f>IFERROR(__xludf.DUMMYFUNCTION("""COMPUTED_VALUE"""),"MILCH (EINSCHLIESSLICH LAKTOSE)")</f>
        <v/>
      </c>
    </row>
    <row r="25">
      <c r="A25" s="45" t="n"/>
      <c r="B25" s="45">
        <f>IFERROR(__xludf.DUMMYFUNCTION("""COMPUTED_VALUE"""),23.0)</f>
        <v/>
      </c>
      <c r="C25" s="45" t="n"/>
      <c r="D25" s="45" t="n"/>
      <c r="E25" s="45" t="n"/>
      <c r="F25" s="45">
        <f>IFERROR(__xludf.DUMMYFUNCTION("""COMPUTED_VALUE"""),FALSE)</f>
        <v/>
      </c>
      <c r="G25" s="45" t="n"/>
      <c r="H25" s="45">
        <f>IFERROR(__xludf.DUMMYFUNCTION("""COMPUTED_VALUE"""),"2026-05-06 - 1")</f>
        <v/>
      </c>
      <c r="I25" s="45">
        <f>IFERROR(__xludf.DUMMYFUNCTION("""COMPUTED_VALUE"""),"20-57")</f>
        <v/>
      </c>
      <c r="J25" s="45">
        <f>IFERROR(__xludf.DUMMYFUNCTION("""COMPUTED_VALUE"""),"REC-013940-4-006")</f>
        <v/>
      </c>
      <c r="K25" s="45">
        <f>IFERROR(__xludf.DUMMYFUNCTION("""COMPUTED_VALUE"""),"FV0035A - Salmon with pesto [DE]")</f>
        <v/>
      </c>
      <c r="L25" s="45">
        <f>IFERROR(__xludf.DUMMYFUNCTION("""COMPUTED_VALUE"""),"S&amp;P Roasted Green Beans 1")</f>
        <v/>
      </c>
      <c r="M25" s="45">
        <f>IFERROR(__xludf.DUMMYFUNCTION("""COMPUTED_VALUE"""),0.0)</f>
        <v/>
      </c>
      <c r="N25" s="45">
        <f>IFERROR(__xludf.DUMMYFUNCTION("""COMPUTED_VALUE"""),"OVEN / BLAST CHILLER")</f>
        <v/>
      </c>
      <c r="O25" s="45" t="n"/>
      <c r="P25" s="45">
        <f>IFERROR(__xludf.DUMMYFUNCTION("""COMPUTED_VALUE"""),6257.0)</f>
        <v/>
      </c>
      <c r="Q25" s="45">
        <f>IFERROR(__xludf.DUMMYFUNCTION("""COMPUTED_VALUE"""),-6257.0)</f>
        <v/>
      </c>
      <c r="R25" s="45">
        <f>IFERROR(__xludf.DUMMYFUNCTION("""COMPUTED_VALUE"""),"Allocation Pending")</f>
        <v/>
      </c>
      <c r="S25" s="45" t="n"/>
      <c r="T25" s="45">
        <f>IFERROR(__xludf.DUMMYFUNCTION("""COMPUTED_VALUE"""),"Not Started")</f>
        <v/>
      </c>
      <c r="U25" s="45" t="n"/>
      <c r="V25" s="45" t="n"/>
      <c r="W25" s="45" t="n"/>
      <c r="X25" s="45" t="n"/>
      <c r="Y25" s="45" t="n"/>
      <c r="Z25" s="45" t="n"/>
    </row>
    <row r="26">
      <c r="A26" s="45" t="n"/>
      <c r="B26" s="45">
        <f>IFERROR(__xludf.DUMMYFUNCTION("""COMPUTED_VALUE"""),24.0)</f>
        <v/>
      </c>
      <c r="C26" s="45" t="n"/>
      <c r="D26" s="45" t="n"/>
      <c r="E26" s="45" t="n"/>
      <c r="F26" s="45">
        <f>IFERROR(__xludf.DUMMYFUNCTION("""COMPUTED_VALUE"""),FALSE)</f>
        <v/>
      </c>
      <c r="G26" s="45" t="n"/>
      <c r="H26" s="45">
        <f>IFERROR(__xludf.DUMMYFUNCTION("""COMPUTED_VALUE"""),"2026-05-06 - 1")</f>
        <v/>
      </c>
      <c r="I26" s="45">
        <f>IFERROR(__xludf.DUMMYFUNCTION("""COMPUTED_VALUE"""),"20-58")</f>
        <v/>
      </c>
      <c r="J26" s="45">
        <f>IFERROR(__xludf.DUMMYFUNCTION("""COMPUTED_VALUE"""),"REC-013940-4-006")</f>
        <v/>
      </c>
      <c r="K26" s="45">
        <f>IFERROR(__xludf.DUMMYFUNCTION("""COMPUTED_VALUE"""),"FV0035A - Salmon with pesto [DE]")</f>
        <v/>
      </c>
      <c r="L26" s="45">
        <f>IFERROR(__xludf.DUMMYFUNCTION("""COMPUTED_VALUE"""),"Salmon - garlic seasoning")</f>
        <v/>
      </c>
      <c r="M26" s="45">
        <f>IFERROR(__xludf.DUMMYFUNCTION("""COMPUTED_VALUE"""),0.0)</f>
        <v/>
      </c>
      <c r="N26" s="45">
        <f>IFERROR(__xludf.DUMMYFUNCTION("""COMPUTED_VALUE"""),"THAW / HAND MARINADE / OVEN / BLAST CHILLER")</f>
        <v/>
      </c>
      <c r="O26" s="45" t="n"/>
      <c r="P26" s="45">
        <f>IFERROR(__xludf.DUMMYFUNCTION("""COMPUTED_VALUE"""),6257.0)</f>
        <v/>
      </c>
      <c r="Q26" s="45">
        <f>IFERROR(__xludf.DUMMYFUNCTION("""COMPUTED_VALUE"""),-6257.0)</f>
        <v/>
      </c>
      <c r="R26" s="45">
        <f>IFERROR(__xludf.DUMMYFUNCTION("""COMPUTED_VALUE"""),"Picking")</f>
        <v/>
      </c>
      <c r="S26" s="45" t="n"/>
      <c r="T26" s="45">
        <f>IFERROR(__xludf.DUMMYFUNCTION("""COMPUTED_VALUE"""),"Not Started")</f>
        <v/>
      </c>
      <c r="U26" s="45" t="n"/>
      <c r="V26" s="45" t="n"/>
      <c r="W26" s="45" t="n"/>
      <c r="X26" s="45" t="n"/>
      <c r="Y26" s="45">
        <f>IFERROR(__xludf.DUMMYFUNCTION("""COMPUTED_VALUE"""),"FISCH")</f>
        <v/>
      </c>
      <c r="Z26" s="45">
        <f>IFERROR(__xludf.DUMMYFUNCTION("""COMPUTED_VALUE"""),"FISCH")</f>
        <v/>
      </c>
    </row>
    <row r="27">
      <c r="A27" s="45" t="n"/>
      <c r="B27" s="45">
        <f>IFERROR(__xludf.DUMMYFUNCTION("""COMPUTED_VALUE"""),25.0)</f>
        <v/>
      </c>
      <c r="C27" s="45" t="n"/>
      <c r="D27" s="45" t="n"/>
      <c r="E27" s="45" t="n"/>
      <c r="F27" s="45">
        <f>IFERROR(__xludf.DUMMYFUNCTION("""COMPUTED_VALUE"""),FALSE)</f>
        <v/>
      </c>
      <c r="G27" s="45" t="n"/>
      <c r="H27" s="45">
        <f>IFERROR(__xludf.DUMMYFUNCTION("""COMPUTED_VALUE"""),"2026-05-06 - 1")</f>
        <v/>
      </c>
      <c r="I27" s="45">
        <f>IFERROR(__xludf.DUMMYFUNCTION("""COMPUTED_VALUE"""),"20-60")</f>
        <v/>
      </c>
      <c r="J27" s="45">
        <f>IFERROR(__xludf.DUMMYFUNCTION("""COMPUTED_VALUE"""),"REC-013940-4-006")</f>
        <v/>
      </c>
      <c r="K27" s="45">
        <f>IFERROR(__xludf.DUMMYFUNCTION("""COMPUTED_VALUE"""),"FV0035A - Salmon with pesto [DE]")</f>
        <v/>
      </c>
      <c r="L27" s="45">
        <f>IFERROR(__xludf.DUMMYFUNCTION("""COMPUTED_VALUE"""),"Sauce - Pesto")</f>
        <v/>
      </c>
      <c r="M27" s="45">
        <f>IFERROR(__xludf.DUMMYFUNCTION("""COMPUTED_VALUE"""),0.0)</f>
        <v/>
      </c>
      <c r="N27" s="45">
        <f>IFERROR(__xludf.DUMMYFUNCTION("""COMPUTED_VALUE"""),"IMMERSION BLENDER / BLAST CHILLER")</f>
        <v/>
      </c>
      <c r="O27" s="45" t="n"/>
      <c r="P27" s="45">
        <f>IFERROR(__xludf.DUMMYFUNCTION("""COMPUTED_VALUE"""),6257.0)</f>
        <v/>
      </c>
      <c r="Q27" s="45">
        <f>IFERROR(__xludf.DUMMYFUNCTION("""COMPUTED_VALUE"""),-6257.0)</f>
        <v/>
      </c>
      <c r="R27" s="45">
        <f>IFERROR(__xludf.DUMMYFUNCTION("""COMPUTED_VALUE"""),"Allocation Pending")</f>
        <v/>
      </c>
      <c r="S27" s="45" t="n"/>
      <c r="T27" s="45">
        <f>IFERROR(__xludf.DUMMYFUNCTION("""COMPUTED_VALUE"""),"Not Started")</f>
        <v/>
      </c>
      <c r="U27" s="45" t="n"/>
      <c r="V27" s="45" t="n"/>
      <c r="W27" s="45" t="n"/>
      <c r="X27" s="45" t="n"/>
      <c r="Y27" s="45">
        <f>IFERROR(__xludf.DUMMYFUNCTION("""COMPUTED_VALUE"""),"MANDELN, MILCH (EINSCHLIESSLICH LAKTOSE), SCHALENFRÜCHTE")</f>
        <v/>
      </c>
      <c r="Z27" s="45">
        <f>IFERROR(__xludf.DUMMYFUNCTION("""COMPUTED_VALUE"""),"MANDELN, MILCH (EINSCHLIESSLICH LAKTOSE), SCHALENFRÜCHTE")</f>
        <v/>
      </c>
    </row>
    <row r="28">
      <c r="A28" s="45" t="n"/>
      <c r="B28" s="45">
        <f>IFERROR(__xludf.DUMMYFUNCTION("""COMPUTED_VALUE"""),26.0)</f>
        <v/>
      </c>
      <c r="C28" s="45" t="n"/>
      <c r="D28" s="45" t="n"/>
      <c r="E28" s="45" t="n"/>
      <c r="F28" s="45">
        <f>IFERROR(__xludf.DUMMYFUNCTION("""COMPUTED_VALUE"""),FALSE)</f>
        <v/>
      </c>
      <c r="G28" s="45" t="n"/>
      <c r="H28" s="45">
        <f>IFERROR(__xludf.DUMMYFUNCTION("""COMPUTED_VALUE"""),"2026-05-06 - 1")</f>
        <v/>
      </c>
      <c r="I28" s="45">
        <f>IFERROR(__xludf.DUMMYFUNCTION("""COMPUTED_VALUE"""),"20-61")</f>
        <v/>
      </c>
      <c r="J28" s="45">
        <f>IFERROR(__xludf.DUMMYFUNCTION("""COMPUTED_VALUE"""),"REC-013940-4-006")</f>
        <v/>
      </c>
      <c r="K28" s="45">
        <f>IFERROR(__xludf.DUMMYFUNCTION("""COMPUTED_VALUE"""),"FV0035A - Salmon with pesto [DE]")</f>
        <v/>
      </c>
      <c r="L28" s="45">
        <f>IFERROR(__xludf.DUMMYFUNCTION("""COMPUTED_VALUE"""),"Spinach - Creamed Spinach")</f>
        <v/>
      </c>
      <c r="M28" s="45">
        <f>IFERROR(__xludf.DUMMYFUNCTION("""COMPUTED_VALUE"""),0.0)</f>
        <v/>
      </c>
      <c r="N28" s="45">
        <f>IFERROR(__xludf.DUMMYFUNCTION("""COMPUTED_VALUE"""),"HAND MIX / BLAST CHILLER")</f>
        <v/>
      </c>
      <c r="O28" s="45" t="n"/>
      <c r="P28" s="45">
        <f>IFERROR(__xludf.DUMMYFUNCTION("""COMPUTED_VALUE"""),6257.0)</f>
        <v/>
      </c>
      <c r="Q28" s="45">
        <f>IFERROR(__xludf.DUMMYFUNCTION("""COMPUTED_VALUE"""),-6257.0)</f>
        <v/>
      </c>
      <c r="R28" s="45">
        <f>IFERROR(__xludf.DUMMYFUNCTION("""COMPUTED_VALUE"""),"Allocation Pending")</f>
        <v/>
      </c>
      <c r="S28" s="45" t="n"/>
      <c r="T28" s="45">
        <f>IFERROR(__xludf.DUMMYFUNCTION("""COMPUTED_VALUE"""),"Not Started")</f>
        <v/>
      </c>
      <c r="U28" s="45" t="n"/>
      <c r="V28" s="45" t="n"/>
      <c r="W28" s="45" t="n"/>
      <c r="X28" s="45" t="n"/>
      <c r="Y28" s="45">
        <f>IFERROR(__xludf.DUMMYFUNCTION("""COMPUTED_VALUE"""),"MILCH (EINSCHLIESSLICH LAKTOSE), SCHWEFELDIOXIDE UND SULFITE")</f>
        <v/>
      </c>
      <c r="Z28" s="45">
        <f>IFERROR(__xludf.DUMMYFUNCTION("""COMPUTED_VALUE"""),"MILCH (EINSCHLIESSLICH LAKTOSE), SCHWEFELDIOXIDE UND SULFITE")</f>
        <v/>
      </c>
    </row>
    <row r="29">
      <c r="A29" s="45" t="n"/>
      <c r="B29" s="45">
        <f>IFERROR(__xludf.DUMMYFUNCTION("""COMPUTED_VALUE"""),27.0)</f>
        <v/>
      </c>
      <c r="C29" s="45" t="n"/>
      <c r="D29" s="45" t="n"/>
      <c r="E29" s="45" t="n"/>
      <c r="F29" s="45">
        <f>IFERROR(__xludf.DUMMYFUNCTION("""COMPUTED_VALUE"""),FALSE)</f>
        <v/>
      </c>
      <c r="G29" s="45" t="n"/>
      <c r="H29" s="45">
        <f>IFERROR(__xludf.DUMMYFUNCTION("""COMPUTED_VALUE"""),"2026-05-06 - 1")</f>
        <v/>
      </c>
      <c r="I29" s="45">
        <f>IFERROR(__xludf.DUMMYFUNCTION("""COMPUTED_VALUE"""),"20-44")</f>
        <v/>
      </c>
      <c r="J29" s="45">
        <f>IFERROR(__xludf.DUMMYFUNCTION("""COMPUTED_VALUE"""),"REC-029854-4-001")</f>
        <v/>
      </c>
      <c r="K29" s="45">
        <f>IFERROR(__xludf.DUMMYFUNCTION("""COMPUTED_VALUE"""),"FV0846A - Stroganoff-Style Beef Burger [DE]")</f>
        <v/>
      </c>
      <c r="L29" s="45">
        <f>IFERROR(__xludf.DUMMYFUNCTION("""COMPUTED_VALUE"""),"Green Beans CUT 1-1/2 - Fresh - Less Salt")</f>
        <v/>
      </c>
      <c r="M29" s="45">
        <f>IFERROR(__xludf.DUMMYFUNCTION("""COMPUTED_VALUE"""),0.0)</f>
        <v/>
      </c>
      <c r="N29" s="45">
        <f>IFERROR(__xludf.DUMMYFUNCTION("""COMPUTED_VALUE"""),"OVEN / BLAST CHILLER")</f>
        <v/>
      </c>
      <c r="O29" s="45" t="n"/>
      <c r="P29" s="45">
        <f>IFERROR(__xludf.DUMMYFUNCTION("""COMPUTED_VALUE"""),3071.0)</f>
        <v/>
      </c>
      <c r="Q29" s="45">
        <f>IFERROR(__xludf.DUMMYFUNCTION("""COMPUTED_VALUE"""),-3071.0)</f>
        <v/>
      </c>
      <c r="R29" s="45">
        <f>IFERROR(__xludf.DUMMYFUNCTION("""COMPUTED_VALUE"""),"Released")</f>
        <v/>
      </c>
      <c r="S29" s="45" t="n"/>
      <c r="T29" s="45">
        <f>IFERROR(__xludf.DUMMYFUNCTION("""COMPUTED_VALUE"""),"Not Started")</f>
        <v/>
      </c>
      <c r="U29" s="45" t="n"/>
      <c r="V29" s="45" t="n"/>
      <c r="W29" s="45" t="n"/>
      <c r="X29" s="45" t="n"/>
      <c r="Y29" s="45" t="n"/>
      <c r="Z29" s="45" t="n"/>
    </row>
    <row r="30">
      <c r="A30" s="45" t="n"/>
      <c r="B30" s="45">
        <f>IFERROR(__xludf.DUMMYFUNCTION("""COMPUTED_VALUE"""),28.0)</f>
        <v/>
      </c>
      <c r="C30" s="45" t="n"/>
      <c r="D30" s="45" t="n"/>
      <c r="E30" s="45" t="n"/>
      <c r="F30" s="45">
        <f>IFERROR(__xludf.DUMMYFUNCTION("""COMPUTED_VALUE"""),FALSE)</f>
        <v/>
      </c>
      <c r="G30" s="45" t="n"/>
      <c r="H30" s="45">
        <f>IFERROR(__xludf.DUMMYFUNCTION("""COMPUTED_VALUE"""),"2026-05-06 - 1")</f>
        <v/>
      </c>
      <c r="I30" s="45">
        <f>IFERROR(__xludf.DUMMYFUNCTION("""COMPUTED_VALUE"""),"20-45")</f>
        <v/>
      </c>
      <c r="J30" s="45">
        <f>IFERROR(__xludf.DUMMYFUNCTION("""COMPUTED_VALUE"""),"REC-029854-4-001")</f>
        <v/>
      </c>
      <c r="K30" s="45">
        <f>IFERROR(__xludf.DUMMYFUNCTION("""COMPUTED_VALUE"""),"FV0846A - Stroganoff-Style Beef Burger [DE]")</f>
        <v/>
      </c>
      <c r="L30" s="45">
        <f>IFERROR(__xludf.DUMMYFUNCTION("""COMPUTED_VALUE"""),"Herb-Parmesan Butter")</f>
        <v/>
      </c>
      <c r="M30" s="45">
        <f>IFERROR(__xludf.DUMMYFUNCTION("""COMPUTED_VALUE"""),0.0)</f>
        <v/>
      </c>
      <c r="N30" s="45">
        <f>IFERROR(__xludf.DUMMYFUNCTION("""COMPUTED_VALUE"""),"PLANETARY MIXER / SCOOPER (BUTTER) / BLAST CHILLER")</f>
        <v/>
      </c>
      <c r="O30" s="45" t="n"/>
      <c r="P30" s="45">
        <f>IFERROR(__xludf.DUMMYFUNCTION("""COMPUTED_VALUE"""),3071.0)</f>
        <v/>
      </c>
      <c r="Q30" s="45">
        <f>IFERROR(__xludf.DUMMYFUNCTION("""COMPUTED_VALUE"""),-3071.0)</f>
        <v/>
      </c>
      <c r="R30" s="45">
        <f>IFERROR(__xludf.DUMMYFUNCTION("""COMPUTED_VALUE"""),"Allocation Pending")</f>
        <v/>
      </c>
      <c r="S30" s="45" t="n"/>
      <c r="T30" s="45">
        <f>IFERROR(__xludf.DUMMYFUNCTION("""COMPUTED_VALUE"""),"Not Started")</f>
        <v/>
      </c>
      <c r="U30" s="45" t="n"/>
      <c r="V30" s="45" t="n"/>
      <c r="W30" s="45" t="n"/>
      <c r="X30" s="45" t="n"/>
      <c r="Y30" s="45">
        <f>IFERROR(__xludf.DUMMYFUNCTION("""COMPUTED_VALUE"""),"MILCH (EINSCHLIESSLICH LAKTOSE)")</f>
        <v/>
      </c>
      <c r="Z30" s="45">
        <f>IFERROR(__xludf.DUMMYFUNCTION("""COMPUTED_VALUE"""),"MILCH (EINSCHLIESSLICH LAKTOSE)")</f>
        <v/>
      </c>
    </row>
    <row r="31">
      <c r="A31" s="45" t="n"/>
      <c r="B31" s="45">
        <f>IFERROR(__xludf.DUMMYFUNCTION("""COMPUTED_VALUE"""),29.0)</f>
        <v/>
      </c>
      <c r="C31" s="45" t="n"/>
      <c r="D31" s="45" t="n"/>
      <c r="E31" s="45" t="n"/>
      <c r="F31" s="45">
        <f>IFERROR(__xludf.DUMMYFUNCTION("""COMPUTED_VALUE"""),FALSE)</f>
        <v/>
      </c>
      <c r="G31" s="45" t="n"/>
      <c r="H31" s="45">
        <f>IFERROR(__xludf.DUMMYFUNCTION("""COMPUTED_VALUE"""),"2026-05-06 - 1")</f>
        <v/>
      </c>
      <c r="I31" s="45">
        <f>IFERROR(__xludf.DUMMYFUNCTION("""COMPUTED_VALUE"""),"20-46")</f>
        <v/>
      </c>
      <c r="J31" s="45">
        <f>IFERROR(__xludf.DUMMYFUNCTION("""COMPUTED_VALUE"""),"REC-029854-4-001")</f>
        <v/>
      </c>
      <c r="K31" s="45">
        <f>IFERROR(__xludf.DUMMYFUNCTION("""COMPUTED_VALUE"""),"FV0846A - Stroganoff-Style Beef Burger [DE]")</f>
        <v/>
      </c>
      <c r="L31" s="45">
        <f>IFERROR(__xludf.DUMMYFUNCTION("""COMPUTED_VALUE"""),"Loaded Roasted Sliced Mushrooms 1/2 green onion")</f>
        <v/>
      </c>
      <c r="M31" s="45">
        <f>IFERROR(__xludf.DUMMYFUNCTION("""COMPUTED_VALUE"""),0.0)</f>
        <v/>
      </c>
      <c r="N31" s="45">
        <f>IFERROR(__xludf.DUMMYFUNCTION("""COMPUTED_VALUE"""),"OVEN / BLAST CHILLER")</f>
        <v/>
      </c>
      <c r="O31" s="45" t="n"/>
      <c r="P31" s="45">
        <f>IFERROR(__xludf.DUMMYFUNCTION("""COMPUTED_VALUE"""),3071.0)</f>
        <v/>
      </c>
      <c r="Q31" s="45">
        <f>IFERROR(__xludf.DUMMYFUNCTION("""COMPUTED_VALUE"""),-3071.0)</f>
        <v/>
      </c>
      <c r="R31" s="45">
        <f>IFERROR(__xludf.DUMMYFUNCTION("""COMPUTED_VALUE"""),"Allocation Pending")</f>
        <v/>
      </c>
      <c r="S31" s="45" t="n"/>
      <c r="T31" s="45">
        <f>IFERROR(__xludf.DUMMYFUNCTION("""COMPUTED_VALUE"""),"Not Started")</f>
        <v/>
      </c>
      <c r="U31" s="45" t="n"/>
      <c r="V31" s="45" t="n"/>
      <c r="W31" s="45" t="n"/>
      <c r="X31" s="45" t="n"/>
      <c r="Y31" s="45">
        <f>IFERROR(__xludf.DUMMYFUNCTION("""COMPUTED_VALUE"""),"SCHWEFELDIOXIDE UND SULFITE")</f>
        <v/>
      </c>
      <c r="Z31" s="45">
        <f>IFERROR(__xludf.DUMMYFUNCTION("""COMPUTED_VALUE"""),"SCHWEFELDIOXIDE UND SULFITE")</f>
        <v/>
      </c>
    </row>
    <row r="32">
      <c r="A32" s="45" t="n"/>
      <c r="B32" s="45">
        <f>IFERROR(__xludf.DUMMYFUNCTION("""COMPUTED_VALUE"""),30.0)</f>
        <v/>
      </c>
      <c r="C32" s="45" t="n"/>
      <c r="D32" s="45" t="n"/>
      <c r="E32" s="45" t="n"/>
      <c r="F32" s="45">
        <f>IFERROR(__xludf.DUMMYFUNCTION("""COMPUTED_VALUE"""),FALSE)</f>
        <v/>
      </c>
      <c r="G32" s="45" t="n"/>
      <c r="H32" s="45">
        <f>IFERROR(__xludf.DUMMYFUNCTION("""COMPUTED_VALUE"""),"2026-05-06 - 1")</f>
        <v/>
      </c>
      <c r="I32" s="45">
        <f>IFERROR(__xludf.DUMMYFUNCTION("""COMPUTED_VALUE"""),"20-47")</f>
        <v/>
      </c>
      <c r="J32" s="45">
        <f>IFERROR(__xludf.DUMMYFUNCTION("""COMPUTED_VALUE"""),"REC-029854-4-001")</f>
        <v/>
      </c>
      <c r="K32" s="45">
        <f>IFERROR(__xludf.DUMMYFUNCTION("""COMPUTED_VALUE"""),"FV0846A - Stroganoff-Style Beef Burger [DE]")</f>
        <v/>
      </c>
      <c r="L32" s="45">
        <f>IFERROR(__xludf.DUMMYFUNCTION("""COMPUTED_VALUE"""),"Roasted Green Onions")</f>
        <v/>
      </c>
      <c r="M32" s="45">
        <f>IFERROR(__xludf.DUMMYFUNCTION("""COMPUTED_VALUE"""),0.0)</f>
        <v/>
      </c>
      <c r="N32" s="45">
        <f>IFERROR(__xludf.DUMMYFUNCTION("""COMPUTED_VALUE"""),"OVEN / BLAST CHILLER")</f>
        <v/>
      </c>
      <c r="O32" s="45" t="n"/>
      <c r="P32" s="45">
        <f>IFERROR(__xludf.DUMMYFUNCTION("""COMPUTED_VALUE"""),3071.0)</f>
        <v/>
      </c>
      <c r="Q32" s="45">
        <f>IFERROR(__xludf.DUMMYFUNCTION("""COMPUTED_VALUE"""),-3071.0)</f>
        <v/>
      </c>
      <c r="R32" s="45">
        <f>IFERROR(__xludf.DUMMYFUNCTION("""COMPUTED_VALUE"""),"Released")</f>
        <v/>
      </c>
      <c r="S32" s="45" t="n"/>
      <c r="T32" s="45">
        <f>IFERROR(__xludf.DUMMYFUNCTION("""COMPUTED_VALUE"""),"Not Started")</f>
        <v/>
      </c>
      <c r="U32" s="45" t="n"/>
      <c r="V32" s="45" t="n"/>
      <c r="W32" s="45" t="n"/>
      <c r="X32" s="45" t="n"/>
      <c r="Y32" s="45" t="n"/>
      <c r="Z32" s="45" t="n"/>
    </row>
    <row r="33">
      <c r="A33" s="45" t="n"/>
      <c r="B33" s="45">
        <f>IFERROR(__xludf.DUMMYFUNCTION("""COMPUTED_VALUE"""),31.0)</f>
        <v/>
      </c>
      <c r="C33" s="45" t="n"/>
      <c r="D33" s="45" t="n"/>
      <c r="E33" s="45" t="n"/>
      <c r="F33" s="45">
        <f>IFERROR(__xludf.DUMMYFUNCTION("""COMPUTED_VALUE"""),FALSE)</f>
        <v/>
      </c>
      <c r="G33" s="45" t="n"/>
      <c r="H33" s="45">
        <f>IFERROR(__xludf.DUMMYFUNCTION("""COMPUTED_VALUE"""),"2026-05-06 - 1")</f>
        <v/>
      </c>
      <c r="I33" s="45">
        <f>IFERROR(__xludf.DUMMYFUNCTION("""COMPUTED_VALUE"""),"20-48")</f>
        <v/>
      </c>
      <c r="J33" s="45">
        <f>IFERROR(__xludf.DUMMYFUNCTION("""COMPUTED_VALUE"""),"REC-029854-4-001")</f>
        <v/>
      </c>
      <c r="K33" s="45">
        <f>IFERROR(__xludf.DUMMYFUNCTION("""COMPUTED_VALUE"""),"FV0846A - Stroganoff-Style Beef Burger [DE]")</f>
        <v/>
      </c>
      <c r="L33" s="45">
        <f>IFERROR(__xludf.DUMMYFUNCTION("""COMPUTED_VALUE"""),"Sauce for Beef Stroganoff - 1/2 garlic- No wine")</f>
        <v/>
      </c>
      <c r="M33" s="45">
        <f>IFERROR(__xludf.DUMMYFUNCTION("""COMPUTED_VALUE"""),0.0)</f>
        <v/>
      </c>
      <c r="N33" s="45">
        <f>IFERROR(__xludf.DUMMYFUNCTION("""COMPUTED_VALUE"""),"SPICE PORTIONING / IMMERSION BLENDER / BRAISER / BLAST CHILLER")</f>
        <v/>
      </c>
      <c r="O33" s="45" t="n"/>
      <c r="P33" s="45">
        <f>IFERROR(__xludf.DUMMYFUNCTION("""COMPUTED_VALUE"""),3071.0)</f>
        <v/>
      </c>
      <c r="Q33" s="45">
        <f>IFERROR(__xludf.DUMMYFUNCTION("""COMPUTED_VALUE"""),-3071.0)</f>
        <v/>
      </c>
      <c r="R33" s="45">
        <f>IFERROR(__xludf.DUMMYFUNCTION("""COMPUTED_VALUE"""),"Allocation Pending")</f>
        <v/>
      </c>
      <c r="S33" s="45" t="n"/>
      <c r="T33" s="45">
        <f>IFERROR(__xludf.DUMMYFUNCTION("""COMPUTED_VALUE"""),"Not Started")</f>
        <v/>
      </c>
      <c r="U33" s="45" t="n"/>
      <c r="V33" s="45" t="n"/>
      <c r="W33" s="45" t="n"/>
      <c r="X33" s="45" t="n"/>
      <c r="Y33" s="45">
        <f>IFERROR(__xludf.DUMMYFUNCTION("""COMPUTED_VALUE"""),"MILCH (EINSCHLIESSLICH LAKTOSE), SCHWEFELDIOXIDE UND SULFITE, SELLERIE, SENF")</f>
        <v/>
      </c>
      <c r="Z33" s="45">
        <f>IFERROR(__xludf.DUMMYFUNCTION("""COMPUTED_VALUE"""),"MILCH (EINSCHLIESSLICH LAKTOSE), SCHWEFELDIOXIDE UND SULFITE, SELLERIE, SENF")</f>
        <v/>
      </c>
    </row>
    <row r="34">
      <c r="A34" s="45" t="n"/>
      <c r="B34" s="45">
        <f>IFERROR(__xludf.DUMMYFUNCTION("""COMPUTED_VALUE"""),32.0)</f>
        <v/>
      </c>
      <c r="C34" s="45" t="n"/>
      <c r="D34" s="45" t="n"/>
      <c r="E34" s="45" t="n"/>
      <c r="F34" s="45">
        <f>IFERROR(__xludf.DUMMYFUNCTION("""COMPUTED_VALUE"""),FALSE)</f>
        <v/>
      </c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5" t="n"/>
      <c r="B35" s="45">
        <f>IFERROR(__xludf.DUMMYFUNCTION("""COMPUTED_VALUE"""),33.0)</f>
        <v/>
      </c>
      <c r="C35" s="45" t="n"/>
      <c r="D35" s="45" t="n"/>
      <c r="E35" s="45" t="n"/>
      <c r="F35" s="45">
        <f>IFERROR(__xludf.DUMMYFUNCTION("""COMPUTED_VALUE"""),FALSE)</f>
        <v/>
      </c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5" t="n"/>
      <c r="B36" s="45">
        <f>IFERROR(__xludf.DUMMYFUNCTION("""COMPUTED_VALUE"""),34.0)</f>
        <v/>
      </c>
      <c r="C36" s="45" t="n"/>
      <c r="D36" s="45" t="n"/>
      <c r="E36" s="45" t="n"/>
      <c r="F36" s="45">
        <f>IFERROR(__xludf.DUMMYFUNCTION("""COMPUTED_VALUE"""),FALSE)</f>
        <v/>
      </c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5" t="n"/>
      <c r="B37" s="45">
        <f>IFERROR(__xludf.DUMMYFUNCTION("""COMPUTED_VALUE"""),35.0)</f>
        <v/>
      </c>
      <c r="C37" s="45" t="n"/>
      <c r="D37" s="45" t="n"/>
      <c r="E37" s="45" t="n"/>
      <c r="F37" s="45">
        <f>IFERROR(__xludf.DUMMYFUNCTION("""COMPUTED_VALUE"""),FALSE)</f>
        <v/>
      </c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5" t="n"/>
      <c r="B38" s="45">
        <f>IFERROR(__xludf.DUMMYFUNCTION("""COMPUTED_VALUE"""),36.0)</f>
        <v/>
      </c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5" t="n"/>
      <c r="B39" s="45">
        <f>IFERROR(__xludf.DUMMYFUNCTION("""COMPUTED_VALUE"""),37.0)</f>
        <v/>
      </c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5" t="n"/>
      <c r="B40" s="45">
        <f>IFERROR(__xludf.DUMMYFUNCTION("""COMPUTED_VALUE"""),38.0)</f>
        <v/>
      </c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5" t="n"/>
      <c r="B41" s="45">
        <f>IFERROR(__xludf.DUMMYFUNCTION("""COMPUTED_VALUE"""),39.0)</f>
        <v/>
      </c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5" t="n"/>
      <c r="B42" s="45">
        <f>IFERROR(__xludf.DUMMYFUNCTION("""COMPUTED_VALUE"""),40.0)</f>
        <v/>
      </c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5" t="n"/>
      <c r="B43" s="45">
        <f>IFERROR(__xludf.DUMMYFUNCTION("""COMPUTED_VALUE"""),41.0)</f>
        <v/>
      </c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5" t="n"/>
      <c r="B44" s="45">
        <f>IFERROR(__xludf.DUMMYFUNCTION("""COMPUTED_VALUE"""),42.0)</f>
        <v/>
      </c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5" t="n"/>
      <c r="B45" s="45">
        <f>IFERROR(__xludf.DUMMYFUNCTION("""COMPUTED_VALUE"""),43.0)</f>
        <v/>
      </c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5" t="n"/>
      <c r="B46" s="45">
        <f>IFERROR(__xludf.DUMMYFUNCTION("""COMPUTED_VALUE"""),44.0)</f>
        <v/>
      </c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5" t="n"/>
      <c r="B47" s="45">
        <f>IFERROR(__xludf.DUMMYFUNCTION("""COMPUTED_VALUE"""),45.0)</f>
        <v/>
      </c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5" t="n"/>
      <c r="B48" s="45">
        <f>IFERROR(__xludf.DUMMYFUNCTION("""COMPUTED_VALUE"""),46.0)</f>
        <v/>
      </c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5" t="n"/>
      <c r="B49" s="45">
        <f>IFERROR(__xludf.DUMMYFUNCTION("""COMPUTED_VALUE"""),47.0)</f>
        <v/>
      </c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5" t="n"/>
      <c r="B50" s="45">
        <f>IFERROR(__xludf.DUMMYFUNCTION("""COMPUTED_VALUE"""),48.0)</f>
        <v/>
      </c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5" t="n"/>
      <c r="B51" s="45">
        <f>IFERROR(__xludf.DUMMYFUNCTION("""COMPUTED_VALUE"""),49.0)</f>
        <v/>
      </c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5" t="n"/>
      <c r="B52" s="45">
        <f>IFERROR(__xludf.DUMMYFUNCTION("""COMPUTED_VALUE"""),50.0)</f>
        <v/>
      </c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5" t="n"/>
      <c r="B53" s="45">
        <f>IFERROR(__xludf.DUMMYFUNCTION("""COMPUTED_VALUE"""),51.0)</f>
        <v/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5" t="n"/>
      <c r="B54" s="45">
        <f>IFERROR(__xludf.DUMMYFUNCTION("""COMPUTED_VALUE"""),52.0)</f>
        <v/>
      </c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5" t="n"/>
      <c r="B55" s="45">
        <f>IFERROR(__xludf.DUMMYFUNCTION("""COMPUTED_VALUE"""),53.0)</f>
        <v/>
      </c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5" t="n"/>
      <c r="B56" s="45">
        <f>IFERROR(__xludf.DUMMYFUNCTION("""COMPUTED_VALUE"""),54.0)</f>
        <v/>
      </c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5" t="n"/>
      <c r="B57" s="45">
        <f>IFERROR(__xludf.DUMMYFUNCTION("""COMPUTED_VALUE"""),55.0)</f>
        <v/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5" t="n"/>
      <c r="B58" s="45">
        <f>IFERROR(__xludf.DUMMYFUNCTION("""COMPUTED_VALUE"""),56.0)</f>
        <v/>
      </c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5" t="n"/>
      <c r="B59" s="45">
        <f>IFERROR(__xludf.DUMMYFUNCTION("""COMPUTED_VALUE"""),57.0)</f>
        <v/>
      </c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5" t="n"/>
      <c r="B60" s="45">
        <f>IFERROR(__xludf.DUMMYFUNCTION("""COMPUTED_VALUE"""),58.0)</f>
        <v/>
      </c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5" t="n"/>
      <c r="B61" s="45">
        <f>IFERROR(__xludf.DUMMYFUNCTION("""COMPUTED_VALUE"""),59.0)</f>
        <v/>
      </c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5" t="n"/>
      <c r="B62" s="45">
        <f>IFERROR(__xludf.DUMMYFUNCTION("""COMPUTED_VALUE"""),60.0)</f>
        <v/>
      </c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5" t="n"/>
      <c r="B63" s="45">
        <f>IFERROR(__xludf.DUMMYFUNCTION("""COMPUTED_VALUE"""),61.0)</f>
        <v/>
      </c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5" t="n"/>
      <c r="B64" s="45">
        <f>IFERROR(__xludf.DUMMYFUNCTION("""COMPUTED_VALUE"""),62.0)</f>
        <v/>
      </c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5" t="n"/>
      <c r="B65" s="45">
        <f>IFERROR(__xludf.DUMMYFUNCTION("""COMPUTED_VALUE"""),63.0)</f>
        <v/>
      </c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5" t="n"/>
      <c r="B66" s="45">
        <f>IFERROR(__xludf.DUMMYFUNCTION("""COMPUTED_VALUE"""),64.0)</f>
        <v/>
      </c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5" t="n"/>
      <c r="B67" s="45">
        <f>IFERROR(__xludf.DUMMYFUNCTION("""COMPUTED_VALUE"""),65.0)</f>
        <v/>
      </c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5" t="n"/>
      <c r="B68" s="45">
        <f>IFERROR(__xludf.DUMMYFUNCTION("""COMPUTED_VALUE"""),66.0)</f>
        <v/>
      </c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5" t="n"/>
      <c r="B69" s="45">
        <f>IFERROR(__xludf.DUMMYFUNCTION("""COMPUTED_VALUE"""),67.0)</f>
        <v/>
      </c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5" t="n"/>
      <c r="B70" s="45">
        <f>IFERROR(__xludf.DUMMYFUNCTION("""COMPUTED_VALUE"""),68.0)</f>
        <v/>
      </c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5" t="n"/>
      <c r="B71" s="45">
        <f>IFERROR(__xludf.DUMMYFUNCTION("""COMPUTED_VALUE"""),69.0)</f>
        <v/>
      </c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5" t="n"/>
      <c r="B72" s="45">
        <f>IFERROR(__xludf.DUMMYFUNCTION("""COMPUTED_VALUE"""),70.0)</f>
        <v/>
      </c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5" t="n"/>
      <c r="B73" s="45">
        <f>IFERROR(__xludf.DUMMYFUNCTION("""COMPUTED_VALUE"""),71.0)</f>
        <v/>
      </c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5" t="n"/>
      <c r="B74" s="45">
        <f>IFERROR(__xludf.DUMMYFUNCTION("""COMPUTED_VALUE"""),72.0)</f>
        <v/>
      </c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5" t="n"/>
      <c r="B75" s="45">
        <f>IFERROR(__xludf.DUMMYFUNCTION("""COMPUTED_VALUE"""),73.0)</f>
        <v/>
      </c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5" t="n"/>
      <c r="B76" s="45">
        <f>IFERROR(__xludf.DUMMYFUNCTION("""COMPUTED_VALUE"""),74.0)</f>
        <v/>
      </c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5" t="n"/>
      <c r="B77" s="45">
        <f>IFERROR(__xludf.DUMMYFUNCTION("""COMPUTED_VALUE"""),75.0)</f>
        <v/>
      </c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5" t="n"/>
      <c r="B78" s="45">
        <f>IFERROR(__xludf.DUMMYFUNCTION("""COMPUTED_VALUE"""),76.0)</f>
        <v/>
      </c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5" t="n"/>
      <c r="B79" s="45">
        <f>IFERROR(__xludf.DUMMYFUNCTION("""COMPUTED_VALUE"""),77.0)</f>
        <v/>
      </c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5" t="n"/>
      <c r="B80" s="45">
        <f>IFERROR(__xludf.DUMMYFUNCTION("""COMPUTED_VALUE"""),78.0)</f>
        <v/>
      </c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5" t="n"/>
      <c r="B81" s="45">
        <f>IFERROR(__xludf.DUMMYFUNCTION("""COMPUTED_VALUE"""),79.0)</f>
        <v/>
      </c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5" t="n"/>
      <c r="B82" s="45">
        <f>IFERROR(__xludf.DUMMYFUNCTION("""COMPUTED_VALUE"""),80.0)</f>
        <v/>
      </c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5" t="n"/>
      <c r="B83" s="45">
        <f>IFERROR(__xludf.DUMMYFUNCTION("""COMPUTED_VALUE"""),81.0)</f>
        <v/>
      </c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5" t="n"/>
      <c r="B84" s="45">
        <f>IFERROR(__xludf.DUMMYFUNCTION("""COMPUTED_VALUE"""),82.0)</f>
        <v/>
      </c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5" t="n"/>
      <c r="B85" s="45">
        <f>IFERROR(__xludf.DUMMYFUNCTION("""COMPUTED_VALUE"""),83.0)</f>
        <v/>
      </c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5" t="n"/>
      <c r="B86" s="45">
        <f>IFERROR(__xludf.DUMMYFUNCTION("""COMPUTED_VALUE"""),84.0)</f>
        <v/>
      </c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5" t="n"/>
      <c r="B87" s="45">
        <f>IFERROR(__xludf.DUMMYFUNCTION("""COMPUTED_VALUE"""),85.0)</f>
        <v/>
      </c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5" t="n"/>
      <c r="B88" s="45">
        <f>IFERROR(__xludf.DUMMYFUNCTION("""COMPUTED_VALUE"""),86.0)</f>
        <v/>
      </c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5" t="n"/>
      <c r="B89" s="45">
        <f>IFERROR(__xludf.DUMMYFUNCTION("""COMPUTED_VALUE"""),87.0)</f>
        <v/>
      </c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5" t="n"/>
      <c r="B90" s="45">
        <f>IFERROR(__xludf.DUMMYFUNCTION("""COMPUTED_VALUE"""),88.0)</f>
        <v/>
      </c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5" t="n"/>
      <c r="B91" s="45">
        <f>IFERROR(__xludf.DUMMYFUNCTION("""COMPUTED_VALUE"""),89.0)</f>
        <v/>
      </c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5" t="n"/>
      <c r="B92" s="45">
        <f>IFERROR(__xludf.DUMMYFUNCTION("""COMPUTED_VALUE"""),90.0)</f>
        <v/>
      </c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5" t="n"/>
      <c r="B93" s="45">
        <f>IFERROR(__xludf.DUMMYFUNCTION("""COMPUTED_VALUE"""),91.0)</f>
        <v/>
      </c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5" t="n"/>
      <c r="B94" s="45">
        <f>IFERROR(__xludf.DUMMYFUNCTION("""COMPUTED_VALUE"""),92.0)</f>
        <v/>
      </c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5" t="n"/>
      <c r="B95" s="45">
        <f>IFERROR(__xludf.DUMMYFUNCTION("""COMPUTED_VALUE"""),93.0)</f>
        <v/>
      </c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5" t="n"/>
      <c r="B96" s="45">
        <f>IFERROR(__xludf.DUMMYFUNCTION("""COMPUTED_VALUE"""),94.0)</f>
        <v/>
      </c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5" t="n"/>
      <c r="B97" s="45">
        <f>IFERROR(__xludf.DUMMYFUNCTION("""COMPUTED_VALUE"""),95.0)</f>
        <v/>
      </c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5" t="n"/>
      <c r="B98" s="45">
        <f>IFERROR(__xludf.DUMMYFUNCTION("""COMPUTED_VALUE"""),96.0)</f>
        <v/>
      </c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5" t="n"/>
      <c r="B99" s="45">
        <f>IFERROR(__xludf.DUMMYFUNCTION("""COMPUTED_VALUE"""),97.0)</f>
        <v/>
      </c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5" t="n"/>
      <c r="B100" s="45">
        <f>IFERROR(__xludf.DUMMYFUNCTION("""COMPUTED_VALUE"""),98.0)</f>
        <v/>
      </c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5" t="n"/>
      <c r="B101" s="45">
        <f>IFERROR(__xludf.DUMMYFUNCTION("""COMPUTED_VALUE"""),99.0)</f>
        <v/>
      </c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5" t="n"/>
      <c r="B102" s="45">
        <f>IFERROR(__xludf.DUMMYFUNCTION("""COMPUTED_VALUE"""),100.0)</f>
        <v/>
      </c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5" t="n"/>
      <c r="B103" s="45">
        <f>IFERROR(__xludf.DUMMYFUNCTION("""COMPUTED_VALUE"""),101.0)</f>
        <v/>
      </c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5" t="n"/>
      <c r="B104" s="45">
        <f>IFERROR(__xludf.DUMMYFUNCTION("""COMPUTED_VALUE"""),102.0)</f>
        <v/>
      </c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5" t="n"/>
      <c r="B105" s="45">
        <f>IFERROR(__xludf.DUMMYFUNCTION("""COMPUTED_VALUE"""),103.0)</f>
        <v/>
      </c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5" t="n"/>
      <c r="B106" s="45">
        <f>IFERROR(__xludf.DUMMYFUNCTION("""COMPUTED_VALUE"""),104.0)</f>
        <v/>
      </c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5" t="n"/>
      <c r="B107" s="45">
        <f>IFERROR(__xludf.DUMMYFUNCTION("""COMPUTED_VALUE"""),105.0)</f>
        <v/>
      </c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5" t="n"/>
      <c r="B108" s="45">
        <f>IFERROR(__xludf.DUMMYFUNCTION("""COMPUTED_VALUE"""),106.0)</f>
        <v/>
      </c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5" t="n"/>
      <c r="B109" s="45">
        <f>IFERROR(__xludf.DUMMYFUNCTION("""COMPUTED_VALUE"""),107.0)</f>
        <v/>
      </c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5" t="n"/>
      <c r="B110" s="45">
        <f>IFERROR(__xludf.DUMMYFUNCTION("""COMPUTED_VALUE"""),108.0)</f>
        <v/>
      </c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5" t="n"/>
      <c r="B111" s="45">
        <f>IFERROR(__xludf.DUMMYFUNCTION("""COMPUTED_VALUE"""),109.0)</f>
        <v/>
      </c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>
      <c r="A997" s="45" t="n"/>
      <c r="B997" s="45" t="n"/>
      <c r="C997" s="45" t="n"/>
      <c r="D997" s="45" t="n"/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>
      <c r="A999" s="45" t="n"/>
      <c r="B999" s="45" t="n"/>
      <c r="C999" s="45" t="n"/>
      <c r="D999" s="45" t="n"/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  <row r="1000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Abteilung</t>
        </is>
      </c>
      <c r="C1" t="inlineStr">
        <is>
          <t>Bereich</t>
        </is>
      </c>
      <c r="D1" t="inlineStr">
        <is>
          <t>Zugaenge_kg</t>
        </is>
      </c>
      <c r="E1" t="inlineStr">
        <is>
          <t>Bewegungen_kg</t>
        </is>
      </c>
      <c r="F1" t="inlineStr">
        <is>
          <t>Differenz_kg</t>
        </is>
      </c>
      <c r="G1" t="inlineStr">
        <is>
          <t>Netto_kg</t>
        </is>
      </c>
    </row>
    <row r="2">
      <c r="A2" t="inlineStr">
        <is>
          <t>102614</t>
        </is>
      </c>
      <c r="B2" t="inlineStr">
        <is>
          <t>Andere</t>
        </is>
      </c>
      <c r="C2" t="inlineStr">
        <is>
          <t>A-02-59-1</t>
        </is>
      </c>
      <c r="D2" t="n">
        <v>9600</v>
      </c>
      <c r="E2" t="n">
        <v>0</v>
      </c>
      <c r="F2" t="n">
        <v>9600</v>
      </c>
      <c r="G2" t="n">
        <v>9600</v>
      </c>
    </row>
    <row r="3">
      <c r="A3" t="inlineStr">
        <is>
          <t>102614</t>
        </is>
      </c>
      <c r="B3" t="inlineStr">
        <is>
          <t>Andere</t>
        </is>
      </c>
      <c r="C3" t="inlineStr">
        <is>
          <t>FALEHMANNM</t>
        </is>
      </c>
      <c r="D3" t="n">
        <v>9600</v>
      </c>
      <c r="E3" t="n">
        <v>0</v>
      </c>
      <c r="F3" t="n">
        <v>9600</v>
      </c>
      <c r="G3" t="n">
        <v>9600</v>
      </c>
    </row>
    <row r="4">
      <c r="A4" t="inlineStr">
        <is>
          <t>172026</t>
        </is>
      </c>
      <c r="B4" t="inlineStr">
        <is>
          <t>Andere</t>
        </is>
      </c>
      <c r="C4" t="inlineStr">
        <is>
          <t>UNBEKANNT</t>
        </is>
      </c>
      <c r="D4" t="n">
        <v>276</v>
      </c>
      <c r="E4" t="n">
        <v>0</v>
      </c>
      <c r="F4" t="n">
        <v>276</v>
      </c>
      <c r="G4" t="n">
        <v>276</v>
      </c>
    </row>
    <row r="5">
      <c r="A5" t="inlineStr">
        <is>
          <t>182026</t>
        </is>
      </c>
      <c r="B5" t="inlineStr">
        <is>
          <t>Andere</t>
        </is>
      </c>
      <c r="C5" t="inlineStr">
        <is>
          <t>UNBEKANNT</t>
        </is>
      </c>
      <c r="D5" t="n">
        <v>192</v>
      </c>
      <c r="E5" t="n">
        <v>0</v>
      </c>
      <c r="F5" t="n">
        <v>192</v>
      </c>
      <c r="G5" t="n">
        <v>192</v>
      </c>
    </row>
    <row r="6">
      <c r="A6" t="inlineStr">
        <is>
          <t>192026</t>
        </is>
      </c>
      <c r="B6" t="inlineStr">
        <is>
          <t>Andere</t>
        </is>
      </c>
      <c r="C6" t="inlineStr">
        <is>
          <t>UNBEKANNT</t>
        </is>
      </c>
      <c r="D6" t="n">
        <v>2582</v>
      </c>
      <c r="E6" t="n">
        <v>0</v>
      </c>
      <c r="F6" t="n">
        <v>2582</v>
      </c>
      <c r="G6" t="n">
        <v>2582</v>
      </c>
    </row>
    <row r="7">
      <c r="A7" t="inlineStr">
        <is>
          <t>201617</t>
        </is>
      </c>
      <c r="B7" t="inlineStr">
        <is>
          <t>Andere</t>
        </is>
      </c>
      <c r="C7" t="inlineStr">
        <is>
          <t>UNBEKANNT</t>
        </is>
      </c>
      <c r="D7" t="n">
        <v>879.6</v>
      </c>
      <c r="E7" t="n">
        <v>0</v>
      </c>
      <c r="F7" t="n">
        <v>879.6</v>
      </c>
      <c r="G7" t="n">
        <v>879.6</v>
      </c>
    </row>
    <row r="8">
      <c r="A8" t="inlineStr">
        <is>
          <t>201617</t>
        </is>
      </c>
      <c r="B8" t="inlineStr">
        <is>
          <t>Andere</t>
        </is>
      </c>
      <c r="C8" t="inlineStr">
        <is>
          <t>ADJ LOC</t>
        </is>
      </c>
      <c r="D8" t="n">
        <v>639.6</v>
      </c>
      <c r="E8" t="n">
        <v>0</v>
      </c>
      <c r="F8" t="n">
        <v>639.6</v>
      </c>
      <c r="G8" t="n">
        <v>639.6</v>
      </c>
    </row>
    <row r="9">
      <c r="A9" t="inlineStr">
        <is>
          <t>201617</t>
        </is>
      </c>
      <c r="B9" t="inlineStr">
        <is>
          <t>Andere</t>
        </is>
      </c>
      <c r="C9" t="inlineStr">
        <is>
          <t>FAENDERST</t>
        </is>
      </c>
      <c r="D9" t="n">
        <v>639.6</v>
      </c>
      <c r="E9" t="n">
        <v>0</v>
      </c>
      <c r="F9" t="n">
        <v>639.6</v>
      </c>
      <c r="G9" t="n">
        <v>639.6</v>
      </c>
    </row>
    <row r="10">
      <c r="A10" t="inlineStr">
        <is>
          <t>201617</t>
        </is>
      </c>
      <c r="B10" t="inlineStr">
        <is>
          <t>Andere</t>
        </is>
      </c>
      <c r="C10" t="inlineStr">
        <is>
          <t>BULKLIQUID</t>
        </is>
      </c>
      <c r="D10" t="n">
        <v>565.8200000000001</v>
      </c>
      <c r="E10" t="n">
        <v>0</v>
      </c>
      <c r="F10" t="n">
        <v>565.8200000000001</v>
      </c>
      <c r="G10" t="n">
        <v>565.8200000000001</v>
      </c>
    </row>
    <row r="11">
      <c r="A11" t="inlineStr">
        <is>
          <t>201617</t>
        </is>
      </c>
      <c r="B11" t="inlineStr">
        <is>
          <t>Andere</t>
        </is>
      </c>
      <c r="C11" t="inlineStr">
        <is>
          <t>D-06-09-1</t>
        </is>
      </c>
      <c r="D11" t="n">
        <v>390</v>
      </c>
      <c r="E11" t="n">
        <v>90</v>
      </c>
      <c r="F11" t="n">
        <v>300</v>
      </c>
      <c r="G11" t="n">
        <v>300</v>
      </c>
    </row>
    <row r="12">
      <c r="A12" t="inlineStr">
        <is>
          <t>201617</t>
        </is>
      </c>
      <c r="B12" t="inlineStr">
        <is>
          <t>Andere</t>
        </is>
      </c>
      <c r="C12" t="inlineStr">
        <is>
          <t>FASADEKM</t>
        </is>
      </c>
      <c r="D12" t="n">
        <v>270</v>
      </c>
      <c r="E12" t="n">
        <v>0</v>
      </c>
      <c r="F12" t="n">
        <v>270</v>
      </c>
      <c r="G12" t="n">
        <v>270</v>
      </c>
    </row>
    <row r="13">
      <c r="A13" t="inlineStr">
        <is>
          <t>201617</t>
        </is>
      </c>
      <c r="B13" t="inlineStr">
        <is>
          <t>Andere</t>
        </is>
      </c>
      <c r="C13" t="inlineStr">
        <is>
          <t>A-01-04-1</t>
        </is>
      </c>
      <c r="D13" t="n">
        <v>240</v>
      </c>
      <c r="E13" t="n">
        <v>0</v>
      </c>
      <c r="F13" t="n">
        <v>240</v>
      </c>
      <c r="G13" t="n">
        <v>240</v>
      </c>
    </row>
    <row r="14">
      <c r="A14" t="inlineStr">
        <is>
          <t>201617</t>
        </is>
      </c>
      <c r="B14" t="inlineStr">
        <is>
          <t>Andere</t>
        </is>
      </c>
      <c r="C14" t="inlineStr">
        <is>
          <t>FAGEVERSF</t>
        </is>
      </c>
      <c r="D14" t="n">
        <v>240</v>
      </c>
      <c r="E14" t="n">
        <v>0</v>
      </c>
      <c r="F14" t="n">
        <v>240</v>
      </c>
      <c r="G14" t="n">
        <v>240</v>
      </c>
    </row>
    <row r="15">
      <c r="A15" t="inlineStr">
        <is>
          <t>201617</t>
        </is>
      </c>
      <c r="B15" t="inlineStr">
        <is>
          <t>Andere</t>
        </is>
      </c>
      <c r="C15" t="inlineStr">
        <is>
          <t>FALEHMANNM</t>
        </is>
      </c>
      <c r="D15" t="n">
        <v>240</v>
      </c>
      <c r="E15" t="n">
        <v>0</v>
      </c>
      <c r="F15" t="n">
        <v>240</v>
      </c>
      <c r="G15" t="n">
        <v>240</v>
      </c>
    </row>
    <row r="16">
      <c r="A16" t="inlineStr">
        <is>
          <t>201617</t>
        </is>
      </c>
      <c r="B16" t="inlineStr">
        <is>
          <t>Andere</t>
        </is>
      </c>
      <c r="C16" t="inlineStr">
        <is>
          <t>PROD RTN</t>
        </is>
      </c>
      <c r="D16" t="n">
        <v>240</v>
      </c>
      <c r="E16" t="n">
        <v>0</v>
      </c>
      <c r="F16" t="n">
        <v>240</v>
      </c>
      <c r="G16" t="n">
        <v>240</v>
      </c>
    </row>
    <row r="17">
      <c r="A17" t="inlineStr">
        <is>
          <t>201617</t>
        </is>
      </c>
      <c r="B17" t="inlineStr">
        <is>
          <t>Andere</t>
        </is>
      </c>
      <c r="C17" t="inlineStr">
        <is>
          <t>D-06-09-4</t>
        </is>
      </c>
      <c r="D17" t="n">
        <v>135</v>
      </c>
      <c r="E17" t="n">
        <v>0</v>
      </c>
      <c r="F17" t="n">
        <v>135</v>
      </c>
      <c r="G17" t="n">
        <v>135</v>
      </c>
    </row>
    <row r="18">
      <c r="A18" t="inlineStr">
        <is>
          <t>201617</t>
        </is>
      </c>
      <c r="B18" t="inlineStr">
        <is>
          <t>Andere</t>
        </is>
      </c>
      <c r="C18" t="inlineStr">
        <is>
          <t>D-06-05-1</t>
        </is>
      </c>
      <c r="D18" t="n">
        <v>67.2</v>
      </c>
      <c r="E18" t="n">
        <v>0</v>
      </c>
      <c r="F18" t="n">
        <v>67.2</v>
      </c>
      <c r="G18" t="n">
        <v>67.2</v>
      </c>
    </row>
    <row r="19">
      <c r="A19" t="inlineStr">
        <is>
          <t>201617</t>
        </is>
      </c>
      <c r="B19" t="inlineStr">
        <is>
          <t>Andere</t>
        </is>
      </c>
      <c r="C19" t="inlineStr">
        <is>
          <t>D-06-08-1</t>
        </is>
      </c>
      <c r="D19" t="n">
        <v>11.2</v>
      </c>
      <c r="E19" t="n">
        <v>11.2</v>
      </c>
      <c r="F19" t="n">
        <v>0</v>
      </c>
      <c r="G19" t="n">
        <v>0</v>
      </c>
    </row>
    <row r="20">
      <c r="A20" t="inlineStr">
        <is>
          <t>202026</t>
        </is>
      </c>
      <c r="B20" t="inlineStr">
        <is>
          <t>Andere</t>
        </is>
      </c>
      <c r="C20" t="inlineStr">
        <is>
          <t>UNBEKANNT</t>
        </is>
      </c>
      <c r="D20" t="n">
        <v>612</v>
      </c>
      <c r="E20" t="n">
        <v>0</v>
      </c>
      <c r="F20" t="n">
        <v>612</v>
      </c>
      <c r="G20" t="n">
        <v>612</v>
      </c>
    </row>
    <row r="21">
      <c r="A21" t="inlineStr">
        <is>
          <t>202603</t>
        </is>
      </c>
      <c r="B21" t="inlineStr">
        <is>
          <t>Andere</t>
        </is>
      </c>
      <c r="C21" t="inlineStr">
        <is>
          <t>A-01-41-1</t>
        </is>
      </c>
      <c r="D21" t="n">
        <v>0</v>
      </c>
      <c r="E21" t="n">
        <v>150</v>
      </c>
      <c r="F21" t="n">
        <v>-150</v>
      </c>
      <c r="G21" t="n">
        <v>-150</v>
      </c>
    </row>
    <row r="22">
      <c r="A22" t="inlineStr">
        <is>
          <t>202603</t>
        </is>
      </c>
      <c r="B22" t="inlineStr">
        <is>
          <t>Andere</t>
        </is>
      </c>
      <c r="C22" t="inlineStr">
        <is>
          <t>A-01-42-1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202603</t>
        </is>
      </c>
      <c r="B23" t="inlineStr">
        <is>
          <t>Andere</t>
        </is>
      </c>
      <c r="C23" t="inlineStr">
        <is>
          <t>A-01-44-1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202604</t>
        </is>
      </c>
      <c r="B24" t="inlineStr">
        <is>
          <t>Andere</t>
        </is>
      </c>
      <c r="C24" t="inlineStr">
        <is>
          <t>FAWIEGHOLDD</t>
        </is>
      </c>
      <c r="D24" t="n">
        <v>18900</v>
      </c>
      <c r="E24" t="n">
        <v>0</v>
      </c>
      <c r="F24" t="n">
        <v>18900</v>
      </c>
      <c r="G24" t="n">
        <v>18900</v>
      </c>
    </row>
    <row r="25">
      <c r="A25" t="inlineStr">
        <is>
          <t>202604</t>
        </is>
      </c>
      <c r="B25" t="inlineStr">
        <is>
          <t>Andere</t>
        </is>
      </c>
      <c r="C25" t="inlineStr">
        <is>
          <t>FAGEVERSF</t>
        </is>
      </c>
      <c r="D25" t="n">
        <v>13360</v>
      </c>
      <c r="E25" t="n">
        <v>0</v>
      </c>
      <c r="F25" t="n">
        <v>13360</v>
      </c>
      <c r="G25" t="n">
        <v>13360</v>
      </c>
    </row>
    <row r="26">
      <c r="A26" t="inlineStr">
        <is>
          <t>202604</t>
        </is>
      </c>
      <c r="B26" t="inlineStr">
        <is>
          <t>Andere</t>
        </is>
      </c>
      <c r="C26" t="inlineStr">
        <is>
          <t>A-01-41-4</t>
        </is>
      </c>
      <c r="D26" t="n">
        <v>0</v>
      </c>
      <c r="E26" t="n">
        <v>6300</v>
      </c>
      <c r="F26" t="n">
        <v>-6300</v>
      </c>
      <c r="G26" t="n">
        <v>-6300</v>
      </c>
    </row>
    <row r="27">
      <c r="A27" t="inlineStr">
        <is>
          <t>202604</t>
        </is>
      </c>
      <c r="B27" t="inlineStr">
        <is>
          <t>Andere</t>
        </is>
      </c>
      <c r="C27" t="inlineStr">
        <is>
          <t>A-01-43-1</t>
        </is>
      </c>
      <c r="D27" t="n">
        <v>0</v>
      </c>
      <c r="E27" t="n">
        <v>6300</v>
      </c>
      <c r="F27" t="n">
        <v>-6300</v>
      </c>
      <c r="G27" t="n">
        <v>-6300</v>
      </c>
    </row>
    <row r="28">
      <c r="A28" t="inlineStr">
        <is>
          <t>202604</t>
        </is>
      </c>
      <c r="B28" t="inlineStr">
        <is>
          <t>Andere</t>
        </is>
      </c>
      <c r="C28" t="inlineStr">
        <is>
          <t>A-01-43-2</t>
        </is>
      </c>
      <c r="D28" t="n">
        <v>0</v>
      </c>
      <c r="E28" t="n">
        <v>6300</v>
      </c>
      <c r="F28" t="n">
        <v>-6300</v>
      </c>
      <c r="G28" t="n">
        <v>-6300</v>
      </c>
    </row>
    <row r="29">
      <c r="A29" t="inlineStr">
        <is>
          <t>202604</t>
        </is>
      </c>
      <c r="B29" t="inlineStr">
        <is>
          <t>Andere</t>
        </is>
      </c>
      <c r="C29" t="inlineStr">
        <is>
          <t>A-01-44-2</t>
        </is>
      </c>
      <c r="D29" t="n">
        <v>0</v>
      </c>
      <c r="E29" t="n">
        <v>6300</v>
      </c>
      <c r="F29" t="n">
        <v>-6300</v>
      </c>
      <c r="G29" t="n">
        <v>-6300</v>
      </c>
    </row>
    <row r="30">
      <c r="A30" t="inlineStr">
        <is>
          <t>202604</t>
        </is>
      </c>
      <c r="B30" t="inlineStr">
        <is>
          <t>Andere</t>
        </is>
      </c>
      <c r="C30" t="inlineStr">
        <is>
          <t>A-01-45-1</t>
        </is>
      </c>
      <c r="D30" t="n">
        <v>0</v>
      </c>
      <c r="E30" t="n">
        <v>6300</v>
      </c>
      <c r="F30" t="n">
        <v>-6300</v>
      </c>
      <c r="G30" t="n">
        <v>-6300</v>
      </c>
    </row>
    <row r="31">
      <c r="A31" t="inlineStr">
        <is>
          <t>202604</t>
        </is>
      </c>
      <c r="B31" t="inlineStr">
        <is>
          <t>Andere</t>
        </is>
      </c>
      <c r="C31" t="inlineStr">
        <is>
          <t>A-01-45-2</t>
        </is>
      </c>
      <c r="D31" t="n">
        <v>0</v>
      </c>
      <c r="E31" t="n">
        <v>6300</v>
      </c>
      <c r="F31" t="n">
        <v>-6300</v>
      </c>
      <c r="G31" t="n">
        <v>-6300</v>
      </c>
    </row>
    <row r="32">
      <c r="A32" t="inlineStr">
        <is>
          <t>202604</t>
        </is>
      </c>
      <c r="B32" t="inlineStr">
        <is>
          <t>Andere</t>
        </is>
      </c>
      <c r="C32" t="inlineStr">
        <is>
          <t>A-01-46-1</t>
        </is>
      </c>
      <c r="D32" t="n">
        <v>0</v>
      </c>
      <c r="E32" t="n">
        <v>6300</v>
      </c>
      <c r="F32" t="n">
        <v>-6300</v>
      </c>
      <c r="G32" t="n">
        <v>-6300</v>
      </c>
    </row>
    <row r="33">
      <c r="A33" t="inlineStr">
        <is>
          <t>202604</t>
        </is>
      </c>
      <c r="B33" t="inlineStr">
        <is>
          <t>Andere</t>
        </is>
      </c>
      <c r="C33" t="inlineStr">
        <is>
          <t>A-01-47-1</t>
        </is>
      </c>
      <c r="D33" t="n">
        <v>6300</v>
      </c>
      <c r="E33" t="n">
        <v>0</v>
      </c>
      <c r="F33" t="n">
        <v>6300</v>
      </c>
      <c r="G33" t="n">
        <v>6300</v>
      </c>
    </row>
    <row r="34">
      <c r="A34" t="inlineStr">
        <is>
          <t>202604</t>
        </is>
      </c>
      <c r="B34" t="inlineStr">
        <is>
          <t>Andere</t>
        </is>
      </c>
      <c r="C34" t="inlineStr">
        <is>
          <t>A-01-48-1</t>
        </is>
      </c>
      <c r="D34" t="n">
        <v>6300</v>
      </c>
      <c r="E34" t="n">
        <v>0</v>
      </c>
      <c r="F34" t="n">
        <v>6300</v>
      </c>
      <c r="G34" t="n">
        <v>6300</v>
      </c>
    </row>
    <row r="35">
      <c r="A35" t="inlineStr">
        <is>
          <t>202604</t>
        </is>
      </c>
      <c r="B35" t="inlineStr">
        <is>
          <t>Andere</t>
        </is>
      </c>
      <c r="C35" t="inlineStr">
        <is>
          <t>A-01-49-1</t>
        </is>
      </c>
      <c r="D35" t="n">
        <v>6300</v>
      </c>
      <c r="E35" t="n">
        <v>0</v>
      </c>
      <c r="F35" t="n">
        <v>6300</v>
      </c>
      <c r="G35" t="n">
        <v>6300</v>
      </c>
    </row>
    <row r="36">
      <c r="A36" t="inlineStr">
        <is>
          <t>202604</t>
        </is>
      </c>
      <c r="B36" t="inlineStr">
        <is>
          <t>Andere</t>
        </is>
      </c>
      <c r="C36" t="inlineStr">
        <is>
          <t>A-01-62-1</t>
        </is>
      </c>
      <c r="D36" t="n">
        <v>6300</v>
      </c>
      <c r="E36" t="n">
        <v>0</v>
      </c>
      <c r="F36" t="n">
        <v>6300</v>
      </c>
      <c r="G36" t="n">
        <v>6300</v>
      </c>
    </row>
    <row r="37">
      <c r="A37" t="inlineStr">
        <is>
          <t>202604</t>
        </is>
      </c>
      <c r="B37" t="inlineStr">
        <is>
          <t>Andere</t>
        </is>
      </c>
      <c r="C37" t="inlineStr">
        <is>
          <t>A-01-63-1</t>
        </is>
      </c>
      <c r="D37" t="n">
        <v>6300</v>
      </c>
      <c r="E37" t="n">
        <v>0</v>
      </c>
      <c r="F37" t="n">
        <v>6300</v>
      </c>
      <c r="G37" t="n">
        <v>6300</v>
      </c>
    </row>
    <row r="38">
      <c r="A38" t="inlineStr">
        <is>
          <t>202604</t>
        </is>
      </c>
      <c r="B38" t="inlineStr">
        <is>
          <t>Andere</t>
        </is>
      </c>
      <c r="C38" t="inlineStr">
        <is>
          <t>A-01-32-2</t>
        </is>
      </c>
      <c r="D38" t="n">
        <v>400</v>
      </c>
      <c r="E38" t="n">
        <v>0</v>
      </c>
      <c r="F38" t="n">
        <v>400</v>
      </c>
      <c r="G38" t="n">
        <v>400</v>
      </c>
    </row>
    <row r="39">
      <c r="A39" t="inlineStr">
        <is>
          <t>202604</t>
        </is>
      </c>
      <c r="B39" t="inlineStr">
        <is>
          <t>Andere</t>
        </is>
      </c>
      <c r="C39" t="inlineStr">
        <is>
          <t>A-01-28-2</t>
        </is>
      </c>
      <c r="D39" t="n">
        <v>360</v>
      </c>
      <c r="E39" t="n">
        <v>0</v>
      </c>
      <c r="F39" t="n">
        <v>360</v>
      </c>
      <c r="G39" t="n">
        <v>360</v>
      </c>
    </row>
    <row r="40">
      <c r="A40" t="inlineStr">
        <is>
          <t>202604</t>
        </is>
      </c>
      <c r="B40" t="inlineStr">
        <is>
          <t>Andere</t>
        </is>
      </c>
      <c r="C40" t="inlineStr">
        <is>
          <t>FALEHMANNM</t>
        </is>
      </c>
      <c r="D40" t="n">
        <v>240</v>
      </c>
      <c r="E40" t="n">
        <v>0</v>
      </c>
      <c r="F40" t="n">
        <v>240</v>
      </c>
      <c r="G40" t="n">
        <v>240</v>
      </c>
    </row>
    <row r="41">
      <c r="A41" t="inlineStr">
        <is>
          <t>202604</t>
        </is>
      </c>
      <c r="B41" t="inlineStr">
        <is>
          <t>Andere</t>
        </is>
      </c>
      <c r="C41" t="inlineStr">
        <is>
          <t>D-06-50-1</t>
        </is>
      </c>
      <c r="D41" t="n">
        <v>150</v>
      </c>
      <c r="E41" t="n">
        <v>0</v>
      </c>
      <c r="F41" t="n">
        <v>150</v>
      </c>
      <c r="G41" t="n">
        <v>150</v>
      </c>
    </row>
    <row r="42">
      <c r="A42" t="inlineStr">
        <is>
          <t>202604</t>
        </is>
      </c>
      <c r="B42" t="inlineStr">
        <is>
          <t>Andere</t>
        </is>
      </c>
      <c r="C42" t="inlineStr">
        <is>
          <t>A-01-04-1</t>
        </is>
      </c>
      <c r="D42" t="n">
        <v>120</v>
      </c>
      <c r="E42" t="n">
        <v>0</v>
      </c>
      <c r="F42" t="n">
        <v>120</v>
      </c>
      <c r="G42" t="n">
        <v>120</v>
      </c>
    </row>
    <row r="43">
      <c r="A43" t="inlineStr">
        <is>
          <t>202604</t>
        </is>
      </c>
      <c r="B43" t="inlineStr">
        <is>
          <t>Andere</t>
        </is>
      </c>
      <c r="C43" t="inlineStr">
        <is>
          <t>A-01-14-3</t>
        </is>
      </c>
      <c r="D43" t="n">
        <v>120</v>
      </c>
      <c r="E43" t="n">
        <v>0</v>
      </c>
      <c r="F43" t="n">
        <v>120</v>
      </c>
      <c r="G43" t="n">
        <v>120</v>
      </c>
    </row>
    <row r="44">
      <c r="A44" t="inlineStr">
        <is>
          <t>202604</t>
        </is>
      </c>
      <c r="B44" t="inlineStr">
        <is>
          <t>Andere</t>
        </is>
      </c>
      <c r="C44" t="inlineStr">
        <is>
          <t>FZ-01-20-1</t>
        </is>
      </c>
      <c r="D44" t="n">
        <v>126</v>
      </c>
      <c r="E44" t="n">
        <v>28</v>
      </c>
      <c r="F44" t="n">
        <v>98</v>
      </c>
      <c r="G44" t="n">
        <v>98</v>
      </c>
    </row>
    <row r="45">
      <c r="A45" t="inlineStr">
        <is>
          <t>202604</t>
        </is>
      </c>
      <c r="B45" t="inlineStr">
        <is>
          <t>Andere</t>
        </is>
      </c>
      <c r="C45" t="inlineStr">
        <is>
          <t>D-06-06-1</t>
        </is>
      </c>
      <c r="D45" t="n">
        <v>0</v>
      </c>
      <c r="E45" t="n">
        <v>25</v>
      </c>
      <c r="F45" t="n">
        <v>-25</v>
      </c>
      <c r="G45" t="n">
        <v>-25</v>
      </c>
    </row>
    <row r="46">
      <c r="A46" t="inlineStr">
        <is>
          <t>202604</t>
        </is>
      </c>
      <c r="B46" t="inlineStr">
        <is>
          <t>Andere</t>
        </is>
      </c>
      <c r="C46" t="inlineStr">
        <is>
          <t>D-06-48-1</t>
        </is>
      </c>
      <c r="D46" t="n">
        <v>0</v>
      </c>
      <c r="E46" t="n">
        <v>25</v>
      </c>
      <c r="F46" t="n">
        <v>-25</v>
      </c>
      <c r="G46" t="n">
        <v>-25</v>
      </c>
    </row>
    <row r="47">
      <c r="A47" t="inlineStr">
        <is>
          <t>202604</t>
        </is>
      </c>
      <c r="B47" t="inlineStr">
        <is>
          <t>Andere</t>
        </is>
      </c>
      <c r="C47" t="inlineStr">
        <is>
          <t>D-06-04-1</t>
        </is>
      </c>
      <c r="D47" t="n">
        <v>115</v>
      </c>
      <c r="E47" t="n">
        <v>103</v>
      </c>
      <c r="F47" t="n">
        <v>12</v>
      </c>
      <c r="G47" t="n">
        <v>12</v>
      </c>
    </row>
    <row r="48">
      <c r="A48" t="inlineStr">
        <is>
          <t>202604</t>
        </is>
      </c>
      <c r="B48" t="inlineStr">
        <is>
          <t>Andere</t>
        </is>
      </c>
      <c r="C48" t="inlineStr">
        <is>
          <t>A-01-08-3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202604</t>
        </is>
      </c>
      <c r="B49" t="inlineStr">
        <is>
          <t>Andere</t>
        </is>
      </c>
      <c r="C49" t="inlineStr">
        <is>
          <t>A-01-09-2</t>
        </is>
      </c>
      <c r="D49" t="n">
        <v>180</v>
      </c>
      <c r="E49" t="n">
        <v>180</v>
      </c>
      <c r="F49" t="n">
        <v>0</v>
      </c>
      <c r="G49" t="n">
        <v>0</v>
      </c>
    </row>
    <row r="50">
      <c r="A50" t="inlineStr">
        <is>
          <t>202604</t>
        </is>
      </c>
      <c r="B50" t="inlineStr">
        <is>
          <t>Andere</t>
        </is>
      </c>
      <c r="C50" t="inlineStr">
        <is>
          <t>A-01-11-2</t>
        </is>
      </c>
      <c r="D50" t="n">
        <v>180</v>
      </c>
      <c r="E50" t="n">
        <v>180</v>
      </c>
      <c r="F50" t="n">
        <v>0</v>
      </c>
      <c r="G50" t="n">
        <v>0</v>
      </c>
    </row>
    <row r="51">
      <c r="A51" t="inlineStr">
        <is>
          <t>202604</t>
        </is>
      </c>
      <c r="B51" t="inlineStr">
        <is>
          <t>Andere</t>
        </is>
      </c>
      <c r="C51" t="inlineStr">
        <is>
          <t>A-01-12-2</t>
        </is>
      </c>
      <c r="D51" t="n">
        <v>180</v>
      </c>
      <c r="E51" t="n">
        <v>180</v>
      </c>
      <c r="F51" t="n">
        <v>0</v>
      </c>
      <c r="G51" t="n">
        <v>0</v>
      </c>
    </row>
    <row r="52">
      <c r="A52" t="inlineStr">
        <is>
          <t>202604</t>
        </is>
      </c>
      <c r="B52" t="inlineStr">
        <is>
          <t>Andere</t>
        </is>
      </c>
      <c r="C52" t="inlineStr">
        <is>
          <t>A-01-13-2</t>
        </is>
      </c>
      <c r="D52" t="n">
        <v>180</v>
      </c>
      <c r="E52" t="n">
        <v>180</v>
      </c>
      <c r="F52" t="n">
        <v>0</v>
      </c>
      <c r="G52" t="n">
        <v>0</v>
      </c>
    </row>
    <row r="53">
      <c r="A53" t="inlineStr">
        <is>
          <t>202604</t>
        </is>
      </c>
      <c r="B53" t="inlineStr">
        <is>
          <t>Andere</t>
        </is>
      </c>
      <c r="C53" t="inlineStr">
        <is>
          <t>A-01-27-2</t>
        </is>
      </c>
      <c r="D53" t="n">
        <v>180</v>
      </c>
      <c r="E53" t="n">
        <v>180</v>
      </c>
      <c r="F53" t="n">
        <v>0</v>
      </c>
      <c r="G53" t="n">
        <v>0</v>
      </c>
    </row>
    <row r="54">
      <c r="A54" t="inlineStr">
        <is>
          <t>202604</t>
        </is>
      </c>
      <c r="B54" t="inlineStr">
        <is>
          <t>Andere</t>
        </is>
      </c>
      <c r="C54" t="inlineStr">
        <is>
          <t>A-01-29-2</t>
        </is>
      </c>
      <c r="D54" t="n">
        <v>400</v>
      </c>
      <c r="E54" t="n">
        <v>400</v>
      </c>
      <c r="F54" t="n">
        <v>0</v>
      </c>
      <c r="G54" t="n">
        <v>0</v>
      </c>
    </row>
    <row r="55">
      <c r="A55" t="inlineStr">
        <is>
          <t>202604</t>
        </is>
      </c>
      <c r="B55" t="inlineStr">
        <is>
          <t>Andere</t>
        </is>
      </c>
      <c r="C55" t="inlineStr">
        <is>
          <t>A-01-50-1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202604</t>
        </is>
      </c>
      <c r="B56" t="inlineStr">
        <is>
          <t>Andere</t>
        </is>
      </c>
      <c r="C56" t="inlineStr">
        <is>
          <t>A-01-51-1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202604</t>
        </is>
      </c>
      <c r="B57" t="inlineStr">
        <is>
          <t>Andere</t>
        </is>
      </c>
      <c r="C57" t="inlineStr">
        <is>
          <t>A-01-55-1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202604</t>
        </is>
      </c>
      <c r="B58" t="inlineStr">
        <is>
          <t>Andere</t>
        </is>
      </c>
      <c r="C58" t="inlineStr">
        <is>
          <t>A-01-57-1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202604</t>
        </is>
      </c>
      <c r="B59" t="inlineStr">
        <is>
          <t>Andere</t>
        </is>
      </c>
      <c r="C59" t="inlineStr">
        <is>
          <t>A-01-64-1</t>
        </is>
      </c>
      <c r="D59" t="n">
        <v>6300</v>
      </c>
      <c r="E59" t="n">
        <v>6300</v>
      </c>
      <c r="F59" t="n">
        <v>0</v>
      </c>
      <c r="G59" t="n">
        <v>0</v>
      </c>
    </row>
    <row r="60">
      <c r="A60" t="inlineStr">
        <is>
          <t>202604</t>
        </is>
      </c>
      <c r="B60" t="inlineStr">
        <is>
          <t>Andere</t>
        </is>
      </c>
      <c r="C60" t="inlineStr">
        <is>
          <t>FZ-01-21-1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202604</t>
        </is>
      </c>
      <c r="B61" t="inlineStr">
        <is>
          <t>Andere</t>
        </is>
      </c>
      <c r="C61" t="inlineStr">
        <is>
          <t>UNBEKANNT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202605</t>
        </is>
      </c>
      <c r="B62" t="inlineStr">
        <is>
          <t>Andere</t>
        </is>
      </c>
      <c r="C62" t="inlineStr">
        <is>
          <t>FAHABAYEBM</t>
        </is>
      </c>
      <c r="D62" t="n">
        <v>8892</v>
      </c>
      <c r="E62" t="n">
        <v>0</v>
      </c>
      <c r="F62" t="n">
        <v>8892</v>
      </c>
      <c r="G62" t="n">
        <v>8892</v>
      </c>
    </row>
    <row r="63">
      <c r="A63" t="inlineStr">
        <is>
          <t>202605</t>
        </is>
      </c>
      <c r="B63" t="inlineStr">
        <is>
          <t>Andere</t>
        </is>
      </c>
      <c r="C63" t="inlineStr">
        <is>
          <t>FAZALOGD</t>
        </is>
      </c>
      <c r="D63" t="n">
        <v>8736</v>
      </c>
      <c r="E63" t="n">
        <v>0</v>
      </c>
      <c r="F63" t="n">
        <v>8736</v>
      </c>
      <c r="G63" t="n">
        <v>8736</v>
      </c>
    </row>
    <row r="64">
      <c r="A64" t="inlineStr">
        <is>
          <t>202605</t>
        </is>
      </c>
      <c r="B64" t="inlineStr">
        <is>
          <t>Andere</t>
        </is>
      </c>
      <c r="C64" t="inlineStr">
        <is>
          <t>FAGEVERSF</t>
        </is>
      </c>
      <c r="D64" t="n">
        <v>3164</v>
      </c>
      <c r="E64" t="n">
        <v>0</v>
      </c>
      <c r="F64" t="n">
        <v>3164</v>
      </c>
      <c r="G64" t="n">
        <v>3164</v>
      </c>
    </row>
    <row r="65">
      <c r="A65" t="inlineStr">
        <is>
          <t>202605</t>
        </is>
      </c>
      <c r="B65" t="inlineStr">
        <is>
          <t>Andere</t>
        </is>
      </c>
      <c r="C65" t="inlineStr">
        <is>
          <t>FALEHMANNM</t>
        </is>
      </c>
      <c r="D65" t="n">
        <v>2696</v>
      </c>
      <c r="E65" t="n">
        <v>0</v>
      </c>
      <c r="F65" t="n">
        <v>2696</v>
      </c>
      <c r="G65" t="n">
        <v>2696</v>
      </c>
    </row>
    <row r="66">
      <c r="A66" t="inlineStr">
        <is>
          <t>202605</t>
        </is>
      </c>
      <c r="B66" t="inlineStr">
        <is>
          <t>Andere</t>
        </is>
      </c>
      <c r="C66" t="inlineStr">
        <is>
          <t>NORDICS</t>
        </is>
      </c>
      <c r="D66" t="n">
        <v>2496</v>
      </c>
      <c r="E66" t="n">
        <v>0</v>
      </c>
      <c r="F66" t="n">
        <v>2496</v>
      </c>
      <c r="G66" t="n">
        <v>2496</v>
      </c>
    </row>
    <row r="67">
      <c r="A67" t="inlineStr">
        <is>
          <t>202605</t>
        </is>
      </c>
      <c r="B67" t="inlineStr">
        <is>
          <t>Andere</t>
        </is>
      </c>
      <c r="C67" t="inlineStr">
        <is>
          <t>FZ-01-17-2</t>
        </is>
      </c>
      <c r="D67" t="n">
        <v>1248</v>
      </c>
      <c r="E67" t="n">
        <v>0</v>
      </c>
      <c r="F67" t="n">
        <v>1248</v>
      </c>
      <c r="G67" t="n">
        <v>1248</v>
      </c>
    </row>
    <row r="68">
      <c r="A68" t="inlineStr">
        <is>
          <t>202605</t>
        </is>
      </c>
      <c r="B68" t="inlineStr">
        <is>
          <t>Andere</t>
        </is>
      </c>
      <c r="C68" t="inlineStr">
        <is>
          <t>FZ-01-18-2</t>
        </is>
      </c>
      <c r="D68" t="n">
        <v>1248</v>
      </c>
      <c r="E68" t="n">
        <v>0</v>
      </c>
      <c r="F68" t="n">
        <v>1248</v>
      </c>
      <c r="G68" t="n">
        <v>1248</v>
      </c>
    </row>
    <row r="69">
      <c r="A69" t="inlineStr">
        <is>
          <t>202605</t>
        </is>
      </c>
      <c r="B69" t="inlineStr">
        <is>
          <t>Andere</t>
        </is>
      </c>
      <c r="C69" t="inlineStr">
        <is>
          <t>FZ-01-20-2</t>
        </is>
      </c>
      <c r="D69" t="n">
        <v>1248</v>
      </c>
      <c r="E69" t="n">
        <v>0</v>
      </c>
      <c r="F69" t="n">
        <v>1248</v>
      </c>
      <c r="G69" t="n">
        <v>1248</v>
      </c>
    </row>
    <row r="70">
      <c r="A70" t="inlineStr">
        <is>
          <t>202605</t>
        </is>
      </c>
      <c r="B70" t="inlineStr">
        <is>
          <t>Andere</t>
        </is>
      </c>
      <c r="C70" t="inlineStr">
        <is>
          <t>FZ-01-21-2</t>
        </is>
      </c>
      <c r="D70" t="n">
        <v>1248</v>
      </c>
      <c r="E70" t="n">
        <v>0</v>
      </c>
      <c r="F70" t="n">
        <v>1248</v>
      </c>
      <c r="G70" t="n">
        <v>1248</v>
      </c>
    </row>
    <row r="71">
      <c r="A71" t="inlineStr">
        <is>
          <t>202605</t>
        </is>
      </c>
      <c r="B71" t="inlineStr">
        <is>
          <t>Andere</t>
        </is>
      </c>
      <c r="C71" t="inlineStr">
        <is>
          <t>FZ-01-22-2</t>
        </is>
      </c>
      <c r="D71" t="n">
        <v>1248</v>
      </c>
      <c r="E71" t="n">
        <v>0</v>
      </c>
      <c r="F71" t="n">
        <v>1248</v>
      </c>
      <c r="G71" t="n">
        <v>1248</v>
      </c>
    </row>
    <row r="72">
      <c r="A72" t="inlineStr">
        <is>
          <t>202605</t>
        </is>
      </c>
      <c r="B72" t="inlineStr">
        <is>
          <t>Andere</t>
        </is>
      </c>
      <c r="C72" t="inlineStr">
        <is>
          <t>FZ-01-23-2</t>
        </is>
      </c>
      <c r="D72" t="n">
        <v>1248</v>
      </c>
      <c r="E72" t="n">
        <v>0</v>
      </c>
      <c r="F72" t="n">
        <v>1248</v>
      </c>
      <c r="G72" t="n">
        <v>1248</v>
      </c>
    </row>
    <row r="73">
      <c r="A73" t="inlineStr">
        <is>
          <t>202605</t>
        </is>
      </c>
      <c r="B73" t="inlineStr">
        <is>
          <t>Andere</t>
        </is>
      </c>
      <c r="C73" t="inlineStr">
        <is>
          <t>FZ-01-24-2</t>
        </is>
      </c>
      <c r="D73" t="n">
        <v>1248</v>
      </c>
      <c r="E73" t="n">
        <v>0</v>
      </c>
      <c r="F73" t="n">
        <v>1248</v>
      </c>
      <c r="G73" t="n">
        <v>1248</v>
      </c>
    </row>
    <row r="74">
      <c r="A74" t="inlineStr">
        <is>
          <t>202605</t>
        </is>
      </c>
      <c r="B74" t="inlineStr">
        <is>
          <t>Andere</t>
        </is>
      </c>
      <c r="C74" t="inlineStr">
        <is>
          <t>FZ-01-25-2</t>
        </is>
      </c>
      <c r="D74" t="n">
        <v>1248</v>
      </c>
      <c r="E74" t="n">
        <v>0</v>
      </c>
      <c r="F74" t="n">
        <v>1248</v>
      </c>
      <c r="G74" t="n">
        <v>1248</v>
      </c>
    </row>
    <row r="75">
      <c r="A75" t="inlineStr">
        <is>
          <t>202605</t>
        </is>
      </c>
      <c r="B75" t="inlineStr">
        <is>
          <t>Andere</t>
        </is>
      </c>
      <c r="C75" t="inlineStr">
        <is>
          <t>FZ-01-26-2</t>
        </is>
      </c>
      <c r="D75" t="n">
        <v>1248</v>
      </c>
      <c r="E75" t="n">
        <v>0</v>
      </c>
      <c r="F75" t="n">
        <v>1248</v>
      </c>
      <c r="G75" t="n">
        <v>1248</v>
      </c>
    </row>
    <row r="76">
      <c r="A76" t="inlineStr">
        <is>
          <t>202605</t>
        </is>
      </c>
      <c r="B76" t="inlineStr">
        <is>
          <t>Andere</t>
        </is>
      </c>
      <c r="C76" t="inlineStr">
        <is>
          <t>FZ-01-27-2</t>
        </is>
      </c>
      <c r="D76" t="n">
        <v>1248</v>
      </c>
      <c r="E76" t="n">
        <v>0</v>
      </c>
      <c r="F76" t="n">
        <v>1248</v>
      </c>
      <c r="G76" t="n">
        <v>1248</v>
      </c>
    </row>
    <row r="77">
      <c r="A77" t="inlineStr">
        <is>
          <t>202605</t>
        </is>
      </c>
      <c r="B77" t="inlineStr">
        <is>
          <t>Andere</t>
        </is>
      </c>
      <c r="C77" t="inlineStr">
        <is>
          <t>FZ-01-28-2</t>
        </is>
      </c>
      <c r="D77" t="n">
        <v>1248</v>
      </c>
      <c r="E77" t="n">
        <v>0</v>
      </c>
      <c r="F77" t="n">
        <v>1248</v>
      </c>
      <c r="G77" t="n">
        <v>1248</v>
      </c>
    </row>
    <row r="78">
      <c r="A78" t="inlineStr">
        <is>
          <t>202605</t>
        </is>
      </c>
      <c r="B78" t="inlineStr">
        <is>
          <t>Andere</t>
        </is>
      </c>
      <c r="C78" t="inlineStr">
        <is>
          <t>FZ-01-29-2</t>
        </is>
      </c>
      <c r="D78" t="n">
        <v>1248</v>
      </c>
      <c r="E78" t="n">
        <v>0</v>
      </c>
      <c r="F78" t="n">
        <v>1248</v>
      </c>
      <c r="G78" t="n">
        <v>1248</v>
      </c>
    </row>
    <row r="79">
      <c r="A79" t="inlineStr">
        <is>
          <t>202605</t>
        </is>
      </c>
      <c r="B79" t="inlineStr">
        <is>
          <t>Andere</t>
        </is>
      </c>
      <c r="C79" t="inlineStr">
        <is>
          <t>FZ-01-30-2</t>
        </is>
      </c>
      <c r="D79" t="n">
        <v>1248</v>
      </c>
      <c r="E79" t="n">
        <v>0</v>
      </c>
      <c r="F79" t="n">
        <v>1248</v>
      </c>
      <c r="G79" t="n">
        <v>1248</v>
      </c>
    </row>
    <row r="80">
      <c r="A80" t="inlineStr">
        <is>
          <t>202605</t>
        </is>
      </c>
      <c r="B80" t="inlineStr">
        <is>
          <t>Andere</t>
        </is>
      </c>
      <c r="C80" t="inlineStr">
        <is>
          <t>FZ-01-31-2</t>
        </is>
      </c>
      <c r="D80" t="n">
        <v>1248</v>
      </c>
      <c r="E80" t="n">
        <v>0</v>
      </c>
      <c r="F80" t="n">
        <v>1248</v>
      </c>
      <c r="G80" t="n">
        <v>1248</v>
      </c>
    </row>
    <row r="81">
      <c r="A81" t="inlineStr">
        <is>
          <t>202605</t>
        </is>
      </c>
      <c r="B81" t="inlineStr">
        <is>
          <t>Andere</t>
        </is>
      </c>
      <c r="C81" t="inlineStr">
        <is>
          <t>FZ-01-33-3</t>
        </is>
      </c>
      <c r="D81" t="n">
        <v>1248</v>
      </c>
      <c r="E81" t="n">
        <v>0</v>
      </c>
      <c r="F81" t="n">
        <v>1248</v>
      </c>
      <c r="G81" t="n">
        <v>1248</v>
      </c>
    </row>
    <row r="82">
      <c r="A82" t="inlineStr">
        <is>
          <t>202605</t>
        </is>
      </c>
      <c r="B82" t="inlineStr">
        <is>
          <t>Andere</t>
        </is>
      </c>
      <c r="C82" t="inlineStr">
        <is>
          <t>FZ-01-17-4</t>
        </is>
      </c>
      <c r="D82" t="n">
        <v>810</v>
      </c>
      <c r="E82" t="n">
        <v>0</v>
      </c>
      <c r="F82" t="n">
        <v>810</v>
      </c>
      <c r="G82" t="n">
        <v>810</v>
      </c>
    </row>
    <row r="83">
      <c r="A83" t="inlineStr">
        <is>
          <t>202605</t>
        </is>
      </c>
      <c r="B83" t="inlineStr">
        <is>
          <t>Andere</t>
        </is>
      </c>
      <c r="C83" t="inlineStr">
        <is>
          <t>FZ-01-18-4</t>
        </is>
      </c>
      <c r="D83" t="n">
        <v>810</v>
      </c>
      <c r="E83" t="n">
        <v>0</v>
      </c>
      <c r="F83" t="n">
        <v>810</v>
      </c>
      <c r="G83" t="n">
        <v>810</v>
      </c>
    </row>
    <row r="84">
      <c r="A84" t="inlineStr">
        <is>
          <t>202605</t>
        </is>
      </c>
      <c r="B84" t="inlineStr">
        <is>
          <t>Andere</t>
        </is>
      </c>
      <c r="C84" t="inlineStr">
        <is>
          <t>FZ-01-21-3</t>
        </is>
      </c>
      <c r="D84" t="n">
        <v>490</v>
      </c>
      <c r="E84" t="n">
        <v>0</v>
      </c>
      <c r="F84" t="n">
        <v>490</v>
      </c>
      <c r="G84" t="n">
        <v>490</v>
      </c>
    </row>
    <row r="85">
      <c r="A85" t="inlineStr">
        <is>
          <t>202605</t>
        </is>
      </c>
      <c r="B85" t="inlineStr">
        <is>
          <t>Andere</t>
        </is>
      </c>
      <c r="C85" t="inlineStr">
        <is>
          <t>FZ-01-10-4</t>
        </is>
      </c>
      <c r="D85" t="n">
        <v>468</v>
      </c>
      <c r="E85" t="n">
        <v>0</v>
      </c>
      <c r="F85" t="n">
        <v>468</v>
      </c>
      <c r="G85" t="n">
        <v>468</v>
      </c>
    </row>
    <row r="86">
      <c r="A86" t="inlineStr">
        <is>
          <t>202605</t>
        </is>
      </c>
      <c r="B86" t="inlineStr">
        <is>
          <t>Andere</t>
        </is>
      </c>
      <c r="C86" t="inlineStr">
        <is>
          <t>FZ-01-11-4</t>
        </is>
      </c>
      <c r="D86" t="n">
        <v>468</v>
      </c>
      <c r="E86" t="n">
        <v>0</v>
      </c>
      <c r="F86" t="n">
        <v>468</v>
      </c>
      <c r="G86" t="n">
        <v>468</v>
      </c>
    </row>
    <row r="87">
      <c r="A87" t="inlineStr">
        <is>
          <t>202605</t>
        </is>
      </c>
      <c r="B87" t="inlineStr">
        <is>
          <t>Andere</t>
        </is>
      </c>
      <c r="C87" t="inlineStr">
        <is>
          <t>FZ-01-12-4</t>
        </is>
      </c>
      <c r="D87" t="n">
        <v>468</v>
      </c>
      <c r="E87" t="n">
        <v>0</v>
      </c>
      <c r="F87" t="n">
        <v>468</v>
      </c>
      <c r="G87" t="n">
        <v>468</v>
      </c>
    </row>
    <row r="88">
      <c r="A88" t="inlineStr">
        <is>
          <t>202605</t>
        </is>
      </c>
      <c r="B88" t="inlineStr">
        <is>
          <t>Andere</t>
        </is>
      </c>
      <c r="C88" t="inlineStr">
        <is>
          <t>FZ-02-01-1</t>
        </is>
      </c>
      <c r="D88" t="n">
        <v>468</v>
      </c>
      <c r="E88" t="n">
        <v>0</v>
      </c>
      <c r="F88" t="n">
        <v>468</v>
      </c>
      <c r="G88" t="n">
        <v>468</v>
      </c>
    </row>
    <row r="89">
      <c r="A89" t="inlineStr">
        <is>
          <t>202605</t>
        </is>
      </c>
      <c r="B89" t="inlineStr">
        <is>
          <t>Andere</t>
        </is>
      </c>
      <c r="C89" t="inlineStr">
        <is>
          <t>FAWIEGHOLDD</t>
        </is>
      </c>
      <c r="D89" t="n">
        <v>400</v>
      </c>
      <c r="E89" t="n">
        <v>0</v>
      </c>
      <c r="F89" t="n">
        <v>400</v>
      </c>
      <c r="G89" t="n">
        <v>400</v>
      </c>
    </row>
    <row r="90">
      <c r="A90" t="inlineStr">
        <is>
          <t>202605</t>
        </is>
      </c>
      <c r="B90" t="inlineStr">
        <is>
          <t>Andere</t>
        </is>
      </c>
      <c r="C90" t="inlineStr">
        <is>
          <t>FZ-01-23-3</t>
        </is>
      </c>
      <c r="D90" t="n">
        <v>400</v>
      </c>
      <c r="E90" t="n">
        <v>0</v>
      </c>
      <c r="F90" t="n">
        <v>400</v>
      </c>
      <c r="G90" t="n">
        <v>400</v>
      </c>
    </row>
    <row r="91">
      <c r="A91" t="inlineStr">
        <is>
          <t>202605</t>
        </is>
      </c>
      <c r="B91" t="inlineStr">
        <is>
          <t>Andere</t>
        </is>
      </c>
      <c r="C91" t="inlineStr">
        <is>
          <t>A-02-33-2</t>
        </is>
      </c>
      <c r="D91" t="n">
        <v>200</v>
      </c>
      <c r="E91" t="n">
        <v>0</v>
      </c>
      <c r="F91" t="n">
        <v>200</v>
      </c>
      <c r="G91" t="n">
        <v>200</v>
      </c>
    </row>
    <row r="92">
      <c r="A92" t="inlineStr">
        <is>
          <t>202605</t>
        </is>
      </c>
      <c r="B92" t="inlineStr">
        <is>
          <t>Andere</t>
        </is>
      </c>
      <c r="C92" t="inlineStr">
        <is>
          <t>A-02-62-2</t>
        </is>
      </c>
      <c r="D92" t="n">
        <v>200</v>
      </c>
      <c r="E92" t="n">
        <v>0</v>
      </c>
      <c r="F92" t="n">
        <v>200</v>
      </c>
      <c r="G92" t="n">
        <v>200</v>
      </c>
    </row>
    <row r="93">
      <c r="A93" t="inlineStr">
        <is>
          <t>202605</t>
        </is>
      </c>
      <c r="B93" t="inlineStr">
        <is>
          <t>Andere</t>
        </is>
      </c>
      <c r="C93" t="inlineStr">
        <is>
          <t>A-02-64-2</t>
        </is>
      </c>
      <c r="D93" t="n">
        <v>200</v>
      </c>
      <c r="E93" t="n">
        <v>0</v>
      </c>
      <c r="F93" t="n">
        <v>200</v>
      </c>
      <c r="G93" t="n">
        <v>200</v>
      </c>
    </row>
    <row r="94">
      <c r="A94" t="inlineStr">
        <is>
          <t>202605</t>
        </is>
      </c>
      <c r="B94" t="inlineStr">
        <is>
          <t>Andere</t>
        </is>
      </c>
      <c r="C94" t="inlineStr">
        <is>
          <t>A-02-65-3</t>
        </is>
      </c>
      <c r="D94" t="n">
        <v>200</v>
      </c>
      <c r="E94" t="n">
        <v>0</v>
      </c>
      <c r="F94" t="n">
        <v>200</v>
      </c>
      <c r="G94" t="n">
        <v>200</v>
      </c>
    </row>
    <row r="95">
      <c r="A95" t="inlineStr">
        <is>
          <t>202605</t>
        </is>
      </c>
      <c r="B95" t="inlineStr">
        <is>
          <t>Andere</t>
        </is>
      </c>
      <c r="C95" t="inlineStr">
        <is>
          <t>FZ-01-20-3</t>
        </is>
      </c>
      <c r="D95" t="n">
        <v>110</v>
      </c>
      <c r="E95" t="n">
        <v>0</v>
      </c>
      <c r="F95" t="n">
        <v>110</v>
      </c>
      <c r="G95" t="n">
        <v>110</v>
      </c>
    </row>
    <row r="96">
      <c r="A96" t="inlineStr">
        <is>
          <t>202605</t>
        </is>
      </c>
      <c r="B96" t="inlineStr">
        <is>
          <t>Andere</t>
        </is>
      </c>
      <c r="C96" t="inlineStr">
        <is>
          <t>FZ-01-22-3</t>
        </is>
      </c>
      <c r="D96" t="n">
        <v>70</v>
      </c>
      <c r="E96" t="n">
        <v>0</v>
      </c>
      <c r="F96" t="n">
        <v>70</v>
      </c>
      <c r="G96" t="n">
        <v>70</v>
      </c>
    </row>
    <row r="97">
      <c r="A97" t="inlineStr">
        <is>
          <t>202605</t>
        </is>
      </c>
      <c r="B97" t="inlineStr">
        <is>
          <t>Andere</t>
        </is>
      </c>
      <c r="C97" t="inlineStr">
        <is>
          <t>FZ-01-18-3</t>
        </is>
      </c>
      <c r="D97" t="n">
        <v>60</v>
      </c>
      <c r="E97" t="n">
        <v>0</v>
      </c>
      <c r="F97" t="n">
        <v>60</v>
      </c>
      <c r="G97" t="n">
        <v>60</v>
      </c>
    </row>
    <row r="98">
      <c r="A98" t="inlineStr">
        <is>
          <t>202605</t>
        </is>
      </c>
      <c r="B98" t="inlineStr">
        <is>
          <t>Andere</t>
        </is>
      </c>
      <c r="C98" t="inlineStr">
        <is>
          <t>FZ-01-19-4</t>
        </is>
      </c>
      <c r="D98" t="n">
        <v>60</v>
      </c>
      <c r="E98" t="n">
        <v>0</v>
      </c>
      <c r="F98" t="n">
        <v>60</v>
      </c>
      <c r="G98" t="n">
        <v>60</v>
      </c>
    </row>
    <row r="99">
      <c r="A99" t="inlineStr">
        <is>
          <t>202605</t>
        </is>
      </c>
      <c r="B99" t="inlineStr">
        <is>
          <t>Andere</t>
        </is>
      </c>
      <c r="C99" t="inlineStr">
        <is>
          <t>FZ-01-17-3</t>
        </is>
      </c>
      <c r="D99" t="n">
        <v>410</v>
      </c>
      <c r="E99" t="n">
        <v>400</v>
      </c>
      <c r="F99" t="n">
        <v>10</v>
      </c>
      <c r="G99" t="n">
        <v>10</v>
      </c>
    </row>
    <row r="100">
      <c r="A100" t="inlineStr">
        <is>
          <t>202605</t>
        </is>
      </c>
      <c r="B100" t="inlineStr">
        <is>
          <t>Andere</t>
        </is>
      </c>
      <c r="C100" t="inlineStr">
        <is>
          <t>FZ-01-19-3</t>
        </is>
      </c>
      <c r="D100" t="n">
        <v>99460</v>
      </c>
      <c r="E100" t="n">
        <v>99470</v>
      </c>
      <c r="F100" t="n">
        <v>-10</v>
      </c>
      <c r="G100" t="n">
        <v>-10</v>
      </c>
    </row>
    <row r="101">
      <c r="A101" t="inlineStr">
        <is>
          <t>202605</t>
        </is>
      </c>
      <c r="B101" t="inlineStr">
        <is>
          <t>Andere</t>
        </is>
      </c>
      <c r="C101" t="inlineStr">
        <is>
          <t>A-02-34-2</t>
        </is>
      </c>
      <c r="D101" t="n">
        <v>200</v>
      </c>
      <c r="E101" t="n">
        <v>200</v>
      </c>
      <c r="F101" t="n">
        <v>0</v>
      </c>
      <c r="G101" t="n">
        <v>0</v>
      </c>
    </row>
    <row r="102">
      <c r="A102" t="inlineStr">
        <is>
          <t>202605</t>
        </is>
      </c>
      <c r="B102" t="inlineStr">
        <is>
          <t>Andere</t>
        </is>
      </c>
      <c r="C102" t="inlineStr">
        <is>
          <t>A-02-52-1</t>
        </is>
      </c>
      <c r="D102" t="n">
        <v>200</v>
      </c>
      <c r="E102" t="n">
        <v>200</v>
      </c>
      <c r="F102" t="n">
        <v>0</v>
      </c>
      <c r="G102" t="n">
        <v>0</v>
      </c>
    </row>
    <row r="103">
      <c r="A103" t="inlineStr">
        <is>
          <t>202605</t>
        </is>
      </c>
      <c r="B103" t="inlineStr">
        <is>
          <t>Andere</t>
        </is>
      </c>
      <c r="C103" t="inlineStr">
        <is>
          <t>A-02-53-1</t>
        </is>
      </c>
      <c r="D103" t="n">
        <v>200</v>
      </c>
      <c r="E103" t="n">
        <v>200</v>
      </c>
      <c r="F103" t="n">
        <v>0</v>
      </c>
      <c r="G103" t="n">
        <v>0</v>
      </c>
    </row>
    <row r="104">
      <c r="A104" t="inlineStr">
        <is>
          <t>202605</t>
        </is>
      </c>
      <c r="B104" t="inlineStr">
        <is>
          <t>Andere</t>
        </is>
      </c>
      <c r="C104" t="inlineStr">
        <is>
          <t>FZ-01-24-3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202605</t>
        </is>
      </c>
      <c r="B105" t="inlineStr">
        <is>
          <t>Andere</t>
        </is>
      </c>
      <c r="C105" t="inlineStr">
        <is>
          <t>FZ-01-31-3</t>
        </is>
      </c>
      <c r="D105" t="n">
        <v>1248</v>
      </c>
      <c r="E105" t="n">
        <v>1248</v>
      </c>
      <c r="F105" t="n">
        <v>0</v>
      </c>
      <c r="G105" t="n">
        <v>0</v>
      </c>
    </row>
    <row r="106">
      <c r="A106" t="inlineStr">
        <is>
          <t>202606</t>
        </is>
      </c>
      <c r="B106" t="inlineStr">
        <is>
          <t>Andere</t>
        </is>
      </c>
      <c r="C106" t="inlineStr">
        <is>
          <t>FALEHMANNM</t>
        </is>
      </c>
      <c r="D106" t="n">
        <v>2140</v>
      </c>
      <c r="E106" t="n">
        <v>0</v>
      </c>
      <c r="F106" t="n">
        <v>2140</v>
      </c>
      <c r="G106" t="n">
        <v>2140</v>
      </c>
    </row>
    <row r="107">
      <c r="A107" t="inlineStr">
        <is>
          <t>202606</t>
        </is>
      </c>
      <c r="B107" t="inlineStr">
        <is>
          <t>Andere</t>
        </is>
      </c>
      <c r="C107" t="inlineStr">
        <is>
          <t>FAGEVERSF</t>
        </is>
      </c>
      <c r="D107" t="n">
        <v>2048</v>
      </c>
      <c r="E107" t="n">
        <v>0</v>
      </c>
      <c r="F107" t="n">
        <v>2048</v>
      </c>
      <c r="G107" t="n">
        <v>2048</v>
      </c>
    </row>
    <row r="108">
      <c r="A108" t="inlineStr">
        <is>
          <t>202606</t>
        </is>
      </c>
      <c r="B108" t="inlineStr">
        <is>
          <t>Andere</t>
        </is>
      </c>
      <c r="C108" t="inlineStr">
        <is>
          <t>FAWIEGHOLDD</t>
        </is>
      </c>
      <c r="D108" t="n">
        <v>780</v>
      </c>
      <c r="E108" t="n">
        <v>0</v>
      </c>
      <c r="F108" t="n">
        <v>780</v>
      </c>
      <c r="G108" t="n">
        <v>780</v>
      </c>
    </row>
    <row r="109">
      <c r="A109" t="inlineStr">
        <is>
          <t>202606</t>
        </is>
      </c>
      <c r="B109" t="inlineStr">
        <is>
          <t>Andere</t>
        </is>
      </c>
      <c r="C109" t="inlineStr">
        <is>
          <t>A-02-99-1</t>
        </is>
      </c>
      <c r="D109" t="n">
        <v>504</v>
      </c>
      <c r="E109" t="n">
        <v>0</v>
      </c>
      <c r="F109" t="n">
        <v>504</v>
      </c>
      <c r="G109" t="n">
        <v>504</v>
      </c>
    </row>
    <row r="110">
      <c r="A110" t="inlineStr">
        <is>
          <t>202606</t>
        </is>
      </c>
      <c r="B110" t="inlineStr">
        <is>
          <t>Andere</t>
        </is>
      </c>
      <c r="C110" t="inlineStr">
        <is>
          <t>A-01-33-2</t>
        </is>
      </c>
      <c r="D110" t="n">
        <v>400</v>
      </c>
      <c r="E110" t="n">
        <v>0</v>
      </c>
      <c r="F110" t="n">
        <v>400</v>
      </c>
      <c r="G110" t="n">
        <v>400</v>
      </c>
    </row>
    <row r="111">
      <c r="A111" t="inlineStr">
        <is>
          <t>202606</t>
        </is>
      </c>
      <c r="B111" t="inlineStr">
        <is>
          <t>Andere</t>
        </is>
      </c>
      <c r="C111" t="inlineStr">
        <is>
          <t>A-01-36-2</t>
        </is>
      </c>
      <c r="D111" t="n">
        <v>400</v>
      </c>
      <c r="E111" t="n">
        <v>0</v>
      </c>
      <c r="F111" t="n">
        <v>400</v>
      </c>
      <c r="G111" t="n">
        <v>400</v>
      </c>
    </row>
    <row r="112">
      <c r="A112" t="inlineStr">
        <is>
          <t>202606</t>
        </is>
      </c>
      <c r="B112" t="inlineStr">
        <is>
          <t>Andere</t>
        </is>
      </c>
      <c r="C112" t="inlineStr">
        <is>
          <t>A-01-40-1</t>
        </is>
      </c>
      <c r="D112" t="n">
        <v>800</v>
      </c>
      <c r="E112" t="n">
        <v>400</v>
      </c>
      <c r="F112" t="n">
        <v>400</v>
      </c>
      <c r="G112" t="n">
        <v>400</v>
      </c>
    </row>
    <row r="113">
      <c r="A113" t="inlineStr">
        <is>
          <t>202606</t>
        </is>
      </c>
      <c r="B113" t="inlineStr">
        <is>
          <t>Andere</t>
        </is>
      </c>
      <c r="C113" t="inlineStr">
        <is>
          <t>A-02-59-3</t>
        </is>
      </c>
      <c r="D113" t="n">
        <v>400</v>
      </c>
      <c r="E113" t="n">
        <v>0</v>
      </c>
      <c r="F113" t="n">
        <v>400</v>
      </c>
      <c r="G113" t="n">
        <v>400</v>
      </c>
    </row>
    <row r="114">
      <c r="A114" t="inlineStr">
        <is>
          <t>202606</t>
        </is>
      </c>
      <c r="B114" t="inlineStr">
        <is>
          <t>Andere</t>
        </is>
      </c>
      <c r="C114" t="inlineStr">
        <is>
          <t>A-02-80-2</t>
        </is>
      </c>
      <c r="D114" t="n">
        <v>336</v>
      </c>
      <c r="E114" t="n">
        <v>0</v>
      </c>
      <c r="F114" t="n">
        <v>336</v>
      </c>
      <c r="G114" t="n">
        <v>336</v>
      </c>
    </row>
    <row r="115">
      <c r="A115" t="inlineStr">
        <is>
          <t>202606</t>
        </is>
      </c>
      <c r="B115" t="inlineStr">
        <is>
          <t>Andere</t>
        </is>
      </c>
      <c r="C115" t="inlineStr">
        <is>
          <t>FASCHRADERS</t>
        </is>
      </c>
      <c r="D115" t="n">
        <v>336</v>
      </c>
      <c r="E115" t="n">
        <v>0</v>
      </c>
      <c r="F115" t="n">
        <v>336</v>
      </c>
      <c r="G115" t="n">
        <v>336</v>
      </c>
    </row>
    <row r="116">
      <c r="A116" t="inlineStr">
        <is>
          <t>202606</t>
        </is>
      </c>
      <c r="B116" t="inlineStr">
        <is>
          <t>Andere</t>
        </is>
      </c>
      <c r="C116" t="inlineStr">
        <is>
          <t>A-02-108-1</t>
        </is>
      </c>
      <c r="D116" t="n">
        <v>264</v>
      </c>
      <c r="E116" t="n">
        <v>0</v>
      </c>
      <c r="F116" t="n">
        <v>264</v>
      </c>
      <c r="G116" t="n">
        <v>264</v>
      </c>
    </row>
    <row r="117">
      <c r="A117" t="inlineStr">
        <is>
          <t>202606</t>
        </is>
      </c>
      <c r="B117" t="inlineStr">
        <is>
          <t>Andere</t>
        </is>
      </c>
      <c r="C117" t="inlineStr">
        <is>
          <t>A-02-87-1</t>
        </is>
      </c>
      <c r="D117" t="n">
        <v>264</v>
      </c>
      <c r="E117" t="n">
        <v>0</v>
      </c>
      <c r="F117" t="n">
        <v>264</v>
      </c>
      <c r="G117" t="n">
        <v>264</v>
      </c>
    </row>
    <row r="118">
      <c r="A118" t="inlineStr">
        <is>
          <t>202606</t>
        </is>
      </c>
      <c r="B118" t="inlineStr">
        <is>
          <t>Andere</t>
        </is>
      </c>
      <c r="C118" t="inlineStr">
        <is>
          <t>FALUHRSP</t>
        </is>
      </c>
      <c r="D118" t="n">
        <v>264</v>
      </c>
      <c r="E118" t="n">
        <v>0</v>
      </c>
      <c r="F118" t="n">
        <v>264</v>
      </c>
      <c r="G118" t="n">
        <v>264</v>
      </c>
    </row>
    <row r="119">
      <c r="A119" t="inlineStr">
        <is>
          <t>202606</t>
        </is>
      </c>
      <c r="B119" t="inlineStr">
        <is>
          <t>Andere</t>
        </is>
      </c>
      <c r="C119" t="inlineStr">
        <is>
          <t>A-02-63-2</t>
        </is>
      </c>
      <c r="D119" t="n">
        <v>200</v>
      </c>
      <c r="E119" t="n">
        <v>0</v>
      </c>
      <c r="F119" t="n">
        <v>200</v>
      </c>
      <c r="G119" t="n">
        <v>200</v>
      </c>
    </row>
    <row r="120">
      <c r="A120" t="inlineStr">
        <is>
          <t>202606</t>
        </is>
      </c>
      <c r="B120" t="inlineStr">
        <is>
          <t>Andere</t>
        </is>
      </c>
      <c r="C120" t="inlineStr">
        <is>
          <t>A-01-11-1</t>
        </is>
      </c>
      <c r="D120" t="n">
        <v>180</v>
      </c>
      <c r="E120" t="n">
        <v>0</v>
      </c>
      <c r="F120" t="n">
        <v>180</v>
      </c>
      <c r="G120" t="n">
        <v>180</v>
      </c>
    </row>
    <row r="121">
      <c r="A121" t="inlineStr">
        <is>
          <t>202606</t>
        </is>
      </c>
      <c r="B121" t="inlineStr">
        <is>
          <t>Andere</t>
        </is>
      </c>
      <c r="C121" t="inlineStr">
        <is>
          <t>A-01-19-2</t>
        </is>
      </c>
      <c r="D121" t="n">
        <v>180</v>
      </c>
      <c r="E121" t="n">
        <v>0</v>
      </c>
      <c r="F121" t="n">
        <v>180</v>
      </c>
      <c r="G121" t="n">
        <v>180</v>
      </c>
    </row>
    <row r="122">
      <c r="A122" t="inlineStr">
        <is>
          <t>202606</t>
        </is>
      </c>
      <c r="B122" t="inlineStr">
        <is>
          <t>Andere</t>
        </is>
      </c>
      <c r="C122" t="inlineStr">
        <is>
          <t>A-01-20-2</t>
        </is>
      </c>
      <c r="D122" t="n">
        <v>180</v>
      </c>
      <c r="E122" t="n">
        <v>0</v>
      </c>
      <c r="F122" t="n">
        <v>180</v>
      </c>
      <c r="G122" t="n">
        <v>180</v>
      </c>
    </row>
    <row r="123">
      <c r="A123" t="inlineStr">
        <is>
          <t>202606</t>
        </is>
      </c>
      <c r="B123" t="inlineStr">
        <is>
          <t>Andere</t>
        </is>
      </c>
      <c r="C123" t="inlineStr">
        <is>
          <t>A-01-30-1</t>
        </is>
      </c>
      <c r="D123" t="n">
        <v>180</v>
      </c>
      <c r="E123" t="n">
        <v>0</v>
      </c>
      <c r="F123" t="n">
        <v>180</v>
      </c>
      <c r="G123" t="n">
        <v>180</v>
      </c>
    </row>
    <row r="124">
      <c r="A124" t="inlineStr">
        <is>
          <t>202606</t>
        </is>
      </c>
      <c r="B124" t="inlineStr">
        <is>
          <t>Andere</t>
        </is>
      </c>
      <c r="C124" t="inlineStr">
        <is>
          <t>A-01-31-1</t>
        </is>
      </c>
      <c r="D124" t="n">
        <v>180</v>
      </c>
      <c r="E124" t="n">
        <v>0</v>
      </c>
      <c r="F124" t="n">
        <v>180</v>
      </c>
      <c r="G124" t="n">
        <v>180</v>
      </c>
    </row>
    <row r="125">
      <c r="A125" t="inlineStr">
        <is>
          <t>202606</t>
        </is>
      </c>
      <c r="B125" t="inlineStr">
        <is>
          <t>Andere</t>
        </is>
      </c>
      <c r="C125" t="inlineStr">
        <is>
          <t>A-01-32-1</t>
        </is>
      </c>
      <c r="D125" t="n">
        <v>180</v>
      </c>
      <c r="E125" t="n">
        <v>0</v>
      </c>
      <c r="F125" t="n">
        <v>180</v>
      </c>
      <c r="G125" t="n">
        <v>180</v>
      </c>
    </row>
    <row r="126">
      <c r="A126" t="inlineStr">
        <is>
          <t>202606</t>
        </is>
      </c>
      <c r="B126" t="inlineStr">
        <is>
          <t>Andere</t>
        </is>
      </c>
      <c r="C126" t="inlineStr">
        <is>
          <t>A-01-38-1</t>
        </is>
      </c>
      <c r="D126" t="n">
        <v>180</v>
      </c>
      <c r="E126" t="n">
        <v>0</v>
      </c>
      <c r="F126" t="n">
        <v>180</v>
      </c>
      <c r="G126" t="n">
        <v>180</v>
      </c>
    </row>
    <row r="127">
      <c r="A127" t="inlineStr">
        <is>
          <t>202606</t>
        </is>
      </c>
      <c r="B127" t="inlineStr">
        <is>
          <t>Andere</t>
        </is>
      </c>
      <c r="C127" t="inlineStr">
        <is>
          <t>A-01-39-2</t>
        </is>
      </c>
      <c r="D127" t="n">
        <v>180</v>
      </c>
      <c r="E127" t="n">
        <v>0</v>
      </c>
      <c r="F127" t="n">
        <v>180</v>
      </c>
      <c r="G127" t="n">
        <v>180</v>
      </c>
    </row>
    <row r="128">
      <c r="A128" t="inlineStr">
        <is>
          <t>202606</t>
        </is>
      </c>
      <c r="B128" t="inlineStr">
        <is>
          <t>Andere</t>
        </is>
      </c>
      <c r="C128" t="inlineStr">
        <is>
          <t>A-01-40-2</t>
        </is>
      </c>
      <c r="D128" t="n">
        <v>180</v>
      </c>
      <c r="E128" t="n">
        <v>0</v>
      </c>
      <c r="F128" t="n">
        <v>180</v>
      </c>
      <c r="G128" t="n">
        <v>180</v>
      </c>
    </row>
    <row r="129">
      <c r="A129" t="inlineStr">
        <is>
          <t>202606</t>
        </is>
      </c>
      <c r="B129" t="inlineStr">
        <is>
          <t>Andere</t>
        </is>
      </c>
      <c r="C129" t="inlineStr">
        <is>
          <t>A-01-41-2</t>
        </is>
      </c>
      <c r="D129" t="n">
        <v>180</v>
      </c>
      <c r="E129" t="n">
        <v>0</v>
      </c>
      <c r="F129" t="n">
        <v>180</v>
      </c>
      <c r="G129" t="n">
        <v>180</v>
      </c>
    </row>
    <row r="130">
      <c r="A130" t="inlineStr">
        <is>
          <t>202606</t>
        </is>
      </c>
      <c r="B130" t="inlineStr">
        <is>
          <t>Andere</t>
        </is>
      </c>
      <c r="C130" t="inlineStr">
        <is>
          <t>A-02-119-1</t>
        </is>
      </c>
      <c r="D130" t="n">
        <v>168</v>
      </c>
      <c r="E130" t="n">
        <v>0</v>
      </c>
      <c r="F130" t="n">
        <v>168</v>
      </c>
      <c r="G130" t="n">
        <v>168</v>
      </c>
    </row>
    <row r="131">
      <c r="A131" t="inlineStr">
        <is>
          <t>202606</t>
        </is>
      </c>
      <c r="B131" t="inlineStr">
        <is>
          <t>Andere</t>
        </is>
      </c>
      <c r="C131" t="inlineStr">
        <is>
          <t>A-02-45-1</t>
        </is>
      </c>
      <c r="D131" t="n">
        <v>168</v>
      </c>
      <c r="E131" t="n">
        <v>0</v>
      </c>
      <c r="F131" t="n">
        <v>168</v>
      </c>
      <c r="G131" t="n">
        <v>168</v>
      </c>
    </row>
    <row r="132">
      <c r="A132" t="inlineStr">
        <is>
          <t>202606</t>
        </is>
      </c>
      <c r="B132" t="inlineStr">
        <is>
          <t>Andere</t>
        </is>
      </c>
      <c r="C132" t="inlineStr">
        <is>
          <t>A-02-107-1</t>
        </is>
      </c>
      <c r="D132" t="n">
        <v>132</v>
      </c>
      <c r="E132" t="n">
        <v>0</v>
      </c>
      <c r="F132" t="n">
        <v>132</v>
      </c>
      <c r="G132" t="n">
        <v>132</v>
      </c>
    </row>
    <row r="133">
      <c r="A133" t="inlineStr">
        <is>
          <t>202606</t>
        </is>
      </c>
      <c r="B133" t="inlineStr">
        <is>
          <t>Andere</t>
        </is>
      </c>
      <c r="C133" t="inlineStr">
        <is>
          <t>A-02-112-1</t>
        </is>
      </c>
      <c r="D133" t="n">
        <v>132</v>
      </c>
      <c r="E133" t="n">
        <v>0</v>
      </c>
      <c r="F133" t="n">
        <v>132</v>
      </c>
      <c r="G133" t="n">
        <v>132</v>
      </c>
    </row>
    <row r="134">
      <c r="A134" t="inlineStr">
        <is>
          <t>202606</t>
        </is>
      </c>
      <c r="B134" t="inlineStr">
        <is>
          <t>Andere</t>
        </is>
      </c>
      <c r="C134" t="inlineStr">
        <is>
          <t>A-01-06-3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202606</t>
        </is>
      </c>
      <c r="B135" t="inlineStr">
        <is>
          <t>Andere</t>
        </is>
      </c>
      <c r="C135" t="inlineStr">
        <is>
          <t>A-01-10-3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202606</t>
        </is>
      </c>
      <c r="B136" t="inlineStr">
        <is>
          <t>Andere</t>
        </is>
      </c>
      <c r="C136" t="inlineStr">
        <is>
          <t>A-01-14-2</t>
        </is>
      </c>
      <c r="D136" t="n">
        <v>400</v>
      </c>
      <c r="E136" t="n">
        <v>400</v>
      </c>
      <c r="F136" t="n">
        <v>0</v>
      </c>
      <c r="G136" t="n">
        <v>0</v>
      </c>
    </row>
    <row r="137">
      <c r="A137" t="inlineStr">
        <is>
          <t>202606</t>
        </is>
      </c>
      <c r="B137" t="inlineStr">
        <is>
          <t>Andere</t>
        </is>
      </c>
      <c r="C137" t="inlineStr">
        <is>
          <t>A-01-15-2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202606</t>
        </is>
      </c>
      <c r="B138" t="inlineStr">
        <is>
          <t>Andere</t>
        </is>
      </c>
      <c r="C138" t="inlineStr">
        <is>
          <t>A-01-16-2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202606</t>
        </is>
      </c>
      <c r="B139" t="inlineStr">
        <is>
          <t>Andere</t>
        </is>
      </c>
      <c r="C139" t="inlineStr">
        <is>
          <t>A-01-17-2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202606</t>
        </is>
      </c>
      <c r="B140" t="inlineStr">
        <is>
          <t>Andere</t>
        </is>
      </c>
      <c r="C140" t="inlineStr">
        <is>
          <t>A-01-23-4</t>
        </is>
      </c>
      <c r="D140" t="n">
        <v>186</v>
      </c>
      <c r="E140" t="n">
        <v>186</v>
      </c>
      <c r="F140" t="n">
        <v>0</v>
      </c>
      <c r="G140" t="n">
        <v>0</v>
      </c>
    </row>
    <row r="141">
      <c r="A141" t="inlineStr">
        <is>
          <t>202606</t>
        </is>
      </c>
      <c r="B141" t="inlineStr">
        <is>
          <t>Andere</t>
        </is>
      </c>
      <c r="C141" t="inlineStr">
        <is>
          <t>A-01-28-3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202606</t>
        </is>
      </c>
      <c r="B142" t="inlineStr">
        <is>
          <t>Andere</t>
        </is>
      </c>
      <c r="C142" t="inlineStr">
        <is>
          <t>A-01-29-3</t>
        </is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202606</t>
        </is>
      </c>
      <c r="B143" t="inlineStr">
        <is>
          <t>Andere</t>
        </is>
      </c>
      <c r="C143" t="inlineStr">
        <is>
          <t>A-01-37-2</t>
        </is>
      </c>
      <c r="D143" t="n">
        <v>400</v>
      </c>
      <c r="E143" t="n">
        <v>400</v>
      </c>
      <c r="F143" t="n">
        <v>0</v>
      </c>
      <c r="G143" t="n">
        <v>0</v>
      </c>
    </row>
    <row r="144">
      <c r="A144" t="inlineStr">
        <is>
          <t>202606</t>
        </is>
      </c>
      <c r="B144" t="inlineStr">
        <is>
          <t>Andere</t>
        </is>
      </c>
      <c r="C144" t="inlineStr">
        <is>
          <t>A-01-38-2</t>
        </is>
      </c>
      <c r="D144" t="n">
        <v>800</v>
      </c>
      <c r="E144" t="n">
        <v>800</v>
      </c>
      <c r="F144" t="n">
        <v>0</v>
      </c>
      <c r="G144" t="n">
        <v>0</v>
      </c>
    </row>
    <row r="145">
      <c r="A145" t="inlineStr">
        <is>
          <t>202606</t>
        </is>
      </c>
      <c r="B145" t="inlineStr">
        <is>
          <t>Andere</t>
        </is>
      </c>
      <c r="C145" t="inlineStr">
        <is>
          <t>A-01-39-1</t>
        </is>
      </c>
      <c r="D145" t="n">
        <v>800</v>
      </c>
      <c r="E145" t="n">
        <v>800</v>
      </c>
      <c r="F145" t="n">
        <v>0</v>
      </c>
      <c r="G145" t="n">
        <v>0</v>
      </c>
    </row>
    <row r="146">
      <c r="A146" t="inlineStr">
        <is>
          <t>202606</t>
        </is>
      </c>
      <c r="B146" t="inlineStr">
        <is>
          <t>Andere</t>
        </is>
      </c>
      <c r="C146" t="inlineStr">
        <is>
          <t>A-01-42-4</t>
        </is>
      </c>
      <c r="D146" t="n">
        <v>186</v>
      </c>
      <c r="E146" t="n">
        <v>186</v>
      </c>
      <c r="F146" t="n">
        <v>0</v>
      </c>
      <c r="G146" t="n">
        <v>0</v>
      </c>
    </row>
    <row r="147">
      <c r="A147" t="inlineStr">
        <is>
          <t>202606</t>
        </is>
      </c>
      <c r="B147" t="inlineStr">
        <is>
          <t>Andere</t>
        </is>
      </c>
      <c r="C147" t="inlineStr">
        <is>
          <t>A-01-43-4</t>
        </is>
      </c>
      <c r="D147" t="n">
        <v>186</v>
      </c>
      <c r="E147" t="n">
        <v>186</v>
      </c>
      <c r="F147" t="n">
        <v>0</v>
      </c>
      <c r="G147" t="n">
        <v>0</v>
      </c>
    </row>
    <row r="148">
      <c r="A148" t="inlineStr">
        <is>
          <t>202606</t>
        </is>
      </c>
      <c r="B148" t="inlineStr">
        <is>
          <t>Andere</t>
        </is>
      </c>
      <c r="C148" t="inlineStr">
        <is>
          <t>A-01-44-4</t>
        </is>
      </c>
      <c r="D148" t="n">
        <v>186</v>
      </c>
      <c r="E148" t="n">
        <v>186</v>
      </c>
      <c r="F148" t="n">
        <v>0</v>
      </c>
      <c r="G148" t="n">
        <v>0</v>
      </c>
    </row>
    <row r="149">
      <c r="A149" t="inlineStr">
        <is>
          <t>202606</t>
        </is>
      </c>
      <c r="B149" t="inlineStr">
        <is>
          <t>Andere</t>
        </is>
      </c>
      <c r="C149" t="inlineStr">
        <is>
          <t>A-01-46-3</t>
        </is>
      </c>
      <c r="D149" t="n">
        <v>186</v>
      </c>
      <c r="E149" t="n">
        <v>186</v>
      </c>
      <c r="F149" t="n">
        <v>0</v>
      </c>
      <c r="G149" t="n">
        <v>0</v>
      </c>
    </row>
    <row r="150">
      <c r="A150" t="inlineStr">
        <is>
          <t>202606</t>
        </is>
      </c>
      <c r="B150" t="inlineStr">
        <is>
          <t>Andere</t>
        </is>
      </c>
      <c r="C150" t="inlineStr">
        <is>
          <t>A-02-07-3</t>
        </is>
      </c>
      <c r="D150" t="n">
        <v>200</v>
      </c>
      <c r="E150" t="n">
        <v>200</v>
      </c>
      <c r="F150" t="n">
        <v>0</v>
      </c>
      <c r="G150" t="n">
        <v>0</v>
      </c>
    </row>
    <row r="151">
      <c r="A151" t="inlineStr">
        <is>
          <t>202606</t>
        </is>
      </c>
      <c r="B151" t="inlineStr">
        <is>
          <t>Andere</t>
        </is>
      </c>
      <c r="C151" t="inlineStr">
        <is>
          <t>A-02-103-1</t>
        </is>
      </c>
      <c r="D151" t="n">
        <v>132</v>
      </c>
      <c r="E151" t="n">
        <v>132</v>
      </c>
      <c r="F151" t="n">
        <v>0</v>
      </c>
      <c r="G151" t="n">
        <v>0</v>
      </c>
    </row>
    <row r="152">
      <c r="A152" t="inlineStr">
        <is>
          <t>202606</t>
        </is>
      </c>
      <c r="B152" t="inlineStr">
        <is>
          <t>Andere</t>
        </is>
      </c>
      <c r="C152" t="inlineStr">
        <is>
          <t>A-02-109-2</t>
        </is>
      </c>
      <c r="D152" t="n">
        <v>132</v>
      </c>
      <c r="E152" t="n">
        <v>132</v>
      </c>
      <c r="F152" t="n">
        <v>0</v>
      </c>
      <c r="G152" t="n">
        <v>0</v>
      </c>
    </row>
    <row r="153">
      <c r="A153" t="inlineStr">
        <is>
          <t>202606</t>
        </is>
      </c>
      <c r="B153" t="inlineStr">
        <is>
          <t>Andere</t>
        </is>
      </c>
      <c r="C153" t="inlineStr">
        <is>
          <t>A-02-17-3</t>
        </is>
      </c>
      <c r="D153" t="n">
        <v>400</v>
      </c>
      <c r="E153" t="n">
        <v>400</v>
      </c>
      <c r="F153" t="n">
        <v>0</v>
      </c>
      <c r="G153" t="n">
        <v>0</v>
      </c>
    </row>
    <row r="154">
      <c r="A154" t="inlineStr">
        <is>
          <t>202606</t>
        </is>
      </c>
      <c r="B154" t="inlineStr">
        <is>
          <t>Andere</t>
        </is>
      </c>
      <c r="C154" t="inlineStr">
        <is>
          <t>A-02-19-3</t>
        </is>
      </c>
      <c r="D154" t="n">
        <v>400</v>
      </c>
      <c r="E154" t="n">
        <v>400</v>
      </c>
      <c r="F154" t="n">
        <v>0</v>
      </c>
      <c r="G154" t="n">
        <v>0</v>
      </c>
    </row>
    <row r="155">
      <c r="A155" t="inlineStr">
        <is>
          <t>202606</t>
        </is>
      </c>
      <c r="B155" t="inlineStr">
        <is>
          <t>Andere</t>
        </is>
      </c>
      <c r="C155" t="inlineStr">
        <is>
          <t>A-02-20-3</t>
        </is>
      </c>
      <c r="D155" t="n">
        <v>400</v>
      </c>
      <c r="E155" t="n">
        <v>400</v>
      </c>
      <c r="F155" t="n">
        <v>0</v>
      </c>
      <c r="G155" t="n">
        <v>0</v>
      </c>
    </row>
    <row r="156">
      <c r="A156" t="inlineStr">
        <is>
          <t>202606</t>
        </is>
      </c>
      <c r="B156" t="inlineStr">
        <is>
          <t>Andere</t>
        </is>
      </c>
      <c r="C156" t="inlineStr">
        <is>
          <t>A-02-29-3</t>
        </is>
      </c>
      <c r="D156" t="n">
        <v>400</v>
      </c>
      <c r="E156" t="n">
        <v>400</v>
      </c>
      <c r="F156" t="n">
        <v>0</v>
      </c>
      <c r="G156" t="n">
        <v>0</v>
      </c>
    </row>
    <row r="157">
      <c r="A157" t="inlineStr">
        <is>
          <t>202606</t>
        </is>
      </c>
      <c r="B157" t="inlineStr">
        <is>
          <t>Andere</t>
        </is>
      </c>
      <c r="C157" t="inlineStr">
        <is>
          <t>A-02-88-3</t>
        </is>
      </c>
      <c r="D157" t="n">
        <v>96</v>
      </c>
      <c r="E157" t="n">
        <v>96</v>
      </c>
      <c r="F157" t="n">
        <v>0</v>
      </c>
      <c r="G157" t="n">
        <v>0</v>
      </c>
    </row>
    <row r="158">
      <c r="A158" t="inlineStr">
        <is>
          <t>202607</t>
        </is>
      </c>
      <c r="B158" t="inlineStr">
        <is>
          <t>Andere</t>
        </is>
      </c>
      <c r="C158" t="inlineStr">
        <is>
          <t>FAWIEGHOLDD</t>
        </is>
      </c>
      <c r="D158" t="n">
        <v>4250</v>
      </c>
      <c r="E158" t="n">
        <v>0</v>
      </c>
      <c r="F158" t="n">
        <v>4250</v>
      </c>
      <c r="G158" t="n">
        <v>4250</v>
      </c>
    </row>
    <row r="159">
      <c r="A159" t="inlineStr">
        <is>
          <t>202607</t>
        </is>
      </c>
      <c r="B159" t="inlineStr">
        <is>
          <t>Andere</t>
        </is>
      </c>
      <c r="C159" t="inlineStr">
        <is>
          <t>A-02-03-3</t>
        </is>
      </c>
      <c r="D159" t="n">
        <v>2250</v>
      </c>
      <c r="E159" t="n">
        <v>0</v>
      </c>
      <c r="F159" t="n">
        <v>2250</v>
      </c>
      <c r="G159" t="n">
        <v>2250</v>
      </c>
    </row>
    <row r="160">
      <c r="A160" t="inlineStr">
        <is>
          <t>202607</t>
        </is>
      </c>
      <c r="B160" t="inlineStr">
        <is>
          <t>Andere</t>
        </is>
      </c>
      <c r="C160" t="inlineStr">
        <is>
          <t>A-02-01-3</t>
        </is>
      </c>
      <c r="D160" t="n">
        <v>2000</v>
      </c>
      <c r="E160" t="n">
        <v>0</v>
      </c>
      <c r="F160" t="n">
        <v>2000</v>
      </c>
      <c r="G160" t="n">
        <v>2000</v>
      </c>
    </row>
    <row r="161">
      <c r="A161" t="inlineStr">
        <is>
          <t>202607</t>
        </is>
      </c>
      <c r="B161" t="inlineStr">
        <is>
          <t>Andere</t>
        </is>
      </c>
      <c r="C161" t="inlineStr">
        <is>
          <t>FAZALOGD</t>
        </is>
      </c>
      <c r="D161" t="n">
        <v>1872</v>
      </c>
      <c r="E161" t="n">
        <v>0</v>
      </c>
      <c r="F161" t="n">
        <v>1872</v>
      </c>
      <c r="G161" t="n">
        <v>1872</v>
      </c>
    </row>
    <row r="162">
      <c r="A162" t="inlineStr">
        <is>
          <t>202607</t>
        </is>
      </c>
      <c r="B162" t="inlineStr">
        <is>
          <t>Andere</t>
        </is>
      </c>
      <c r="C162" t="inlineStr">
        <is>
          <t>FASCHRADERS</t>
        </is>
      </c>
      <c r="D162" t="n">
        <v>864</v>
      </c>
      <c r="E162" t="n">
        <v>0</v>
      </c>
      <c r="F162" t="n">
        <v>864</v>
      </c>
      <c r="G162" t="n">
        <v>864</v>
      </c>
    </row>
    <row r="163">
      <c r="A163" t="inlineStr">
        <is>
          <t>202607</t>
        </is>
      </c>
      <c r="B163" t="inlineStr">
        <is>
          <t>Andere</t>
        </is>
      </c>
      <c r="C163" t="inlineStr">
        <is>
          <t>GERMANY</t>
        </is>
      </c>
      <c r="D163" t="n">
        <v>732</v>
      </c>
      <c r="E163" t="n">
        <v>0</v>
      </c>
      <c r="F163" t="n">
        <v>732</v>
      </c>
      <c r="G163" t="n">
        <v>732</v>
      </c>
    </row>
    <row r="164">
      <c r="A164" t="inlineStr">
        <is>
          <t>202607</t>
        </is>
      </c>
      <c r="B164" t="inlineStr">
        <is>
          <t>Andere</t>
        </is>
      </c>
      <c r="C164" t="inlineStr">
        <is>
          <t>FAFURMANNB</t>
        </is>
      </c>
      <c r="D164" t="n">
        <v>600</v>
      </c>
      <c r="E164" t="n">
        <v>0</v>
      </c>
      <c r="F164" t="n">
        <v>600</v>
      </c>
      <c r="G164" t="n">
        <v>600</v>
      </c>
    </row>
    <row r="165">
      <c r="A165" t="inlineStr">
        <is>
          <t>202607</t>
        </is>
      </c>
      <c r="B165" t="inlineStr">
        <is>
          <t>Andere</t>
        </is>
      </c>
      <c r="C165" t="inlineStr">
        <is>
          <t>FAGEVERSF</t>
        </is>
      </c>
      <c r="D165" t="n">
        <v>468</v>
      </c>
      <c r="E165" t="n">
        <v>0</v>
      </c>
      <c r="F165" t="n">
        <v>468</v>
      </c>
      <c r="G165" t="n">
        <v>468</v>
      </c>
    </row>
    <row r="166">
      <c r="A166" t="inlineStr">
        <is>
          <t>202607</t>
        </is>
      </c>
      <c r="B166" t="inlineStr">
        <is>
          <t>Andere</t>
        </is>
      </c>
      <c r="C166" t="inlineStr">
        <is>
          <t>FAHABAYEBM</t>
        </is>
      </c>
      <c r="D166" t="n">
        <v>468</v>
      </c>
      <c r="E166" t="n">
        <v>0</v>
      </c>
      <c r="F166" t="n">
        <v>468</v>
      </c>
      <c r="G166" t="n">
        <v>468</v>
      </c>
    </row>
    <row r="167">
      <c r="A167" t="inlineStr">
        <is>
          <t>202607</t>
        </is>
      </c>
      <c r="B167" t="inlineStr">
        <is>
          <t>Andere</t>
        </is>
      </c>
      <c r="C167" t="inlineStr">
        <is>
          <t>FAHANSENMA</t>
        </is>
      </c>
      <c r="D167" t="n">
        <v>468</v>
      </c>
      <c r="E167" t="n">
        <v>0</v>
      </c>
      <c r="F167" t="n">
        <v>468</v>
      </c>
      <c r="G167" t="n">
        <v>468</v>
      </c>
    </row>
    <row r="168">
      <c r="A168" t="inlineStr">
        <is>
          <t>202607</t>
        </is>
      </c>
      <c r="B168" t="inlineStr">
        <is>
          <t>Andere</t>
        </is>
      </c>
      <c r="C168" t="inlineStr">
        <is>
          <t>FZ-01-09-4</t>
        </is>
      </c>
      <c r="D168" t="n">
        <v>468</v>
      </c>
      <c r="E168" t="n">
        <v>0</v>
      </c>
      <c r="F168" t="n">
        <v>468</v>
      </c>
      <c r="G168" t="n">
        <v>468</v>
      </c>
    </row>
    <row r="169">
      <c r="A169" t="inlineStr">
        <is>
          <t>202607</t>
        </is>
      </c>
      <c r="B169" t="inlineStr">
        <is>
          <t>Andere</t>
        </is>
      </c>
      <c r="C169" t="inlineStr">
        <is>
          <t>FZ-01-25-3</t>
        </is>
      </c>
      <c r="D169" t="n">
        <v>468</v>
      </c>
      <c r="E169" t="n">
        <v>0</v>
      </c>
      <c r="F169" t="n">
        <v>468</v>
      </c>
      <c r="G169" t="n">
        <v>468</v>
      </c>
    </row>
    <row r="170">
      <c r="A170" t="inlineStr">
        <is>
          <t>202607</t>
        </is>
      </c>
      <c r="B170" t="inlineStr">
        <is>
          <t>Andere</t>
        </is>
      </c>
      <c r="C170" t="inlineStr">
        <is>
          <t>FZ-01-26-3</t>
        </is>
      </c>
      <c r="D170" t="n">
        <v>468</v>
      </c>
      <c r="E170" t="n">
        <v>0</v>
      </c>
      <c r="F170" t="n">
        <v>468</v>
      </c>
      <c r="G170" t="n">
        <v>468</v>
      </c>
    </row>
    <row r="171">
      <c r="A171" t="inlineStr">
        <is>
          <t>202607</t>
        </is>
      </c>
      <c r="B171" t="inlineStr">
        <is>
          <t>Andere</t>
        </is>
      </c>
      <c r="C171" t="inlineStr">
        <is>
          <t>FZ-01-27-3</t>
        </is>
      </c>
      <c r="D171" t="n">
        <v>468</v>
      </c>
      <c r="E171" t="n">
        <v>0</v>
      </c>
      <c r="F171" t="n">
        <v>468</v>
      </c>
      <c r="G171" t="n">
        <v>468</v>
      </c>
    </row>
    <row r="172">
      <c r="A172" t="inlineStr">
        <is>
          <t>202607</t>
        </is>
      </c>
      <c r="B172" t="inlineStr">
        <is>
          <t>Andere</t>
        </is>
      </c>
      <c r="C172" t="inlineStr">
        <is>
          <t>FZ-01-28-3</t>
        </is>
      </c>
      <c r="D172" t="n">
        <v>468</v>
      </c>
      <c r="E172" t="n">
        <v>0</v>
      </c>
      <c r="F172" t="n">
        <v>468</v>
      </c>
      <c r="G172" t="n">
        <v>468</v>
      </c>
    </row>
    <row r="173">
      <c r="A173" t="inlineStr">
        <is>
          <t>202607</t>
        </is>
      </c>
      <c r="B173" t="inlineStr">
        <is>
          <t>Andere</t>
        </is>
      </c>
      <c r="C173" t="inlineStr">
        <is>
          <t>FZ-01-33-4</t>
        </is>
      </c>
      <c r="D173" t="n">
        <v>468</v>
      </c>
      <c r="E173" t="n">
        <v>0</v>
      </c>
      <c r="F173" t="n">
        <v>468</v>
      </c>
      <c r="G173" t="n">
        <v>468</v>
      </c>
    </row>
    <row r="174">
      <c r="A174" t="inlineStr">
        <is>
          <t>202607</t>
        </is>
      </c>
      <c r="B174" t="inlineStr">
        <is>
          <t>Andere</t>
        </is>
      </c>
      <c r="C174" t="inlineStr">
        <is>
          <t>A-02-75-2</t>
        </is>
      </c>
      <c r="D174" t="n">
        <v>336</v>
      </c>
      <c r="E174" t="n">
        <v>0</v>
      </c>
      <c r="F174" t="n">
        <v>336</v>
      </c>
      <c r="G174" t="n">
        <v>336</v>
      </c>
    </row>
    <row r="175">
      <c r="A175" t="inlineStr">
        <is>
          <t>202607</t>
        </is>
      </c>
      <c r="B175" t="inlineStr">
        <is>
          <t>Andere</t>
        </is>
      </c>
      <c r="C175" t="inlineStr">
        <is>
          <t>A-02-81-2</t>
        </is>
      </c>
      <c r="D175" t="n">
        <v>336</v>
      </c>
      <c r="E175" t="n">
        <v>0</v>
      </c>
      <c r="F175" t="n">
        <v>336</v>
      </c>
      <c r="G175" t="n">
        <v>336</v>
      </c>
    </row>
    <row r="176">
      <c r="A176" t="inlineStr">
        <is>
          <t>202607</t>
        </is>
      </c>
      <c r="B176" t="inlineStr">
        <is>
          <t>Andere</t>
        </is>
      </c>
      <c r="C176" t="inlineStr">
        <is>
          <t>A-02-85-2</t>
        </is>
      </c>
      <c r="D176" t="n">
        <v>264</v>
      </c>
      <c r="E176" t="n">
        <v>0</v>
      </c>
      <c r="F176" t="n">
        <v>264</v>
      </c>
      <c r="G176" t="n">
        <v>264</v>
      </c>
    </row>
    <row r="177">
      <c r="A177" t="inlineStr">
        <is>
          <t>202607</t>
        </is>
      </c>
      <c r="B177" t="inlineStr">
        <is>
          <t>Andere</t>
        </is>
      </c>
      <c r="C177" t="inlineStr">
        <is>
          <t>A-02-86-2</t>
        </is>
      </c>
      <c r="D177" t="n">
        <v>264</v>
      </c>
      <c r="E177" t="n">
        <v>0</v>
      </c>
      <c r="F177" t="n">
        <v>264</v>
      </c>
      <c r="G177" t="n">
        <v>264</v>
      </c>
    </row>
    <row r="178">
      <c r="A178" t="inlineStr">
        <is>
          <t>202607</t>
        </is>
      </c>
      <c r="B178" t="inlineStr">
        <is>
          <t>Andere</t>
        </is>
      </c>
      <c r="C178" t="inlineStr">
        <is>
          <t>A-02-107-2</t>
        </is>
      </c>
      <c r="D178" t="n">
        <v>372</v>
      </c>
      <c r="E178" t="n">
        <v>372</v>
      </c>
      <c r="F178" t="n">
        <v>0</v>
      </c>
      <c r="G178" t="n">
        <v>0</v>
      </c>
    </row>
    <row r="179">
      <c r="A179" t="inlineStr">
        <is>
          <t>202607</t>
        </is>
      </c>
      <c r="B179" t="inlineStr">
        <is>
          <t>Andere</t>
        </is>
      </c>
      <c r="C179" t="inlineStr">
        <is>
          <t>A-02-109-2</t>
        </is>
      </c>
      <c r="D179" t="n">
        <v>132</v>
      </c>
      <c r="E179" t="n">
        <v>132</v>
      </c>
      <c r="F179" t="n">
        <v>0</v>
      </c>
      <c r="G179" t="n">
        <v>0</v>
      </c>
    </row>
    <row r="180">
      <c r="A180" t="inlineStr">
        <is>
          <t>202608</t>
        </is>
      </c>
      <c r="B180" t="inlineStr">
        <is>
          <t>Andere</t>
        </is>
      </c>
      <c r="C180" t="inlineStr">
        <is>
          <t>FALEHMANNM</t>
        </is>
      </c>
      <c r="D180" t="n">
        <v>40009</v>
      </c>
      <c r="E180" t="n">
        <v>0</v>
      </c>
      <c r="F180" t="n">
        <v>40009</v>
      </c>
      <c r="G180" t="n">
        <v>40009</v>
      </c>
    </row>
    <row r="181">
      <c r="A181" t="inlineStr">
        <is>
          <t>202608</t>
        </is>
      </c>
      <c r="B181" t="inlineStr">
        <is>
          <t>Andere</t>
        </is>
      </c>
      <c r="C181" t="inlineStr">
        <is>
          <t>A-02-63-1</t>
        </is>
      </c>
      <c r="D181" t="n">
        <v>20009</v>
      </c>
      <c r="E181" t="n">
        <v>0</v>
      </c>
      <c r="F181" t="n">
        <v>20009</v>
      </c>
      <c r="G181" t="n">
        <v>20009</v>
      </c>
    </row>
    <row r="182">
      <c r="A182" t="inlineStr">
        <is>
          <t>202608</t>
        </is>
      </c>
      <c r="B182" t="inlineStr">
        <is>
          <t>Andere</t>
        </is>
      </c>
      <c r="C182" t="inlineStr">
        <is>
          <t>A-02-64-1</t>
        </is>
      </c>
      <c r="D182" t="n">
        <v>20000</v>
      </c>
      <c r="E182" t="n">
        <v>0</v>
      </c>
      <c r="F182" t="n">
        <v>20000</v>
      </c>
      <c r="G182" t="n">
        <v>20000</v>
      </c>
    </row>
    <row r="183">
      <c r="A183" t="inlineStr">
        <is>
          <t>202608</t>
        </is>
      </c>
      <c r="B183" t="inlineStr">
        <is>
          <t>Andere</t>
        </is>
      </c>
      <c r="C183" t="inlineStr">
        <is>
          <t>A-02-51-1</t>
        </is>
      </c>
      <c r="D183" t="n">
        <v>200</v>
      </c>
      <c r="E183" t="n">
        <v>200</v>
      </c>
      <c r="F183" t="n">
        <v>0</v>
      </c>
      <c r="G183" t="n">
        <v>0</v>
      </c>
    </row>
    <row r="184">
      <c r="A184" t="inlineStr">
        <is>
          <t>202608</t>
        </is>
      </c>
      <c r="B184" t="inlineStr">
        <is>
          <t>Andere</t>
        </is>
      </c>
      <c r="C184" t="inlineStr">
        <is>
          <t>FZ-01-19-1</t>
        </is>
      </c>
      <c r="D184" t="n">
        <v>90</v>
      </c>
      <c r="E184" t="n">
        <v>90</v>
      </c>
      <c r="F184" t="n">
        <v>0</v>
      </c>
      <c r="G184" t="n">
        <v>0</v>
      </c>
    </row>
    <row r="185">
      <c r="A185" t="inlineStr">
        <is>
          <t>202609</t>
        </is>
      </c>
      <c r="B185" t="inlineStr">
        <is>
          <t>Andere</t>
        </is>
      </c>
      <c r="C185" t="inlineStr">
        <is>
          <t>UNBEKANNT</t>
        </is>
      </c>
      <c r="D185" t="n">
        <v>22970</v>
      </c>
      <c r="E185" t="n">
        <v>0</v>
      </c>
      <c r="F185" t="n">
        <v>22970</v>
      </c>
      <c r="G185" t="n">
        <v>22970</v>
      </c>
    </row>
    <row r="186">
      <c r="A186" t="inlineStr">
        <is>
          <t>202609</t>
        </is>
      </c>
      <c r="B186" t="inlineStr">
        <is>
          <t>Andere</t>
        </is>
      </c>
      <c r="C186" t="inlineStr">
        <is>
          <t>A-02-19-1</t>
        </is>
      </c>
      <c r="D186" t="n">
        <v>4000</v>
      </c>
      <c r="E186" t="n">
        <v>0</v>
      </c>
      <c r="F186" t="n">
        <v>4000</v>
      </c>
      <c r="G186" t="n">
        <v>4000</v>
      </c>
    </row>
    <row r="187">
      <c r="A187" t="inlineStr">
        <is>
          <t>202609</t>
        </is>
      </c>
      <c r="B187" t="inlineStr">
        <is>
          <t>Andere</t>
        </is>
      </c>
      <c r="C187" t="inlineStr">
        <is>
          <t>FAWIEGHOLDD</t>
        </is>
      </c>
      <c r="D187" t="n">
        <v>2300</v>
      </c>
      <c r="E187" t="n">
        <v>0</v>
      </c>
      <c r="F187" t="n">
        <v>2300</v>
      </c>
      <c r="G187" t="n">
        <v>2300</v>
      </c>
    </row>
    <row r="188">
      <c r="A188" t="inlineStr">
        <is>
          <t>202609</t>
        </is>
      </c>
      <c r="B188" t="inlineStr">
        <is>
          <t>Andere</t>
        </is>
      </c>
      <c r="C188" t="inlineStr">
        <is>
          <t>FAHANSENMA</t>
        </is>
      </c>
      <c r="D188" t="n">
        <v>2270</v>
      </c>
      <c r="E188" t="n">
        <v>0</v>
      </c>
      <c r="F188" t="n">
        <v>2270</v>
      </c>
      <c r="G188" t="n">
        <v>2270</v>
      </c>
    </row>
    <row r="189">
      <c r="A189" t="inlineStr">
        <is>
          <t>202609</t>
        </is>
      </c>
      <c r="B189" t="inlineStr">
        <is>
          <t>Andere</t>
        </is>
      </c>
      <c r="C189" t="inlineStr">
        <is>
          <t>FAGEVERSF</t>
        </is>
      </c>
      <c r="D189" t="n">
        <v>1248</v>
      </c>
      <c r="E189" t="n">
        <v>0</v>
      </c>
      <c r="F189" t="n">
        <v>1248</v>
      </c>
      <c r="G189" t="n">
        <v>1248</v>
      </c>
    </row>
    <row r="190">
      <c r="A190" t="inlineStr">
        <is>
          <t>202609</t>
        </is>
      </c>
      <c r="B190" t="inlineStr">
        <is>
          <t>Andere</t>
        </is>
      </c>
      <c r="C190" t="inlineStr">
        <is>
          <t>FZ-02-42-1</t>
        </is>
      </c>
      <c r="D190" t="n">
        <v>1248</v>
      </c>
      <c r="E190" t="n">
        <v>0</v>
      </c>
      <c r="F190" t="n">
        <v>1248</v>
      </c>
      <c r="G190" t="n">
        <v>1248</v>
      </c>
    </row>
    <row r="191">
      <c r="A191" t="inlineStr">
        <is>
          <t>202609</t>
        </is>
      </c>
      <c r="B191" t="inlineStr">
        <is>
          <t>Andere</t>
        </is>
      </c>
      <c r="C191" t="inlineStr">
        <is>
          <t>FZ-02-14-2</t>
        </is>
      </c>
      <c r="D191" t="n">
        <v>420</v>
      </c>
      <c r="E191" t="n">
        <v>0</v>
      </c>
      <c r="F191" t="n">
        <v>420</v>
      </c>
      <c r="G191" t="n">
        <v>420</v>
      </c>
    </row>
    <row r="192">
      <c r="A192" t="inlineStr">
        <is>
          <t>202609</t>
        </is>
      </c>
      <c r="B192" t="inlineStr">
        <is>
          <t>Andere</t>
        </is>
      </c>
      <c r="C192" t="inlineStr">
        <is>
          <t>GC-02-01-1</t>
        </is>
      </c>
      <c r="D192" t="n">
        <v>240</v>
      </c>
      <c r="E192" t="n">
        <v>0</v>
      </c>
      <c r="F192" t="n">
        <v>240</v>
      </c>
      <c r="G192" t="n">
        <v>240</v>
      </c>
    </row>
    <row r="193">
      <c r="A193" t="inlineStr">
        <is>
          <t>202609</t>
        </is>
      </c>
      <c r="B193" t="inlineStr">
        <is>
          <t>Andere</t>
        </is>
      </c>
      <c r="C193" t="inlineStr">
        <is>
          <t>FALEHMANNM</t>
        </is>
      </c>
      <c r="D193" t="n">
        <v>200</v>
      </c>
      <c r="E193" t="n">
        <v>0</v>
      </c>
      <c r="F193" t="n">
        <v>200</v>
      </c>
      <c r="G193" t="n">
        <v>200</v>
      </c>
    </row>
    <row r="194">
      <c r="A194" t="inlineStr">
        <is>
          <t>202609</t>
        </is>
      </c>
      <c r="B194" t="inlineStr">
        <is>
          <t>Andere</t>
        </is>
      </c>
      <c r="C194" t="inlineStr">
        <is>
          <t>FAMATTICKT</t>
        </is>
      </c>
      <c r="D194" t="n">
        <v>120</v>
      </c>
      <c r="E194" t="n">
        <v>0</v>
      </c>
      <c r="F194" t="n">
        <v>120</v>
      </c>
      <c r="G194" t="n">
        <v>120</v>
      </c>
    </row>
    <row r="195">
      <c r="A195" t="inlineStr">
        <is>
          <t>202609</t>
        </is>
      </c>
      <c r="B195" t="inlineStr">
        <is>
          <t>Andere</t>
        </is>
      </c>
      <c r="C195" t="inlineStr">
        <is>
          <t>FAGROTHEERF</t>
        </is>
      </c>
      <c r="D195" t="n">
        <v>110</v>
      </c>
      <c r="E195" t="n">
        <v>0</v>
      </c>
      <c r="F195" t="n">
        <v>110</v>
      </c>
      <c r="G195" t="n">
        <v>110</v>
      </c>
    </row>
    <row r="196">
      <c r="A196" t="inlineStr">
        <is>
          <t>202609</t>
        </is>
      </c>
      <c r="B196" t="inlineStr">
        <is>
          <t>Andere</t>
        </is>
      </c>
      <c r="C196" t="inlineStr">
        <is>
          <t>A-02-39-1</t>
        </is>
      </c>
      <c r="D196" t="n">
        <v>100</v>
      </c>
      <c r="E196" t="n">
        <v>0</v>
      </c>
      <c r="F196" t="n">
        <v>100</v>
      </c>
      <c r="G196" t="n">
        <v>100</v>
      </c>
    </row>
    <row r="197">
      <c r="A197" t="inlineStr">
        <is>
          <t>202609</t>
        </is>
      </c>
      <c r="B197" t="inlineStr">
        <is>
          <t>Andere</t>
        </is>
      </c>
      <c r="C197" t="inlineStr">
        <is>
          <t>D-06-56-1</t>
        </is>
      </c>
      <c r="D197" t="n">
        <v>100</v>
      </c>
      <c r="E197" t="n">
        <v>0</v>
      </c>
      <c r="F197" t="n">
        <v>100</v>
      </c>
      <c r="G197" t="n">
        <v>100</v>
      </c>
    </row>
    <row r="198">
      <c r="A198" t="inlineStr">
        <is>
          <t>202609</t>
        </is>
      </c>
      <c r="B198" t="inlineStr">
        <is>
          <t>Andere</t>
        </is>
      </c>
      <c r="C198" t="inlineStr">
        <is>
          <t>D-06-47-3</t>
        </is>
      </c>
      <c r="D198" t="n">
        <v>90</v>
      </c>
      <c r="E198" t="n">
        <v>0</v>
      </c>
      <c r="F198" t="n">
        <v>90</v>
      </c>
      <c r="G198" t="n">
        <v>90</v>
      </c>
    </row>
    <row r="199">
      <c r="A199" t="inlineStr">
        <is>
          <t>202609</t>
        </is>
      </c>
      <c r="B199" t="inlineStr">
        <is>
          <t>Andere</t>
        </is>
      </c>
      <c r="C199" t="inlineStr">
        <is>
          <t>D-06-06-3</t>
        </is>
      </c>
      <c r="D199" t="n">
        <v>60</v>
      </c>
      <c r="E199" t="n">
        <v>0</v>
      </c>
      <c r="F199" t="n">
        <v>60</v>
      </c>
      <c r="G199" t="n">
        <v>60</v>
      </c>
    </row>
    <row r="200">
      <c r="A200" t="inlineStr">
        <is>
          <t>202609</t>
        </is>
      </c>
      <c r="B200" t="inlineStr">
        <is>
          <t>Andere</t>
        </is>
      </c>
      <c r="C200" t="inlineStr">
        <is>
          <t>D-06-08-3</t>
        </is>
      </c>
      <c r="D200" t="n">
        <v>60</v>
      </c>
      <c r="E200" t="n">
        <v>0</v>
      </c>
      <c r="F200" t="n">
        <v>60</v>
      </c>
      <c r="G200" t="n">
        <v>60</v>
      </c>
    </row>
    <row r="201">
      <c r="A201" t="inlineStr">
        <is>
          <t>202609</t>
        </is>
      </c>
      <c r="B201" t="inlineStr">
        <is>
          <t>Andere</t>
        </is>
      </c>
      <c r="C201" t="inlineStr">
        <is>
          <t>D-06-48-3</t>
        </is>
      </c>
      <c r="D201" t="n">
        <v>70</v>
      </c>
      <c r="E201" t="n">
        <v>10</v>
      </c>
      <c r="F201" t="n">
        <v>60</v>
      </c>
      <c r="G201" t="n">
        <v>60</v>
      </c>
    </row>
    <row r="202">
      <c r="A202" t="inlineStr">
        <is>
          <t>202609</t>
        </is>
      </c>
      <c r="B202" t="inlineStr">
        <is>
          <t>Andere</t>
        </is>
      </c>
      <c r="C202" t="inlineStr">
        <is>
          <t>D-06-26-3</t>
        </is>
      </c>
      <c r="D202" t="n">
        <v>50</v>
      </c>
      <c r="E202" t="n">
        <v>0</v>
      </c>
      <c r="F202" t="n">
        <v>50</v>
      </c>
      <c r="G202" t="n">
        <v>50</v>
      </c>
    </row>
    <row r="203">
      <c r="A203" t="inlineStr">
        <is>
          <t>202609</t>
        </is>
      </c>
      <c r="B203" t="inlineStr">
        <is>
          <t>Andere</t>
        </is>
      </c>
      <c r="C203" t="inlineStr">
        <is>
          <t>GC-02-02-1</t>
        </is>
      </c>
      <c r="D203" t="n">
        <v>50</v>
      </c>
      <c r="E203" t="n">
        <v>0</v>
      </c>
      <c r="F203" t="n">
        <v>50</v>
      </c>
      <c r="G203" t="n">
        <v>50</v>
      </c>
    </row>
    <row r="204">
      <c r="A204" t="inlineStr">
        <is>
          <t>202609</t>
        </is>
      </c>
      <c r="B204" t="inlineStr">
        <is>
          <t>Andere</t>
        </is>
      </c>
      <c r="C204" t="inlineStr">
        <is>
          <t>GC-02-03-2</t>
        </is>
      </c>
      <c r="D204" t="n">
        <v>50</v>
      </c>
      <c r="E204" t="n">
        <v>0</v>
      </c>
      <c r="F204" t="n">
        <v>50</v>
      </c>
      <c r="G204" t="n">
        <v>50</v>
      </c>
    </row>
    <row r="205">
      <c r="A205" t="inlineStr">
        <is>
          <t>202609</t>
        </is>
      </c>
      <c r="B205" t="inlineStr">
        <is>
          <t>Andere</t>
        </is>
      </c>
      <c r="C205" t="inlineStr">
        <is>
          <t>D-06-24-3</t>
        </is>
      </c>
      <c r="D205" t="n">
        <v>40</v>
      </c>
      <c r="E205" t="n">
        <v>0</v>
      </c>
      <c r="F205" t="n">
        <v>40</v>
      </c>
      <c r="G205" t="n">
        <v>40</v>
      </c>
    </row>
    <row r="206">
      <c r="A206" t="inlineStr">
        <is>
          <t>202609</t>
        </is>
      </c>
      <c r="B206" t="inlineStr">
        <is>
          <t>Andere</t>
        </is>
      </c>
      <c r="C206" t="inlineStr">
        <is>
          <t>D-06-46-3</t>
        </is>
      </c>
      <c r="D206" t="n">
        <v>30</v>
      </c>
      <c r="E206" t="n">
        <v>0</v>
      </c>
      <c r="F206" t="n">
        <v>30</v>
      </c>
      <c r="G206" t="n">
        <v>30</v>
      </c>
    </row>
    <row r="207">
      <c r="A207" t="inlineStr">
        <is>
          <t>202609</t>
        </is>
      </c>
      <c r="B207" t="inlineStr">
        <is>
          <t>Andere</t>
        </is>
      </c>
      <c r="C207" t="inlineStr">
        <is>
          <t>D-06-49-3</t>
        </is>
      </c>
      <c r="D207" t="n">
        <v>30</v>
      </c>
      <c r="E207" t="n">
        <v>0</v>
      </c>
      <c r="F207" t="n">
        <v>30</v>
      </c>
      <c r="G207" t="n">
        <v>30</v>
      </c>
    </row>
    <row r="208">
      <c r="A208" t="inlineStr">
        <is>
          <t>202609</t>
        </is>
      </c>
      <c r="B208" t="inlineStr">
        <is>
          <t>Andere</t>
        </is>
      </c>
      <c r="C208" t="inlineStr">
        <is>
          <t>D-06-50-3</t>
        </is>
      </c>
      <c r="D208" t="n">
        <v>30</v>
      </c>
      <c r="E208" t="n">
        <v>0</v>
      </c>
      <c r="F208" t="n">
        <v>30</v>
      </c>
      <c r="G208" t="n">
        <v>30</v>
      </c>
    </row>
    <row r="209">
      <c r="A209" t="inlineStr">
        <is>
          <t>202609</t>
        </is>
      </c>
      <c r="B209" t="inlineStr">
        <is>
          <t>Andere</t>
        </is>
      </c>
      <c r="C209" t="inlineStr">
        <is>
          <t>GC-02-01-3</t>
        </is>
      </c>
      <c r="D209" t="n">
        <v>30</v>
      </c>
      <c r="E209" t="n">
        <v>0</v>
      </c>
      <c r="F209" t="n">
        <v>30</v>
      </c>
      <c r="G209" t="n">
        <v>30</v>
      </c>
    </row>
    <row r="210">
      <c r="A210" t="inlineStr">
        <is>
          <t>202609</t>
        </is>
      </c>
      <c r="B210" t="inlineStr">
        <is>
          <t>Andere</t>
        </is>
      </c>
      <c r="C210" t="inlineStr">
        <is>
          <t>FZ-02-12-2</t>
        </is>
      </c>
      <c r="D210" t="n">
        <v>20</v>
      </c>
      <c r="E210" t="n">
        <v>0</v>
      </c>
      <c r="F210" t="n">
        <v>20</v>
      </c>
      <c r="G210" t="n">
        <v>20</v>
      </c>
    </row>
    <row r="211">
      <c r="A211" t="inlineStr">
        <is>
          <t>202609</t>
        </is>
      </c>
      <c r="B211" t="inlineStr">
        <is>
          <t>Andere</t>
        </is>
      </c>
      <c r="C211" t="inlineStr">
        <is>
          <t>SPI-WINDOW</t>
        </is>
      </c>
      <c r="D211" t="n">
        <v>20</v>
      </c>
      <c r="E211" t="n">
        <v>0</v>
      </c>
      <c r="F211" t="n">
        <v>20</v>
      </c>
      <c r="G211" t="n">
        <v>20</v>
      </c>
    </row>
    <row r="212">
      <c r="A212" t="inlineStr">
        <is>
          <t>202609</t>
        </is>
      </c>
      <c r="B212" t="inlineStr">
        <is>
          <t>Andere</t>
        </is>
      </c>
      <c r="C212" t="inlineStr">
        <is>
          <t>D-06-28-3</t>
        </is>
      </c>
      <c r="D212" t="n">
        <v>10</v>
      </c>
      <c r="E212" t="n">
        <v>0</v>
      </c>
      <c r="F212" t="n">
        <v>10</v>
      </c>
      <c r="G212" t="n">
        <v>10</v>
      </c>
    </row>
    <row r="213">
      <c r="A213" t="inlineStr">
        <is>
          <t>202609</t>
        </is>
      </c>
      <c r="B213" t="inlineStr">
        <is>
          <t>Andere</t>
        </is>
      </c>
      <c r="C213" t="inlineStr">
        <is>
          <t>D-06-40-2</t>
        </is>
      </c>
      <c r="D213" t="n">
        <v>10</v>
      </c>
      <c r="E213" t="n">
        <v>0</v>
      </c>
      <c r="F213" t="n">
        <v>10</v>
      </c>
      <c r="G213" t="n">
        <v>10</v>
      </c>
    </row>
    <row r="214">
      <c r="A214" t="inlineStr">
        <is>
          <t>202609</t>
        </is>
      </c>
      <c r="B214" t="inlineStr">
        <is>
          <t>Andere</t>
        </is>
      </c>
      <c r="C214" t="inlineStr">
        <is>
          <t>D-06-49-2</t>
        </is>
      </c>
      <c r="D214" t="n">
        <v>10</v>
      </c>
      <c r="E214" t="n">
        <v>0</v>
      </c>
      <c r="F214" t="n">
        <v>10</v>
      </c>
      <c r="G214" t="n">
        <v>10</v>
      </c>
    </row>
    <row r="215">
      <c r="A215" t="inlineStr">
        <is>
          <t>202609</t>
        </is>
      </c>
      <c r="B215" t="inlineStr">
        <is>
          <t>Andere</t>
        </is>
      </c>
      <c r="C215" t="inlineStr">
        <is>
          <t>FZ-01-22-1</t>
        </is>
      </c>
      <c r="D215" t="n">
        <v>10</v>
      </c>
      <c r="E215" t="n">
        <v>0</v>
      </c>
      <c r="F215" t="n">
        <v>10</v>
      </c>
      <c r="G215" t="n">
        <v>10</v>
      </c>
    </row>
    <row r="216">
      <c r="A216" t="inlineStr">
        <is>
          <t>202609</t>
        </is>
      </c>
      <c r="B216" t="inlineStr">
        <is>
          <t>Andere</t>
        </is>
      </c>
      <c r="C216" t="inlineStr">
        <is>
          <t>GC-02-02-3</t>
        </is>
      </c>
      <c r="D216" t="n">
        <v>10</v>
      </c>
      <c r="E216" t="n">
        <v>0</v>
      </c>
      <c r="F216" t="n">
        <v>10</v>
      </c>
      <c r="G216" t="n">
        <v>10</v>
      </c>
    </row>
    <row r="217">
      <c r="A217" t="inlineStr">
        <is>
          <t>202609</t>
        </is>
      </c>
      <c r="B217" t="inlineStr">
        <is>
          <t>Andere</t>
        </is>
      </c>
      <c r="C217" t="inlineStr">
        <is>
          <t>D-06-42-3</t>
        </is>
      </c>
      <c r="D217" t="n">
        <v>2</v>
      </c>
      <c r="E217" t="n">
        <v>0</v>
      </c>
      <c r="F217" t="n">
        <v>2</v>
      </c>
      <c r="G217" t="n">
        <v>2</v>
      </c>
    </row>
    <row r="218">
      <c r="A218" t="inlineStr">
        <is>
          <t>202609</t>
        </is>
      </c>
      <c r="B218" t="inlineStr">
        <is>
          <t>Andere</t>
        </is>
      </c>
      <c r="C218" t="inlineStr">
        <is>
          <t>A-01-04-1</t>
        </is>
      </c>
      <c r="D218" t="n">
        <v>400</v>
      </c>
      <c r="E218" t="n">
        <v>400</v>
      </c>
      <c r="F218" t="n">
        <v>0</v>
      </c>
      <c r="G218" t="n">
        <v>0</v>
      </c>
    </row>
    <row r="219">
      <c r="A219" t="inlineStr">
        <is>
          <t>202609</t>
        </is>
      </c>
      <c r="B219" t="inlineStr">
        <is>
          <t>Andere</t>
        </is>
      </c>
      <c r="C219" t="inlineStr">
        <is>
          <t>A-01-05-1</t>
        </is>
      </c>
      <c r="D219" t="n">
        <v>400</v>
      </c>
      <c r="E219" t="n">
        <v>400</v>
      </c>
      <c r="F219" t="n">
        <v>0</v>
      </c>
      <c r="G219" t="n">
        <v>0</v>
      </c>
    </row>
    <row r="220">
      <c r="A220" t="inlineStr">
        <is>
          <t>202609</t>
        </is>
      </c>
      <c r="B220" t="inlineStr">
        <is>
          <t>Andere</t>
        </is>
      </c>
      <c r="C220" t="inlineStr">
        <is>
          <t>A-01-06-1</t>
        </is>
      </c>
      <c r="D220" t="n">
        <v>200</v>
      </c>
      <c r="E220" t="n">
        <v>200</v>
      </c>
      <c r="F220" t="n">
        <v>0</v>
      </c>
      <c r="G220" t="n">
        <v>0</v>
      </c>
    </row>
    <row r="221">
      <c r="A221" t="inlineStr">
        <is>
          <t>202609</t>
        </is>
      </c>
      <c r="B221" t="inlineStr">
        <is>
          <t>Andere</t>
        </is>
      </c>
      <c r="C221" t="inlineStr">
        <is>
          <t>A-01-07-1</t>
        </is>
      </c>
      <c r="D221" t="n">
        <v>400</v>
      </c>
      <c r="E221" t="n">
        <v>400</v>
      </c>
      <c r="F221" t="n">
        <v>0</v>
      </c>
      <c r="G221" t="n">
        <v>0</v>
      </c>
    </row>
    <row r="222">
      <c r="A222" t="inlineStr">
        <is>
          <t>202609</t>
        </is>
      </c>
      <c r="B222" t="inlineStr">
        <is>
          <t>Andere</t>
        </is>
      </c>
      <c r="C222" t="inlineStr">
        <is>
          <t>A-01-31-1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202609</t>
        </is>
      </c>
      <c r="B223" t="inlineStr">
        <is>
          <t>Andere</t>
        </is>
      </c>
      <c r="C223" t="inlineStr">
        <is>
          <t>A-02-34-2</t>
        </is>
      </c>
      <c r="D223" t="n">
        <v>186</v>
      </c>
      <c r="E223" t="n">
        <v>186</v>
      </c>
      <c r="F223" t="n">
        <v>0</v>
      </c>
      <c r="G223" t="n">
        <v>0</v>
      </c>
    </row>
    <row r="224">
      <c r="A224" t="inlineStr">
        <is>
          <t>202609</t>
        </is>
      </c>
      <c r="B224" t="inlineStr">
        <is>
          <t>Andere</t>
        </is>
      </c>
      <c r="C224" t="inlineStr">
        <is>
          <t>A-02-40-1</t>
        </is>
      </c>
      <c r="D224" t="n">
        <v>180</v>
      </c>
      <c r="E224" t="n">
        <v>180</v>
      </c>
      <c r="F224" t="n">
        <v>0</v>
      </c>
      <c r="G224" t="n">
        <v>0</v>
      </c>
    </row>
    <row r="225">
      <c r="A225" t="inlineStr">
        <is>
          <t>202609</t>
        </is>
      </c>
      <c r="B225" t="inlineStr">
        <is>
          <t>Andere</t>
        </is>
      </c>
      <c r="C225" t="inlineStr">
        <is>
          <t>FZ-02-15-2</t>
        </is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202609</t>
        </is>
      </c>
      <c r="B226" t="inlineStr">
        <is>
          <t>Andere</t>
        </is>
      </c>
      <c r="C226" t="inlineStr">
        <is>
          <t>GC-02-01-2</t>
        </is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202609</t>
        </is>
      </c>
      <c r="B227" t="inlineStr">
        <is>
          <t>Andere</t>
        </is>
      </c>
      <c r="C227" t="inlineStr">
        <is>
          <t>GC-02-02-2</t>
        </is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202609</t>
        </is>
      </c>
      <c r="B228" t="inlineStr">
        <is>
          <t>Andere</t>
        </is>
      </c>
      <c r="C228" t="inlineStr">
        <is>
          <t>GC-02-03-3</t>
        </is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202609</t>
        </is>
      </c>
      <c r="B229" t="inlineStr">
        <is>
          <t>Lager</t>
        </is>
      </c>
      <c r="C229" t="inlineStr">
        <is>
          <t>STGDR-27</t>
        </is>
      </c>
      <c r="D229" t="n">
        <v>4570</v>
      </c>
      <c r="E229" t="n">
        <v>0</v>
      </c>
      <c r="F229" t="n">
        <v>4570</v>
      </c>
      <c r="G229" t="n">
        <v>4570</v>
      </c>
    </row>
    <row r="230">
      <c r="A230" t="inlineStr">
        <is>
          <t>202610</t>
        </is>
      </c>
      <c r="B230" t="inlineStr">
        <is>
          <t>Andere</t>
        </is>
      </c>
      <c r="C230" t="inlineStr">
        <is>
          <t>FALEHMANNM</t>
        </is>
      </c>
      <c r="D230" t="n">
        <v>167312</v>
      </c>
      <c r="E230" t="n">
        <v>0</v>
      </c>
      <c r="F230" t="n">
        <v>167312</v>
      </c>
      <c r="G230" t="n">
        <v>167312</v>
      </c>
    </row>
    <row r="231">
      <c r="A231" t="inlineStr">
        <is>
          <t>202610</t>
        </is>
      </c>
      <c r="B231" t="inlineStr">
        <is>
          <t>Andere</t>
        </is>
      </c>
      <c r="C231" t="inlineStr">
        <is>
          <t>FAWIEGHOLDD</t>
        </is>
      </c>
      <c r="D231" t="n">
        <v>76820</v>
      </c>
      <c r="E231" t="n">
        <v>0</v>
      </c>
      <c r="F231" t="n">
        <v>76820</v>
      </c>
      <c r="G231" t="n">
        <v>76820</v>
      </c>
    </row>
    <row r="232">
      <c r="A232" t="inlineStr">
        <is>
          <t>202610</t>
        </is>
      </c>
      <c r="B232" t="inlineStr">
        <is>
          <t>Andere</t>
        </is>
      </c>
      <c r="C232" t="inlineStr">
        <is>
          <t>FAGEVERSF</t>
        </is>
      </c>
      <c r="D232" t="n">
        <v>50080</v>
      </c>
      <c r="E232" t="n">
        <v>0</v>
      </c>
      <c r="F232" t="n">
        <v>50080</v>
      </c>
      <c r="G232" t="n">
        <v>50080</v>
      </c>
    </row>
    <row r="233">
      <c r="A233" t="inlineStr">
        <is>
          <t>202610</t>
        </is>
      </c>
      <c r="B233" t="inlineStr">
        <is>
          <t>Andere</t>
        </is>
      </c>
      <c r="C233" t="inlineStr">
        <is>
          <t>FAGROTHEERF</t>
        </is>
      </c>
      <c r="D233" t="n">
        <v>16732</v>
      </c>
      <c r="E233" t="n">
        <v>0</v>
      </c>
      <c r="F233" t="n">
        <v>16732</v>
      </c>
      <c r="G233" t="n">
        <v>16732</v>
      </c>
    </row>
    <row r="234">
      <c r="A234" t="inlineStr">
        <is>
          <t>202610</t>
        </is>
      </c>
      <c r="B234" t="inlineStr">
        <is>
          <t>Andere</t>
        </is>
      </c>
      <c r="C234" t="inlineStr">
        <is>
          <t>A-02-05-1</t>
        </is>
      </c>
      <c r="D234" t="n">
        <v>16100</v>
      </c>
      <c r="E234" t="n">
        <v>0</v>
      </c>
      <c r="F234" t="n">
        <v>16100</v>
      </c>
      <c r="G234" t="n">
        <v>16100</v>
      </c>
    </row>
    <row r="235">
      <c r="A235" t="inlineStr">
        <is>
          <t>202610</t>
        </is>
      </c>
      <c r="B235" t="inlineStr">
        <is>
          <t>Andere</t>
        </is>
      </c>
      <c r="C235" t="inlineStr">
        <is>
          <t>A-02-06-1</t>
        </is>
      </c>
      <c r="D235" t="n">
        <v>16100</v>
      </c>
      <c r="E235" t="n">
        <v>0</v>
      </c>
      <c r="F235" t="n">
        <v>16100</v>
      </c>
      <c r="G235" t="n">
        <v>16100</v>
      </c>
    </row>
    <row r="236">
      <c r="A236" t="inlineStr">
        <is>
          <t>202610</t>
        </is>
      </c>
      <c r="B236" t="inlineStr">
        <is>
          <t>Andere</t>
        </is>
      </c>
      <c r="C236" t="inlineStr">
        <is>
          <t>A-02-07-1</t>
        </is>
      </c>
      <c r="D236" t="n">
        <v>16100</v>
      </c>
      <c r="E236" t="n">
        <v>0</v>
      </c>
      <c r="F236" t="n">
        <v>16100</v>
      </c>
      <c r="G236" t="n">
        <v>16100</v>
      </c>
    </row>
    <row r="237">
      <c r="A237" t="inlineStr">
        <is>
          <t>202610</t>
        </is>
      </c>
      <c r="B237" t="inlineStr">
        <is>
          <t>Andere</t>
        </is>
      </c>
      <c r="C237" t="inlineStr">
        <is>
          <t>A-02-08-1</t>
        </is>
      </c>
      <c r="D237" t="n">
        <v>16100</v>
      </c>
      <c r="E237" t="n">
        <v>0</v>
      </c>
      <c r="F237" t="n">
        <v>16100</v>
      </c>
      <c r="G237" t="n">
        <v>16100</v>
      </c>
    </row>
    <row r="238">
      <c r="A238" t="inlineStr">
        <is>
          <t>202610</t>
        </is>
      </c>
      <c r="B238" t="inlineStr">
        <is>
          <t>Andere</t>
        </is>
      </c>
      <c r="C238" t="inlineStr">
        <is>
          <t>A-02-09-1</t>
        </is>
      </c>
      <c r="D238" t="n">
        <v>16100</v>
      </c>
      <c r="E238" t="n">
        <v>0</v>
      </c>
      <c r="F238" t="n">
        <v>16100</v>
      </c>
      <c r="G238" t="n">
        <v>16100</v>
      </c>
    </row>
    <row r="239">
      <c r="A239" t="inlineStr">
        <is>
          <t>202610</t>
        </is>
      </c>
      <c r="B239" t="inlineStr">
        <is>
          <t>Andere</t>
        </is>
      </c>
      <c r="C239" t="inlineStr">
        <is>
          <t>A-02-10-1</t>
        </is>
      </c>
      <c r="D239" t="n">
        <v>16100</v>
      </c>
      <c r="E239" t="n">
        <v>0</v>
      </c>
      <c r="F239" t="n">
        <v>16100</v>
      </c>
      <c r="G239" t="n">
        <v>16100</v>
      </c>
    </row>
    <row r="240">
      <c r="A240" t="inlineStr">
        <is>
          <t>202610</t>
        </is>
      </c>
      <c r="B240" t="inlineStr">
        <is>
          <t>Andere</t>
        </is>
      </c>
      <c r="C240" t="inlineStr">
        <is>
          <t>A-02-11-1</t>
        </is>
      </c>
      <c r="D240" t="n">
        <v>16100</v>
      </c>
      <c r="E240" t="n">
        <v>0</v>
      </c>
      <c r="F240" t="n">
        <v>16100</v>
      </c>
      <c r="G240" t="n">
        <v>16100</v>
      </c>
    </row>
    <row r="241">
      <c r="A241" t="inlineStr">
        <is>
          <t>202610</t>
        </is>
      </c>
      <c r="B241" t="inlineStr">
        <is>
          <t>Andere</t>
        </is>
      </c>
      <c r="C241" t="inlineStr">
        <is>
          <t>A-02-12-1</t>
        </is>
      </c>
      <c r="D241" t="n">
        <v>16100</v>
      </c>
      <c r="E241" t="n">
        <v>0</v>
      </c>
      <c r="F241" t="n">
        <v>16100</v>
      </c>
      <c r="G241" t="n">
        <v>16100</v>
      </c>
    </row>
    <row r="242">
      <c r="A242" t="inlineStr">
        <is>
          <t>202610</t>
        </is>
      </c>
      <c r="B242" t="inlineStr">
        <is>
          <t>Andere</t>
        </is>
      </c>
      <c r="C242" t="inlineStr">
        <is>
          <t>A-02-16-1</t>
        </is>
      </c>
      <c r="D242" t="n">
        <v>16100</v>
      </c>
      <c r="E242" t="n">
        <v>0</v>
      </c>
      <c r="F242" t="n">
        <v>16100</v>
      </c>
      <c r="G242" t="n">
        <v>16100</v>
      </c>
    </row>
    <row r="243">
      <c r="A243" t="inlineStr">
        <is>
          <t>202610</t>
        </is>
      </c>
      <c r="B243" t="inlineStr">
        <is>
          <t>Andere</t>
        </is>
      </c>
      <c r="C243" t="inlineStr">
        <is>
          <t>A-02-18-1</t>
        </is>
      </c>
      <c r="D243" t="n">
        <v>16100</v>
      </c>
      <c r="E243" t="n">
        <v>0</v>
      </c>
      <c r="F243" t="n">
        <v>16100</v>
      </c>
      <c r="G243" t="n">
        <v>16100</v>
      </c>
    </row>
    <row r="244">
      <c r="A244" t="inlineStr">
        <is>
          <t>202610</t>
        </is>
      </c>
      <c r="B244" t="inlineStr">
        <is>
          <t>Andere</t>
        </is>
      </c>
      <c r="C244" t="inlineStr">
        <is>
          <t>A-02-21-1</t>
        </is>
      </c>
      <c r="D244" t="n">
        <v>16100</v>
      </c>
      <c r="E244" t="n">
        <v>0</v>
      </c>
      <c r="F244" t="n">
        <v>16100</v>
      </c>
      <c r="G244" t="n">
        <v>16100</v>
      </c>
    </row>
    <row r="245">
      <c r="A245" t="inlineStr">
        <is>
          <t>202610</t>
        </is>
      </c>
      <c r="B245" t="inlineStr">
        <is>
          <t>Andere</t>
        </is>
      </c>
      <c r="C245" t="inlineStr">
        <is>
          <t>A-02-22-1</t>
        </is>
      </c>
      <c r="D245" t="n">
        <v>16100</v>
      </c>
      <c r="E245" t="n">
        <v>0</v>
      </c>
      <c r="F245" t="n">
        <v>16100</v>
      </c>
      <c r="G245" t="n">
        <v>16100</v>
      </c>
    </row>
    <row r="246">
      <c r="A246" t="inlineStr">
        <is>
          <t>202610</t>
        </is>
      </c>
      <c r="B246" t="inlineStr">
        <is>
          <t>Andere</t>
        </is>
      </c>
      <c r="C246" t="inlineStr">
        <is>
          <t>A-02-31-1</t>
        </is>
      </c>
      <c r="D246" t="n">
        <v>16100</v>
      </c>
      <c r="E246" t="n">
        <v>0</v>
      </c>
      <c r="F246" t="n">
        <v>16100</v>
      </c>
      <c r="G246" t="n">
        <v>16100</v>
      </c>
    </row>
    <row r="247">
      <c r="A247" t="inlineStr">
        <is>
          <t>202610</t>
        </is>
      </c>
      <c r="B247" t="inlineStr">
        <is>
          <t>Andere</t>
        </is>
      </c>
      <c r="C247" t="inlineStr">
        <is>
          <t>A-02-32-1</t>
        </is>
      </c>
      <c r="D247" t="n">
        <v>16100</v>
      </c>
      <c r="E247" t="n">
        <v>0</v>
      </c>
      <c r="F247" t="n">
        <v>16100</v>
      </c>
      <c r="G247" t="n">
        <v>16100</v>
      </c>
    </row>
    <row r="248">
      <c r="A248" t="inlineStr">
        <is>
          <t>202610</t>
        </is>
      </c>
      <c r="B248" t="inlineStr">
        <is>
          <t>Andere</t>
        </is>
      </c>
      <c r="C248" t="inlineStr">
        <is>
          <t>A-02-33-1</t>
        </is>
      </c>
      <c r="D248" t="n">
        <v>16100</v>
      </c>
      <c r="E248" t="n">
        <v>0</v>
      </c>
      <c r="F248" t="n">
        <v>16100</v>
      </c>
      <c r="G248" t="n">
        <v>16100</v>
      </c>
    </row>
    <row r="249">
      <c r="A249" t="inlineStr">
        <is>
          <t>202610</t>
        </is>
      </c>
      <c r="B249" t="inlineStr">
        <is>
          <t>Andere</t>
        </is>
      </c>
      <c r="C249" t="inlineStr">
        <is>
          <t>A-02-34-1</t>
        </is>
      </c>
      <c r="D249" t="n">
        <v>16100</v>
      </c>
      <c r="E249" t="n">
        <v>0</v>
      </c>
      <c r="F249" t="n">
        <v>16100</v>
      </c>
      <c r="G249" t="n">
        <v>16100</v>
      </c>
    </row>
    <row r="250">
      <c r="A250" t="inlineStr">
        <is>
          <t>202610</t>
        </is>
      </c>
      <c r="B250" t="inlineStr">
        <is>
          <t>Andere</t>
        </is>
      </c>
      <c r="C250" t="inlineStr">
        <is>
          <t>A-02-35-1</t>
        </is>
      </c>
      <c r="D250" t="n">
        <v>16100</v>
      </c>
      <c r="E250" t="n">
        <v>0</v>
      </c>
      <c r="F250" t="n">
        <v>16100</v>
      </c>
      <c r="G250" t="n">
        <v>16100</v>
      </c>
    </row>
    <row r="251">
      <c r="A251" t="inlineStr">
        <is>
          <t>202610</t>
        </is>
      </c>
      <c r="B251" t="inlineStr">
        <is>
          <t>Andere</t>
        </is>
      </c>
      <c r="C251" t="inlineStr">
        <is>
          <t>A-02-04-1</t>
        </is>
      </c>
      <c r="D251" t="n">
        <v>15640</v>
      </c>
      <c r="E251" t="n">
        <v>0</v>
      </c>
      <c r="F251" t="n">
        <v>15640</v>
      </c>
      <c r="G251" t="n">
        <v>15640</v>
      </c>
    </row>
    <row r="252">
      <c r="A252" t="inlineStr">
        <is>
          <t>202610</t>
        </is>
      </c>
      <c r="B252" t="inlineStr">
        <is>
          <t>Andere</t>
        </is>
      </c>
      <c r="C252" t="inlineStr">
        <is>
          <t>A-02-02-2</t>
        </is>
      </c>
      <c r="D252" t="n">
        <v>7360</v>
      </c>
      <c r="E252" t="n">
        <v>0</v>
      </c>
      <c r="F252" t="n">
        <v>7360</v>
      </c>
      <c r="G252" t="n">
        <v>7360</v>
      </c>
    </row>
    <row r="253">
      <c r="A253" t="inlineStr">
        <is>
          <t>202610</t>
        </is>
      </c>
      <c r="B253" t="inlineStr">
        <is>
          <t>Andere</t>
        </is>
      </c>
      <c r="C253" t="inlineStr">
        <is>
          <t>A-02-02-3</t>
        </is>
      </c>
      <c r="D253" t="n">
        <v>5060</v>
      </c>
      <c r="E253" t="n">
        <v>0</v>
      </c>
      <c r="F253" t="n">
        <v>5060</v>
      </c>
      <c r="G253" t="n">
        <v>5060</v>
      </c>
    </row>
    <row r="254">
      <c r="A254" t="inlineStr">
        <is>
          <t>202610</t>
        </is>
      </c>
      <c r="B254" t="inlineStr">
        <is>
          <t>Andere</t>
        </is>
      </c>
      <c r="C254" t="inlineStr">
        <is>
          <t>GERMANY</t>
        </is>
      </c>
      <c r="D254" t="n">
        <v>5060</v>
      </c>
      <c r="E254" t="n">
        <v>0</v>
      </c>
      <c r="F254" t="n">
        <v>5060</v>
      </c>
      <c r="G254" t="n">
        <v>5060</v>
      </c>
    </row>
    <row r="255">
      <c r="A255" t="inlineStr">
        <is>
          <t>202610</t>
        </is>
      </c>
      <c r="B255" t="inlineStr">
        <is>
          <t>Andere</t>
        </is>
      </c>
      <c r="C255" t="inlineStr">
        <is>
          <t>FAMATTICKT</t>
        </is>
      </c>
      <c r="D255" t="n">
        <v>2575</v>
      </c>
      <c r="E255" t="n">
        <v>0</v>
      </c>
      <c r="F255" t="n">
        <v>2575</v>
      </c>
      <c r="G255" t="n">
        <v>2575</v>
      </c>
    </row>
    <row r="256">
      <c r="A256" t="inlineStr">
        <is>
          <t>202610</t>
        </is>
      </c>
      <c r="B256" t="inlineStr">
        <is>
          <t>Andere</t>
        </is>
      </c>
      <c r="C256" t="inlineStr">
        <is>
          <t>D-06-22-2</t>
        </is>
      </c>
      <c r="D256" t="n">
        <v>750</v>
      </c>
      <c r="E256" t="n">
        <v>10</v>
      </c>
      <c r="F256" t="n">
        <v>740</v>
      </c>
      <c r="G256" t="n">
        <v>740</v>
      </c>
    </row>
    <row r="257">
      <c r="A257" t="inlineStr">
        <is>
          <t>202610</t>
        </is>
      </c>
      <c r="B257" t="inlineStr">
        <is>
          <t>Andere</t>
        </is>
      </c>
      <c r="C257" t="inlineStr">
        <is>
          <t>D-06-01-2</t>
        </is>
      </c>
      <c r="D257" t="n">
        <v>700</v>
      </c>
      <c r="E257" t="n">
        <v>0</v>
      </c>
      <c r="F257" t="n">
        <v>700</v>
      </c>
      <c r="G257" t="n">
        <v>700</v>
      </c>
    </row>
    <row r="258">
      <c r="A258" t="inlineStr">
        <is>
          <t>202610</t>
        </is>
      </c>
      <c r="B258" t="inlineStr">
        <is>
          <t>Andere</t>
        </is>
      </c>
      <c r="C258" t="inlineStr">
        <is>
          <t>D-06-02-1</t>
        </is>
      </c>
      <c r="D258" t="n">
        <v>700</v>
      </c>
      <c r="E258" t="n">
        <v>0</v>
      </c>
      <c r="F258" t="n">
        <v>700</v>
      </c>
      <c r="G258" t="n">
        <v>700</v>
      </c>
    </row>
    <row r="259">
      <c r="A259" t="inlineStr">
        <is>
          <t>202610</t>
        </is>
      </c>
      <c r="B259" t="inlineStr">
        <is>
          <t>Andere</t>
        </is>
      </c>
      <c r="C259" t="inlineStr">
        <is>
          <t>D-06-28-2</t>
        </is>
      </c>
      <c r="D259" t="n">
        <v>650</v>
      </c>
      <c r="E259" t="n">
        <v>0</v>
      </c>
      <c r="F259" t="n">
        <v>650</v>
      </c>
      <c r="G259" t="n">
        <v>650</v>
      </c>
    </row>
    <row r="260">
      <c r="A260" t="inlineStr">
        <is>
          <t>202610</t>
        </is>
      </c>
      <c r="B260" t="inlineStr">
        <is>
          <t>Andere</t>
        </is>
      </c>
      <c r="C260" t="inlineStr">
        <is>
          <t>D-06-31-2</t>
        </is>
      </c>
      <c r="D260" t="n">
        <v>640</v>
      </c>
      <c r="E260" t="n">
        <v>0</v>
      </c>
      <c r="F260" t="n">
        <v>640</v>
      </c>
      <c r="G260" t="n">
        <v>640</v>
      </c>
    </row>
    <row r="261">
      <c r="A261" t="inlineStr">
        <is>
          <t>202610</t>
        </is>
      </c>
      <c r="B261" t="inlineStr">
        <is>
          <t>Andere</t>
        </is>
      </c>
      <c r="C261" t="inlineStr">
        <is>
          <t>A-01-12-3</t>
        </is>
      </c>
      <c r="D261" t="n">
        <v>400</v>
      </c>
      <c r="E261" t="n">
        <v>0</v>
      </c>
      <c r="F261" t="n">
        <v>400</v>
      </c>
      <c r="G261" t="n">
        <v>400</v>
      </c>
    </row>
    <row r="262">
      <c r="A262" t="inlineStr">
        <is>
          <t>202610</t>
        </is>
      </c>
      <c r="B262" t="inlineStr">
        <is>
          <t>Andere</t>
        </is>
      </c>
      <c r="C262" t="inlineStr">
        <is>
          <t>A-01-13-3</t>
        </is>
      </c>
      <c r="D262" t="n">
        <v>400</v>
      </c>
      <c r="E262" t="n">
        <v>0</v>
      </c>
      <c r="F262" t="n">
        <v>400</v>
      </c>
      <c r="G262" t="n">
        <v>400</v>
      </c>
    </row>
    <row r="263">
      <c r="A263" t="inlineStr">
        <is>
          <t>202610</t>
        </is>
      </c>
      <c r="B263" t="inlineStr">
        <is>
          <t>Andere</t>
        </is>
      </c>
      <c r="C263" t="inlineStr">
        <is>
          <t>A-01-19-3</t>
        </is>
      </c>
      <c r="D263" t="n">
        <v>400</v>
      </c>
      <c r="E263" t="n">
        <v>0</v>
      </c>
      <c r="F263" t="n">
        <v>400</v>
      </c>
      <c r="G263" t="n">
        <v>400</v>
      </c>
    </row>
    <row r="264">
      <c r="A264" t="inlineStr">
        <is>
          <t>202610</t>
        </is>
      </c>
      <c r="B264" t="inlineStr">
        <is>
          <t>Andere</t>
        </is>
      </c>
      <c r="C264" t="inlineStr">
        <is>
          <t>A-01-21-2</t>
        </is>
      </c>
      <c r="D264" t="n">
        <v>400</v>
      </c>
      <c r="E264" t="n">
        <v>0</v>
      </c>
      <c r="F264" t="n">
        <v>400</v>
      </c>
      <c r="G264" t="n">
        <v>400</v>
      </c>
    </row>
    <row r="265">
      <c r="A265" t="inlineStr">
        <is>
          <t>202610</t>
        </is>
      </c>
      <c r="B265" t="inlineStr">
        <is>
          <t>Andere</t>
        </is>
      </c>
      <c r="C265" t="inlineStr">
        <is>
          <t>A-01-22-2</t>
        </is>
      </c>
      <c r="D265" t="n">
        <v>400</v>
      </c>
      <c r="E265" t="n">
        <v>0</v>
      </c>
      <c r="F265" t="n">
        <v>400</v>
      </c>
      <c r="G265" t="n">
        <v>400</v>
      </c>
    </row>
    <row r="266">
      <c r="A266" t="inlineStr">
        <is>
          <t>202610</t>
        </is>
      </c>
      <c r="B266" t="inlineStr">
        <is>
          <t>Andere</t>
        </is>
      </c>
      <c r="C266" t="inlineStr">
        <is>
          <t>A-01-27-2</t>
        </is>
      </c>
      <c r="D266" t="n">
        <v>400</v>
      </c>
      <c r="E266" t="n">
        <v>0</v>
      </c>
      <c r="F266" t="n">
        <v>400</v>
      </c>
      <c r="G266" t="n">
        <v>400</v>
      </c>
    </row>
    <row r="267">
      <c r="A267" t="inlineStr">
        <is>
          <t>202610</t>
        </is>
      </c>
      <c r="B267" t="inlineStr">
        <is>
          <t>Andere</t>
        </is>
      </c>
      <c r="C267" t="inlineStr">
        <is>
          <t>FAFURMANNB</t>
        </is>
      </c>
      <c r="D267" t="n">
        <v>400</v>
      </c>
      <c r="E267" t="n">
        <v>0</v>
      </c>
      <c r="F267" t="n">
        <v>400</v>
      </c>
      <c r="G267" t="n">
        <v>400</v>
      </c>
    </row>
    <row r="268">
      <c r="A268" t="inlineStr">
        <is>
          <t>202610</t>
        </is>
      </c>
      <c r="B268" t="inlineStr">
        <is>
          <t>Andere</t>
        </is>
      </c>
      <c r="C268" t="inlineStr">
        <is>
          <t>A-02-68-3</t>
        </is>
      </c>
      <c r="D268" t="n">
        <v>372</v>
      </c>
      <c r="E268" t="n">
        <v>0</v>
      </c>
      <c r="F268" t="n">
        <v>372</v>
      </c>
      <c r="G268" t="n">
        <v>372</v>
      </c>
    </row>
    <row r="269">
      <c r="A269" t="inlineStr">
        <is>
          <t>202610</t>
        </is>
      </c>
      <c r="B269" t="inlineStr">
        <is>
          <t>Andere</t>
        </is>
      </c>
      <c r="C269" t="inlineStr">
        <is>
          <t>FASCHRADERS</t>
        </is>
      </c>
      <c r="D269" t="n">
        <v>360</v>
      </c>
      <c r="E269" t="n">
        <v>0</v>
      </c>
      <c r="F269" t="n">
        <v>360</v>
      </c>
      <c r="G269" t="n">
        <v>360</v>
      </c>
    </row>
    <row r="270">
      <c r="A270" t="inlineStr">
        <is>
          <t>202610</t>
        </is>
      </c>
      <c r="B270" t="inlineStr">
        <is>
          <t>Andere</t>
        </is>
      </c>
      <c r="C270" t="inlineStr">
        <is>
          <t>D-06-29-2</t>
        </is>
      </c>
      <c r="D270" t="n">
        <v>280.5</v>
      </c>
      <c r="E270" t="n">
        <v>0</v>
      </c>
      <c r="F270" t="n">
        <v>280.5</v>
      </c>
      <c r="G270" t="n">
        <v>280.5</v>
      </c>
    </row>
    <row r="271">
      <c r="A271" t="inlineStr">
        <is>
          <t>202610</t>
        </is>
      </c>
      <c r="B271" t="inlineStr">
        <is>
          <t>Andere</t>
        </is>
      </c>
      <c r="C271" t="inlineStr">
        <is>
          <t>D-06-32-2</t>
        </is>
      </c>
      <c r="D271" t="n">
        <v>240</v>
      </c>
      <c r="E271" t="n">
        <v>0</v>
      </c>
      <c r="F271" t="n">
        <v>240</v>
      </c>
      <c r="G271" t="n">
        <v>240</v>
      </c>
    </row>
    <row r="272">
      <c r="A272" t="inlineStr">
        <is>
          <t>202610</t>
        </is>
      </c>
      <c r="B272" t="inlineStr">
        <is>
          <t>Andere</t>
        </is>
      </c>
      <c r="C272" t="inlineStr">
        <is>
          <t>A-02-74-3</t>
        </is>
      </c>
      <c r="D272" t="n">
        <v>186</v>
      </c>
      <c r="E272" t="n">
        <v>0</v>
      </c>
      <c r="F272" t="n">
        <v>186</v>
      </c>
      <c r="G272" t="n">
        <v>186</v>
      </c>
    </row>
    <row r="273">
      <c r="A273" t="inlineStr">
        <is>
          <t>202610</t>
        </is>
      </c>
      <c r="B273" t="inlineStr">
        <is>
          <t>Andere</t>
        </is>
      </c>
      <c r="C273" t="inlineStr">
        <is>
          <t>A-02-77-3</t>
        </is>
      </c>
      <c r="D273" t="n">
        <v>186</v>
      </c>
      <c r="E273" t="n">
        <v>0</v>
      </c>
      <c r="F273" t="n">
        <v>186</v>
      </c>
      <c r="G273" t="n">
        <v>186</v>
      </c>
    </row>
    <row r="274">
      <c r="A274" t="inlineStr">
        <is>
          <t>202610</t>
        </is>
      </c>
      <c r="B274" t="inlineStr">
        <is>
          <t>Andere</t>
        </is>
      </c>
      <c r="C274" t="inlineStr">
        <is>
          <t>A-01-01-3</t>
        </is>
      </c>
      <c r="D274" t="n">
        <v>180</v>
      </c>
      <c r="E274" t="n">
        <v>0</v>
      </c>
      <c r="F274" t="n">
        <v>180</v>
      </c>
      <c r="G274" t="n">
        <v>180</v>
      </c>
    </row>
    <row r="275">
      <c r="A275" t="inlineStr">
        <is>
          <t>202610</t>
        </is>
      </c>
      <c r="B275" t="inlineStr">
        <is>
          <t>Andere</t>
        </is>
      </c>
      <c r="C275" t="inlineStr">
        <is>
          <t>A-01-02-3</t>
        </is>
      </c>
      <c r="D275" t="n">
        <v>180</v>
      </c>
      <c r="E275" t="n">
        <v>0</v>
      </c>
      <c r="F275" t="n">
        <v>180</v>
      </c>
      <c r="G275" t="n">
        <v>180</v>
      </c>
    </row>
    <row r="276">
      <c r="A276" t="inlineStr">
        <is>
          <t>202610</t>
        </is>
      </c>
      <c r="B276" t="inlineStr">
        <is>
          <t>Andere</t>
        </is>
      </c>
      <c r="C276" t="inlineStr">
        <is>
          <t>A-01-03-3</t>
        </is>
      </c>
      <c r="D276" t="n">
        <v>180</v>
      </c>
      <c r="E276" t="n">
        <v>0</v>
      </c>
      <c r="F276" t="n">
        <v>180</v>
      </c>
      <c r="G276" t="n">
        <v>180</v>
      </c>
    </row>
    <row r="277">
      <c r="A277" t="inlineStr">
        <is>
          <t>202610</t>
        </is>
      </c>
      <c r="B277" t="inlineStr">
        <is>
          <t>Andere</t>
        </is>
      </c>
      <c r="C277" t="inlineStr">
        <is>
          <t>A-01-04-2</t>
        </is>
      </c>
      <c r="D277" t="n">
        <v>180</v>
      </c>
      <c r="E277" t="n">
        <v>0</v>
      </c>
      <c r="F277" t="n">
        <v>180</v>
      </c>
      <c r="G277" t="n">
        <v>180</v>
      </c>
    </row>
    <row r="278">
      <c r="A278" t="inlineStr">
        <is>
          <t>202610</t>
        </is>
      </c>
      <c r="B278" t="inlineStr">
        <is>
          <t>Andere</t>
        </is>
      </c>
      <c r="C278" t="inlineStr">
        <is>
          <t>A-01-05-2</t>
        </is>
      </c>
      <c r="D278" t="n">
        <v>180</v>
      </c>
      <c r="E278" t="n">
        <v>0</v>
      </c>
      <c r="F278" t="n">
        <v>180</v>
      </c>
      <c r="G278" t="n">
        <v>180</v>
      </c>
    </row>
    <row r="279">
      <c r="A279" t="inlineStr">
        <is>
          <t>202610</t>
        </is>
      </c>
      <c r="B279" t="inlineStr">
        <is>
          <t>Andere</t>
        </is>
      </c>
      <c r="C279" t="inlineStr">
        <is>
          <t>A-01-06-2</t>
        </is>
      </c>
      <c r="D279" t="n">
        <v>180</v>
      </c>
      <c r="E279" t="n">
        <v>0</v>
      </c>
      <c r="F279" t="n">
        <v>180</v>
      </c>
      <c r="G279" t="n">
        <v>180</v>
      </c>
    </row>
    <row r="280">
      <c r="A280" t="inlineStr">
        <is>
          <t>202610</t>
        </is>
      </c>
      <c r="B280" t="inlineStr">
        <is>
          <t>Andere</t>
        </is>
      </c>
      <c r="C280" t="inlineStr">
        <is>
          <t>A-01-08-2</t>
        </is>
      </c>
      <c r="D280" t="n">
        <v>180</v>
      </c>
      <c r="E280" t="n">
        <v>0</v>
      </c>
      <c r="F280" t="n">
        <v>180</v>
      </c>
      <c r="G280" t="n">
        <v>180</v>
      </c>
    </row>
    <row r="281">
      <c r="A281" t="inlineStr">
        <is>
          <t>202610</t>
        </is>
      </c>
      <c r="B281" t="inlineStr">
        <is>
          <t>Andere</t>
        </is>
      </c>
      <c r="C281" t="inlineStr">
        <is>
          <t>A-01-10-2</t>
        </is>
      </c>
      <c r="D281" t="n">
        <v>180</v>
      </c>
      <c r="E281" t="n">
        <v>0</v>
      </c>
      <c r="F281" t="n">
        <v>180</v>
      </c>
      <c r="G281" t="n">
        <v>180</v>
      </c>
    </row>
    <row r="282">
      <c r="A282" t="inlineStr">
        <is>
          <t>202610</t>
        </is>
      </c>
      <c r="B282" t="inlineStr">
        <is>
          <t>Andere</t>
        </is>
      </c>
      <c r="C282" t="inlineStr">
        <is>
          <t>D-06-26-2</t>
        </is>
      </c>
      <c r="D282" t="n">
        <v>150</v>
      </c>
      <c r="E282" t="n">
        <v>0</v>
      </c>
      <c r="F282" t="n">
        <v>150</v>
      </c>
      <c r="G282" t="n">
        <v>150</v>
      </c>
    </row>
    <row r="283">
      <c r="A283" t="inlineStr">
        <is>
          <t>202610</t>
        </is>
      </c>
      <c r="B283" t="inlineStr">
        <is>
          <t>Andere</t>
        </is>
      </c>
      <c r="C283" t="inlineStr">
        <is>
          <t>D-06-35-2</t>
        </is>
      </c>
      <c r="D283" t="n">
        <v>150</v>
      </c>
      <c r="E283" t="n">
        <v>0</v>
      </c>
      <c r="F283" t="n">
        <v>150</v>
      </c>
      <c r="G283" t="n">
        <v>150</v>
      </c>
    </row>
    <row r="284">
      <c r="A284" t="inlineStr">
        <is>
          <t>202610</t>
        </is>
      </c>
      <c r="B284" t="inlineStr">
        <is>
          <t>Andere</t>
        </is>
      </c>
      <c r="C284" t="inlineStr">
        <is>
          <t>D-06-23-3</t>
        </is>
      </c>
      <c r="D284" t="n">
        <v>116</v>
      </c>
      <c r="E284" t="n">
        <v>0</v>
      </c>
      <c r="F284" t="n">
        <v>116</v>
      </c>
      <c r="G284" t="n">
        <v>116</v>
      </c>
    </row>
    <row r="285">
      <c r="A285" t="inlineStr">
        <is>
          <t>202610</t>
        </is>
      </c>
      <c r="B285" t="inlineStr">
        <is>
          <t>Andere</t>
        </is>
      </c>
      <c r="C285" t="inlineStr">
        <is>
          <t>D-06-22-3</t>
        </is>
      </c>
      <c r="D285" t="n">
        <v>110</v>
      </c>
      <c r="E285" t="n">
        <v>0</v>
      </c>
      <c r="F285" t="n">
        <v>110</v>
      </c>
      <c r="G285" t="n">
        <v>110</v>
      </c>
    </row>
    <row r="286">
      <c r="A286" t="inlineStr">
        <is>
          <t>202610</t>
        </is>
      </c>
      <c r="B286" t="inlineStr">
        <is>
          <t>Andere</t>
        </is>
      </c>
      <c r="C286" t="inlineStr">
        <is>
          <t>D-06-05-3</t>
        </is>
      </c>
      <c r="D286" t="n">
        <v>100</v>
      </c>
      <c r="E286" t="n">
        <v>0</v>
      </c>
      <c r="F286" t="n">
        <v>100</v>
      </c>
      <c r="G286" t="n">
        <v>100</v>
      </c>
    </row>
    <row r="287">
      <c r="A287" t="inlineStr">
        <is>
          <t>202610</t>
        </is>
      </c>
      <c r="B287" t="inlineStr">
        <is>
          <t>Andere</t>
        </is>
      </c>
      <c r="C287" t="inlineStr">
        <is>
          <t>D-06-06-3</t>
        </is>
      </c>
      <c r="D287" t="n">
        <v>100</v>
      </c>
      <c r="E287" t="n">
        <v>0</v>
      </c>
      <c r="F287" t="n">
        <v>100</v>
      </c>
      <c r="G287" t="n">
        <v>100</v>
      </c>
    </row>
    <row r="288">
      <c r="A288" t="inlineStr">
        <is>
          <t>202610</t>
        </is>
      </c>
      <c r="B288" t="inlineStr">
        <is>
          <t>Andere</t>
        </is>
      </c>
      <c r="C288" t="inlineStr">
        <is>
          <t>D-06-37-3</t>
        </is>
      </c>
      <c r="D288" t="n">
        <v>90</v>
      </c>
      <c r="E288" t="n">
        <v>0</v>
      </c>
      <c r="F288" t="n">
        <v>90</v>
      </c>
      <c r="G288" t="n">
        <v>90</v>
      </c>
    </row>
    <row r="289">
      <c r="A289" t="inlineStr">
        <is>
          <t>202610</t>
        </is>
      </c>
      <c r="B289" t="inlineStr">
        <is>
          <t>Andere</t>
        </is>
      </c>
      <c r="C289" t="inlineStr">
        <is>
          <t>SPI-WINDOW</t>
        </is>
      </c>
      <c r="D289" t="n">
        <v>60</v>
      </c>
      <c r="E289" t="n">
        <v>0</v>
      </c>
      <c r="F289" t="n">
        <v>60</v>
      </c>
      <c r="G289" t="n">
        <v>60</v>
      </c>
    </row>
    <row r="290">
      <c r="A290" t="inlineStr">
        <is>
          <t>202610</t>
        </is>
      </c>
      <c r="B290" t="inlineStr">
        <is>
          <t>Andere</t>
        </is>
      </c>
      <c r="C290" t="inlineStr">
        <is>
          <t>D-06-32-3</t>
        </is>
      </c>
      <c r="D290" t="n">
        <v>33</v>
      </c>
      <c r="E290" t="n">
        <v>0</v>
      </c>
      <c r="F290" t="n">
        <v>33</v>
      </c>
      <c r="G290" t="n">
        <v>33</v>
      </c>
    </row>
    <row r="291">
      <c r="A291" t="inlineStr">
        <is>
          <t>202610</t>
        </is>
      </c>
      <c r="B291" t="inlineStr">
        <is>
          <t>Andere</t>
        </is>
      </c>
      <c r="C291" t="inlineStr">
        <is>
          <t>D-06-44-3</t>
        </is>
      </c>
      <c r="D291" t="n">
        <v>30.8</v>
      </c>
      <c r="E291" t="n">
        <v>0</v>
      </c>
      <c r="F291" t="n">
        <v>30.8</v>
      </c>
      <c r="G291" t="n">
        <v>30.8</v>
      </c>
    </row>
    <row r="292">
      <c r="A292" t="inlineStr">
        <is>
          <t>202610</t>
        </is>
      </c>
      <c r="B292" t="inlineStr">
        <is>
          <t>Andere</t>
        </is>
      </c>
      <c r="C292" t="inlineStr">
        <is>
          <t>D-06-30-3</t>
        </is>
      </c>
      <c r="D292" t="n">
        <v>30</v>
      </c>
      <c r="E292" t="n">
        <v>0</v>
      </c>
      <c r="F292" t="n">
        <v>30</v>
      </c>
      <c r="G292" t="n">
        <v>30</v>
      </c>
    </row>
    <row r="293">
      <c r="A293" t="inlineStr">
        <is>
          <t>202610</t>
        </is>
      </c>
      <c r="B293" t="inlineStr">
        <is>
          <t>Andere</t>
        </is>
      </c>
      <c r="C293" t="inlineStr">
        <is>
          <t>D-06-31-3</t>
        </is>
      </c>
      <c r="D293" t="n">
        <v>40</v>
      </c>
      <c r="E293" t="n">
        <v>10</v>
      </c>
      <c r="F293" t="n">
        <v>30</v>
      </c>
      <c r="G293" t="n">
        <v>30</v>
      </c>
    </row>
    <row r="294">
      <c r="A294" t="inlineStr">
        <is>
          <t>202610</t>
        </is>
      </c>
      <c r="B294" t="inlineStr">
        <is>
          <t>Andere</t>
        </is>
      </c>
      <c r="C294" t="inlineStr">
        <is>
          <t>D-06-48-3</t>
        </is>
      </c>
      <c r="D294" t="n">
        <v>21</v>
      </c>
      <c r="E294" t="n">
        <v>0</v>
      </c>
      <c r="F294" t="n">
        <v>21</v>
      </c>
      <c r="G294" t="n">
        <v>21</v>
      </c>
    </row>
    <row r="295">
      <c r="A295" t="inlineStr">
        <is>
          <t>202610</t>
        </is>
      </c>
      <c r="B295" t="inlineStr">
        <is>
          <t>Andere</t>
        </is>
      </c>
      <c r="C295" t="inlineStr">
        <is>
          <t>A-01-18-1</t>
        </is>
      </c>
      <c r="D295" t="n">
        <v>20</v>
      </c>
      <c r="E295" t="n">
        <v>0</v>
      </c>
      <c r="F295" t="n">
        <v>20</v>
      </c>
      <c r="G295" t="n">
        <v>20</v>
      </c>
    </row>
    <row r="296">
      <c r="A296" t="inlineStr">
        <is>
          <t>202610</t>
        </is>
      </c>
      <c r="B296" t="inlineStr">
        <is>
          <t>Andere</t>
        </is>
      </c>
      <c r="C296" t="inlineStr">
        <is>
          <t>D-06-21-3</t>
        </is>
      </c>
      <c r="D296" t="n">
        <v>20</v>
      </c>
      <c r="E296" t="n">
        <v>0</v>
      </c>
      <c r="F296" t="n">
        <v>20</v>
      </c>
      <c r="G296" t="n">
        <v>20</v>
      </c>
    </row>
    <row r="297">
      <c r="A297" t="inlineStr">
        <is>
          <t>202610</t>
        </is>
      </c>
      <c r="B297" t="inlineStr">
        <is>
          <t>Andere</t>
        </is>
      </c>
      <c r="C297" t="inlineStr">
        <is>
          <t>D-06-34-3</t>
        </is>
      </c>
      <c r="D297" t="n">
        <v>20</v>
      </c>
      <c r="E297" t="n">
        <v>0</v>
      </c>
      <c r="F297" t="n">
        <v>20</v>
      </c>
      <c r="G297" t="n">
        <v>20</v>
      </c>
    </row>
    <row r="298">
      <c r="A298" t="inlineStr">
        <is>
          <t>202610</t>
        </is>
      </c>
      <c r="B298" t="inlineStr">
        <is>
          <t>Andere</t>
        </is>
      </c>
      <c r="C298" t="inlineStr">
        <is>
          <t>D-06-43-3</t>
        </is>
      </c>
      <c r="D298" t="n">
        <v>20</v>
      </c>
      <c r="E298" t="n">
        <v>0</v>
      </c>
      <c r="F298" t="n">
        <v>20</v>
      </c>
      <c r="G298" t="n">
        <v>20</v>
      </c>
    </row>
    <row r="299">
      <c r="A299" t="inlineStr">
        <is>
          <t>202610</t>
        </is>
      </c>
      <c r="B299" t="inlineStr">
        <is>
          <t>Andere</t>
        </is>
      </c>
      <c r="C299" t="inlineStr">
        <is>
          <t>D-06-47-1</t>
        </is>
      </c>
      <c r="D299" t="n">
        <v>18.9</v>
      </c>
      <c r="E299" t="n">
        <v>0</v>
      </c>
      <c r="F299" t="n">
        <v>18.9</v>
      </c>
      <c r="G299" t="n">
        <v>18.9</v>
      </c>
    </row>
    <row r="300">
      <c r="A300" t="inlineStr">
        <is>
          <t>202610</t>
        </is>
      </c>
      <c r="B300" t="inlineStr">
        <is>
          <t>Andere</t>
        </is>
      </c>
      <c r="C300" t="inlineStr">
        <is>
          <t>D-06-35-3</t>
        </is>
      </c>
      <c r="D300" t="n">
        <v>18</v>
      </c>
      <c r="E300" t="n">
        <v>0</v>
      </c>
      <c r="F300" t="n">
        <v>18</v>
      </c>
      <c r="G300" t="n">
        <v>18</v>
      </c>
    </row>
    <row r="301">
      <c r="A301" t="inlineStr">
        <is>
          <t>202610</t>
        </is>
      </c>
      <c r="B301" t="inlineStr">
        <is>
          <t>Andere</t>
        </is>
      </c>
      <c r="C301" t="inlineStr">
        <is>
          <t>D-06-33-3</t>
        </is>
      </c>
      <c r="D301" t="n">
        <v>13</v>
      </c>
      <c r="E301" t="n">
        <v>0</v>
      </c>
      <c r="F301" t="n">
        <v>13</v>
      </c>
      <c r="G301" t="n">
        <v>13</v>
      </c>
    </row>
    <row r="302">
      <c r="A302" t="inlineStr">
        <is>
          <t>202610</t>
        </is>
      </c>
      <c r="B302" t="inlineStr">
        <is>
          <t>Andere</t>
        </is>
      </c>
      <c r="C302" t="inlineStr">
        <is>
          <t>D-06-40-3</t>
        </is>
      </c>
      <c r="D302" t="n">
        <v>22</v>
      </c>
      <c r="E302" t="n">
        <v>9</v>
      </c>
      <c r="F302" t="n">
        <v>13</v>
      </c>
      <c r="G302" t="n">
        <v>13</v>
      </c>
    </row>
    <row r="303">
      <c r="A303" t="inlineStr">
        <is>
          <t>202610</t>
        </is>
      </c>
      <c r="B303" t="inlineStr">
        <is>
          <t>Andere</t>
        </is>
      </c>
      <c r="C303" t="inlineStr">
        <is>
          <t>D-06-27-3</t>
        </is>
      </c>
      <c r="D303" t="n">
        <v>12</v>
      </c>
      <c r="E303" t="n">
        <v>0</v>
      </c>
      <c r="F303" t="n">
        <v>12</v>
      </c>
      <c r="G303" t="n">
        <v>12</v>
      </c>
    </row>
    <row r="304">
      <c r="A304" t="inlineStr">
        <is>
          <t>202610</t>
        </is>
      </c>
      <c r="B304" t="inlineStr">
        <is>
          <t>Andere</t>
        </is>
      </c>
      <c r="C304" t="inlineStr">
        <is>
          <t>D-06-55-3</t>
        </is>
      </c>
      <c r="D304" t="n">
        <v>12</v>
      </c>
      <c r="E304" t="n">
        <v>0</v>
      </c>
      <c r="F304" t="n">
        <v>12</v>
      </c>
      <c r="G304" t="n">
        <v>12</v>
      </c>
    </row>
    <row r="305">
      <c r="A305" t="inlineStr">
        <is>
          <t>202610</t>
        </is>
      </c>
      <c r="B305" t="inlineStr">
        <is>
          <t>Andere</t>
        </is>
      </c>
      <c r="C305" t="inlineStr">
        <is>
          <t>A-01-19-1</t>
        </is>
      </c>
      <c r="D305" t="n">
        <v>10</v>
      </c>
      <c r="E305" t="n">
        <v>0</v>
      </c>
      <c r="F305" t="n">
        <v>10</v>
      </c>
      <c r="G305" t="n">
        <v>10</v>
      </c>
    </row>
    <row r="306">
      <c r="A306" t="inlineStr">
        <is>
          <t>202610</t>
        </is>
      </c>
      <c r="B306" t="inlineStr">
        <is>
          <t>Andere</t>
        </is>
      </c>
      <c r="C306" t="inlineStr">
        <is>
          <t>A-01-38-1</t>
        </is>
      </c>
      <c r="D306" t="n">
        <v>10</v>
      </c>
      <c r="E306" t="n">
        <v>0</v>
      </c>
      <c r="F306" t="n">
        <v>10</v>
      </c>
      <c r="G306" t="n">
        <v>10</v>
      </c>
    </row>
    <row r="307">
      <c r="A307" t="inlineStr">
        <is>
          <t>202610</t>
        </is>
      </c>
      <c r="B307" t="inlineStr">
        <is>
          <t>Andere</t>
        </is>
      </c>
      <c r="C307" t="inlineStr">
        <is>
          <t>D-06-16-1</t>
        </is>
      </c>
      <c r="D307" t="n">
        <v>10</v>
      </c>
      <c r="E307" t="n">
        <v>0</v>
      </c>
      <c r="F307" t="n">
        <v>10</v>
      </c>
      <c r="G307" t="n">
        <v>10</v>
      </c>
    </row>
    <row r="308">
      <c r="A308" t="inlineStr">
        <is>
          <t>202610</t>
        </is>
      </c>
      <c r="B308" t="inlineStr">
        <is>
          <t>Andere</t>
        </is>
      </c>
      <c r="C308" t="inlineStr">
        <is>
          <t>D-06-17-1</t>
        </is>
      </c>
      <c r="D308" t="n">
        <v>0</v>
      </c>
      <c r="E308" t="n">
        <v>10</v>
      </c>
      <c r="F308" t="n">
        <v>-10</v>
      </c>
      <c r="G308" t="n">
        <v>-10</v>
      </c>
    </row>
    <row r="309">
      <c r="A309" t="inlineStr">
        <is>
          <t>202610</t>
        </is>
      </c>
      <c r="B309" t="inlineStr">
        <is>
          <t>Andere</t>
        </is>
      </c>
      <c r="C309" t="inlineStr">
        <is>
          <t>D-06-18-3</t>
        </is>
      </c>
      <c r="D309" t="n">
        <v>10</v>
      </c>
      <c r="E309" t="n">
        <v>0</v>
      </c>
      <c r="F309" t="n">
        <v>10</v>
      </c>
      <c r="G309" t="n">
        <v>10</v>
      </c>
    </row>
    <row r="310">
      <c r="A310" t="inlineStr">
        <is>
          <t>202610</t>
        </is>
      </c>
      <c r="B310" t="inlineStr">
        <is>
          <t>Andere</t>
        </is>
      </c>
      <c r="C310" t="inlineStr">
        <is>
          <t>D-06-20-1</t>
        </is>
      </c>
      <c r="D310" t="n">
        <v>0</v>
      </c>
      <c r="E310" t="n">
        <v>10</v>
      </c>
      <c r="F310" t="n">
        <v>-10</v>
      </c>
      <c r="G310" t="n">
        <v>-10</v>
      </c>
    </row>
    <row r="311">
      <c r="A311" t="inlineStr">
        <is>
          <t>202610</t>
        </is>
      </c>
      <c r="B311" t="inlineStr">
        <is>
          <t>Andere</t>
        </is>
      </c>
      <c r="C311" t="inlineStr">
        <is>
          <t>D-06-20-3</t>
        </is>
      </c>
      <c r="D311" t="n">
        <v>10</v>
      </c>
      <c r="E311" t="n">
        <v>0</v>
      </c>
      <c r="F311" t="n">
        <v>10</v>
      </c>
      <c r="G311" t="n">
        <v>10</v>
      </c>
    </row>
    <row r="312">
      <c r="A312" t="inlineStr">
        <is>
          <t>202610</t>
        </is>
      </c>
      <c r="B312" t="inlineStr">
        <is>
          <t>Andere</t>
        </is>
      </c>
      <c r="C312" t="inlineStr">
        <is>
          <t>D-06-28-3</t>
        </is>
      </c>
      <c r="D312" t="n">
        <v>10</v>
      </c>
      <c r="E312" t="n">
        <v>0</v>
      </c>
      <c r="F312" t="n">
        <v>10</v>
      </c>
      <c r="G312" t="n">
        <v>10</v>
      </c>
    </row>
    <row r="313">
      <c r="A313" t="inlineStr">
        <is>
          <t>202610</t>
        </is>
      </c>
      <c r="B313" t="inlineStr">
        <is>
          <t>Andere</t>
        </is>
      </c>
      <c r="C313" t="inlineStr">
        <is>
          <t>D-06-45-3</t>
        </is>
      </c>
      <c r="D313" t="n">
        <v>10</v>
      </c>
      <c r="E313" t="n">
        <v>0</v>
      </c>
      <c r="F313" t="n">
        <v>10</v>
      </c>
      <c r="G313" t="n">
        <v>10</v>
      </c>
    </row>
    <row r="314">
      <c r="A314" t="inlineStr">
        <is>
          <t>202610</t>
        </is>
      </c>
      <c r="B314" t="inlineStr">
        <is>
          <t>Andere</t>
        </is>
      </c>
      <c r="C314" t="inlineStr">
        <is>
          <t>D-06-46-3</t>
        </is>
      </c>
      <c r="D314" t="n">
        <v>10</v>
      </c>
      <c r="E314" t="n">
        <v>0</v>
      </c>
      <c r="F314" t="n">
        <v>10</v>
      </c>
      <c r="G314" t="n">
        <v>10</v>
      </c>
    </row>
    <row r="315">
      <c r="A315" t="inlineStr">
        <is>
          <t>202610</t>
        </is>
      </c>
      <c r="B315" t="inlineStr">
        <is>
          <t>Andere</t>
        </is>
      </c>
      <c r="C315" t="inlineStr">
        <is>
          <t>D-06-54-3</t>
        </is>
      </c>
      <c r="D315" t="n">
        <v>10</v>
      </c>
      <c r="E315" t="n">
        <v>0</v>
      </c>
      <c r="F315" t="n">
        <v>10</v>
      </c>
      <c r="G315" t="n">
        <v>10</v>
      </c>
    </row>
    <row r="316">
      <c r="A316" t="inlineStr">
        <is>
          <t>202610</t>
        </is>
      </c>
      <c r="B316" t="inlineStr">
        <is>
          <t>Andere</t>
        </is>
      </c>
      <c r="C316" t="inlineStr">
        <is>
          <t>D-06-56-3</t>
        </is>
      </c>
      <c r="D316" t="n">
        <v>10</v>
      </c>
      <c r="E316" t="n">
        <v>0</v>
      </c>
      <c r="F316" t="n">
        <v>10</v>
      </c>
      <c r="G316" t="n">
        <v>10</v>
      </c>
    </row>
    <row r="317">
      <c r="A317" t="inlineStr">
        <is>
          <t>202610</t>
        </is>
      </c>
      <c r="B317" t="inlineStr">
        <is>
          <t>Andere</t>
        </is>
      </c>
      <c r="C317" t="inlineStr">
        <is>
          <t>LOST</t>
        </is>
      </c>
      <c r="D317" t="n">
        <v>9</v>
      </c>
      <c r="E317" t="n">
        <v>0</v>
      </c>
      <c r="F317" t="n">
        <v>9</v>
      </c>
      <c r="G317" t="n">
        <v>9</v>
      </c>
    </row>
    <row r="318">
      <c r="A318" t="inlineStr">
        <is>
          <t>202610</t>
        </is>
      </c>
      <c r="B318" t="inlineStr">
        <is>
          <t>Andere</t>
        </is>
      </c>
      <c r="C318" t="inlineStr">
        <is>
          <t>D-06-20-2</t>
        </is>
      </c>
      <c r="D318" t="n">
        <v>7</v>
      </c>
      <c r="E318" t="n">
        <v>0</v>
      </c>
      <c r="F318" t="n">
        <v>7</v>
      </c>
      <c r="G318" t="n">
        <v>7</v>
      </c>
    </row>
    <row r="319">
      <c r="A319" t="inlineStr">
        <is>
          <t>202610</t>
        </is>
      </c>
      <c r="B319" t="inlineStr">
        <is>
          <t>Andere</t>
        </is>
      </c>
      <c r="C319" t="inlineStr">
        <is>
          <t>D-06-36-1</t>
        </is>
      </c>
      <c r="D319" t="n">
        <v>0</v>
      </c>
      <c r="E319" t="n">
        <v>6.3</v>
      </c>
      <c r="F319" t="n">
        <v>-6.3</v>
      </c>
      <c r="G319" t="n">
        <v>-6.3</v>
      </c>
    </row>
    <row r="320">
      <c r="A320" t="inlineStr">
        <is>
          <t>202610</t>
        </is>
      </c>
      <c r="B320" t="inlineStr">
        <is>
          <t>Andere</t>
        </is>
      </c>
      <c r="C320" t="inlineStr">
        <is>
          <t>D-06-41-3</t>
        </is>
      </c>
      <c r="D320" t="n">
        <v>5</v>
      </c>
      <c r="E320" t="n">
        <v>0</v>
      </c>
      <c r="F320" t="n">
        <v>5</v>
      </c>
      <c r="G320" t="n">
        <v>5</v>
      </c>
    </row>
    <row r="321">
      <c r="A321" t="inlineStr">
        <is>
          <t>202610</t>
        </is>
      </c>
      <c r="B321" t="inlineStr">
        <is>
          <t>Andere</t>
        </is>
      </c>
      <c r="C321" t="inlineStr">
        <is>
          <t>D-06-42-3</t>
        </is>
      </c>
      <c r="D321" t="n">
        <v>5</v>
      </c>
      <c r="E321" t="n">
        <v>0</v>
      </c>
      <c r="F321" t="n">
        <v>5</v>
      </c>
      <c r="G321" t="n">
        <v>5</v>
      </c>
    </row>
    <row r="322">
      <c r="A322" t="inlineStr">
        <is>
          <t>202610</t>
        </is>
      </c>
      <c r="B322" t="inlineStr">
        <is>
          <t>Andere</t>
        </is>
      </c>
      <c r="C322" t="inlineStr">
        <is>
          <t>D-06-45-2</t>
        </is>
      </c>
      <c r="D322" t="n">
        <v>5</v>
      </c>
      <c r="E322" t="n">
        <v>0</v>
      </c>
      <c r="F322" t="n">
        <v>5</v>
      </c>
      <c r="G322" t="n">
        <v>5</v>
      </c>
    </row>
    <row r="323">
      <c r="A323" t="inlineStr">
        <is>
          <t>202610</t>
        </is>
      </c>
      <c r="B323" t="inlineStr">
        <is>
          <t>Andere</t>
        </is>
      </c>
      <c r="C323" t="inlineStr">
        <is>
          <t>D-06-50-3</t>
        </is>
      </c>
      <c r="D323" t="n">
        <v>5</v>
      </c>
      <c r="E323" t="n">
        <v>0</v>
      </c>
      <c r="F323" t="n">
        <v>5</v>
      </c>
      <c r="G323" t="n">
        <v>5</v>
      </c>
    </row>
    <row r="324">
      <c r="A324" t="inlineStr">
        <is>
          <t>202610</t>
        </is>
      </c>
      <c r="B324" t="inlineStr">
        <is>
          <t>Andere</t>
        </is>
      </c>
      <c r="C324" t="inlineStr">
        <is>
          <t>D-06-51-3</t>
        </is>
      </c>
      <c r="D324" t="n">
        <v>5</v>
      </c>
      <c r="E324" t="n">
        <v>0</v>
      </c>
      <c r="F324" t="n">
        <v>5</v>
      </c>
      <c r="G324" t="n">
        <v>5</v>
      </c>
    </row>
    <row r="325">
      <c r="A325" t="inlineStr">
        <is>
          <t>202610</t>
        </is>
      </c>
      <c r="B325" t="inlineStr">
        <is>
          <t>Andere</t>
        </is>
      </c>
      <c r="C325" t="inlineStr">
        <is>
          <t>D-06-53-3</t>
        </is>
      </c>
      <c r="D325" t="n">
        <v>4</v>
      </c>
      <c r="E325" t="n">
        <v>0</v>
      </c>
      <c r="F325" t="n">
        <v>4</v>
      </c>
      <c r="G325" t="n">
        <v>4</v>
      </c>
    </row>
    <row r="326">
      <c r="A326" t="inlineStr">
        <is>
          <t>202610</t>
        </is>
      </c>
      <c r="B326" t="inlineStr">
        <is>
          <t>Andere</t>
        </is>
      </c>
      <c r="C326" t="inlineStr">
        <is>
          <t>D-06-53-2</t>
        </is>
      </c>
      <c r="D326" t="n">
        <v>3</v>
      </c>
      <c r="E326" t="n">
        <v>0</v>
      </c>
      <c r="F326" t="n">
        <v>3</v>
      </c>
      <c r="G326" t="n">
        <v>3</v>
      </c>
    </row>
    <row r="327">
      <c r="A327" t="inlineStr">
        <is>
          <t>202610</t>
        </is>
      </c>
      <c r="B327" t="inlineStr">
        <is>
          <t>Andere</t>
        </is>
      </c>
      <c r="C327" t="inlineStr">
        <is>
          <t>D-06-14-1</t>
        </is>
      </c>
      <c r="D327" t="n">
        <v>0</v>
      </c>
      <c r="E327" t="n">
        <v>2.5</v>
      </c>
      <c r="F327" t="n">
        <v>-2.5</v>
      </c>
      <c r="G327" t="n">
        <v>-2.5</v>
      </c>
    </row>
    <row r="328">
      <c r="A328" t="inlineStr">
        <is>
          <t>202610</t>
        </is>
      </c>
      <c r="B328" t="inlineStr">
        <is>
          <t>Andere</t>
        </is>
      </c>
      <c r="C328" t="inlineStr">
        <is>
          <t>D-06-25-3</t>
        </is>
      </c>
      <c r="D328" t="n">
        <v>2</v>
      </c>
      <c r="E328" t="n">
        <v>0</v>
      </c>
      <c r="F328" t="n">
        <v>2</v>
      </c>
      <c r="G328" t="n">
        <v>2</v>
      </c>
    </row>
    <row r="329">
      <c r="A329" t="inlineStr">
        <is>
          <t>202610</t>
        </is>
      </c>
      <c r="B329" t="inlineStr">
        <is>
          <t>Andere</t>
        </is>
      </c>
      <c r="C329" t="inlineStr">
        <is>
          <t>D-06-15-2</t>
        </is>
      </c>
      <c r="D329" t="n">
        <v>1</v>
      </c>
      <c r="E329" t="n">
        <v>0</v>
      </c>
      <c r="F329" t="n">
        <v>1</v>
      </c>
      <c r="G329" t="n">
        <v>1</v>
      </c>
    </row>
    <row r="330">
      <c r="A330" t="inlineStr">
        <is>
          <t>202610</t>
        </is>
      </c>
      <c r="B330" t="inlineStr">
        <is>
          <t>Andere</t>
        </is>
      </c>
      <c r="C330" t="inlineStr">
        <is>
          <t>D-06-39-2</t>
        </is>
      </c>
      <c r="D330" t="n">
        <v>0.5</v>
      </c>
      <c r="E330" t="n">
        <v>0</v>
      </c>
      <c r="F330" t="n">
        <v>0.5</v>
      </c>
      <c r="G330" t="n">
        <v>0.5</v>
      </c>
    </row>
    <row r="331">
      <c r="A331" t="inlineStr">
        <is>
          <t>202610</t>
        </is>
      </c>
      <c r="B331" t="inlineStr">
        <is>
          <t>Andere</t>
        </is>
      </c>
      <c r="C331" t="inlineStr">
        <is>
          <t>A-01-07-2</t>
        </is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202610</t>
        </is>
      </c>
      <c r="B332" t="inlineStr">
        <is>
          <t>Andere</t>
        </is>
      </c>
      <c r="C332" t="inlineStr">
        <is>
          <t>A-01-29-2</t>
        </is>
      </c>
      <c r="D332" t="n">
        <v>400</v>
      </c>
      <c r="E332" t="n">
        <v>400</v>
      </c>
      <c r="F332" t="n">
        <v>0</v>
      </c>
      <c r="G332" t="n">
        <v>0</v>
      </c>
    </row>
    <row r="333">
      <c r="A333" t="inlineStr">
        <is>
          <t>202610</t>
        </is>
      </c>
      <c r="B333" t="inlineStr">
        <is>
          <t>Andere</t>
        </is>
      </c>
      <c r="C333" t="inlineStr">
        <is>
          <t>A-02-71-3</t>
        </is>
      </c>
      <c r="D333" t="n">
        <v>372</v>
      </c>
      <c r="E333" t="n">
        <v>372</v>
      </c>
      <c r="F333" t="n">
        <v>0</v>
      </c>
      <c r="G333" t="n">
        <v>0</v>
      </c>
    </row>
    <row r="334">
      <c r="A334" t="inlineStr">
        <is>
          <t>202610</t>
        </is>
      </c>
      <c r="B334" t="inlineStr">
        <is>
          <t>Andere</t>
        </is>
      </c>
      <c r="C334" t="inlineStr">
        <is>
          <t>D-06-01-1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202610</t>
        </is>
      </c>
      <c r="B335" t="inlineStr">
        <is>
          <t>Andere</t>
        </is>
      </c>
      <c r="C335" t="inlineStr">
        <is>
          <t>D-06-03-1</t>
        </is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202610</t>
        </is>
      </c>
      <c r="B336" t="inlineStr">
        <is>
          <t>Andere</t>
        </is>
      </c>
      <c r="C336" t="inlineStr">
        <is>
          <t>D-06-16-2</t>
        </is>
      </c>
      <c r="D336" t="n">
        <v>7</v>
      </c>
      <c r="E336" t="n">
        <v>7</v>
      </c>
      <c r="F336" t="n">
        <v>0</v>
      </c>
      <c r="G336" t="n">
        <v>0</v>
      </c>
    </row>
    <row r="337">
      <c r="A337" t="inlineStr">
        <is>
          <t>202610</t>
        </is>
      </c>
      <c r="B337" t="inlineStr">
        <is>
          <t>Andere</t>
        </is>
      </c>
      <c r="C337" t="inlineStr">
        <is>
          <t>D-06-19-1</t>
        </is>
      </c>
      <c r="D337" t="n">
        <v>742.5</v>
      </c>
      <c r="E337" t="n">
        <v>742.5</v>
      </c>
      <c r="F337" t="n">
        <v>0</v>
      </c>
      <c r="G337" t="n">
        <v>0</v>
      </c>
    </row>
    <row r="338">
      <c r="A338" t="inlineStr">
        <is>
          <t>202610</t>
        </is>
      </c>
      <c r="B338" t="inlineStr">
        <is>
          <t>Andere</t>
        </is>
      </c>
      <c r="C338" t="inlineStr">
        <is>
          <t>D-06-21-1</t>
        </is>
      </c>
      <c r="D338" t="n">
        <v>742.5</v>
      </c>
      <c r="E338" t="n">
        <v>742.5</v>
      </c>
      <c r="F338" t="n">
        <v>0</v>
      </c>
      <c r="G338" t="n">
        <v>0</v>
      </c>
    </row>
    <row r="339">
      <c r="A339" t="inlineStr">
        <is>
          <t>202610</t>
        </is>
      </c>
      <c r="B339" t="inlineStr">
        <is>
          <t>Andere</t>
        </is>
      </c>
      <c r="C339" t="inlineStr">
        <is>
          <t>D-06-22-1</t>
        </is>
      </c>
      <c r="D339" t="n">
        <v>742.5</v>
      </c>
      <c r="E339" t="n">
        <v>742.5</v>
      </c>
      <c r="F339" t="n">
        <v>0</v>
      </c>
      <c r="G339" t="n">
        <v>0</v>
      </c>
    </row>
    <row r="340">
      <c r="A340" t="inlineStr">
        <is>
          <t>202610</t>
        </is>
      </c>
      <c r="B340" t="inlineStr">
        <is>
          <t>Andere</t>
        </is>
      </c>
      <c r="C340" t="inlineStr">
        <is>
          <t>D-06-23-1</t>
        </is>
      </c>
      <c r="D340" t="n">
        <v>742.5</v>
      </c>
      <c r="E340" t="n">
        <v>742.5</v>
      </c>
      <c r="F340" t="n">
        <v>0</v>
      </c>
      <c r="G340" t="n">
        <v>0</v>
      </c>
    </row>
    <row r="341">
      <c r="A341" t="inlineStr">
        <is>
          <t>202610</t>
        </is>
      </c>
      <c r="B341" t="inlineStr">
        <is>
          <t>Andere</t>
        </is>
      </c>
      <c r="C341" t="inlineStr">
        <is>
          <t>D-06-24-1</t>
        </is>
      </c>
      <c r="D341" t="n">
        <v>742.5</v>
      </c>
      <c r="E341" t="n">
        <v>742.5</v>
      </c>
      <c r="F341" t="n">
        <v>0</v>
      </c>
      <c r="G341" t="n">
        <v>0</v>
      </c>
    </row>
    <row r="342">
      <c r="A342" t="inlineStr">
        <is>
          <t>202610</t>
        </is>
      </c>
      <c r="B342" t="inlineStr">
        <is>
          <t>Andere</t>
        </is>
      </c>
      <c r="C342" t="inlineStr">
        <is>
          <t>D-06-25-1</t>
        </is>
      </c>
      <c r="D342" t="n">
        <v>742.5</v>
      </c>
      <c r="E342" t="n">
        <v>742.5</v>
      </c>
      <c r="F342" t="n">
        <v>0</v>
      </c>
      <c r="G342" t="n">
        <v>0</v>
      </c>
    </row>
    <row r="343">
      <c r="A343" t="inlineStr">
        <is>
          <t>202610</t>
        </is>
      </c>
      <c r="B343" t="inlineStr">
        <is>
          <t>Andere</t>
        </is>
      </c>
      <c r="C343" t="inlineStr">
        <is>
          <t>D-06-26-1</t>
        </is>
      </c>
      <c r="D343" t="n">
        <v>742.5</v>
      </c>
      <c r="E343" t="n">
        <v>742.5</v>
      </c>
      <c r="F343" t="n">
        <v>0</v>
      </c>
      <c r="G343" t="n">
        <v>0</v>
      </c>
    </row>
    <row r="344">
      <c r="A344" t="inlineStr">
        <is>
          <t>202610</t>
        </is>
      </c>
      <c r="B344" t="inlineStr">
        <is>
          <t>Andere</t>
        </is>
      </c>
      <c r="C344" t="inlineStr">
        <is>
          <t>D-06-27-1</t>
        </is>
      </c>
      <c r="D344" t="n">
        <v>742.5</v>
      </c>
      <c r="E344" t="n">
        <v>742.5</v>
      </c>
      <c r="F344" t="n">
        <v>0</v>
      </c>
      <c r="G344" t="n">
        <v>0</v>
      </c>
    </row>
    <row r="345">
      <c r="A345" t="inlineStr">
        <is>
          <t>202610</t>
        </is>
      </c>
      <c r="B345" t="inlineStr">
        <is>
          <t>Andere</t>
        </is>
      </c>
      <c r="C345" t="inlineStr">
        <is>
          <t>D-06-28-1</t>
        </is>
      </c>
      <c r="D345" t="n">
        <v>567</v>
      </c>
      <c r="E345" t="n">
        <v>567</v>
      </c>
      <c r="F345" t="n">
        <v>0</v>
      </c>
      <c r="G345" t="n">
        <v>0</v>
      </c>
    </row>
    <row r="346">
      <c r="A346" t="inlineStr">
        <is>
          <t>202610</t>
        </is>
      </c>
      <c r="B346" t="inlineStr">
        <is>
          <t>Andere</t>
        </is>
      </c>
      <c r="C346" t="inlineStr">
        <is>
          <t>D-06-29-1</t>
        </is>
      </c>
      <c r="D346" t="n">
        <v>742.5</v>
      </c>
      <c r="E346" t="n">
        <v>742.5</v>
      </c>
      <c r="F346" t="n">
        <v>0</v>
      </c>
      <c r="G346" t="n">
        <v>0</v>
      </c>
    </row>
    <row r="347">
      <c r="A347" t="inlineStr">
        <is>
          <t>202610</t>
        </is>
      </c>
      <c r="B347" t="inlineStr">
        <is>
          <t>Andere</t>
        </is>
      </c>
      <c r="C347" t="inlineStr">
        <is>
          <t>D-06-29-3</t>
        </is>
      </c>
      <c r="D347" t="n">
        <v>10</v>
      </c>
      <c r="E347" t="n">
        <v>10</v>
      </c>
      <c r="F347" t="n">
        <v>0</v>
      </c>
      <c r="G347" t="n">
        <v>0</v>
      </c>
    </row>
    <row r="348">
      <c r="A348" t="inlineStr">
        <is>
          <t>202610</t>
        </is>
      </c>
      <c r="B348" t="inlineStr">
        <is>
          <t>Andere</t>
        </is>
      </c>
      <c r="C348" t="inlineStr">
        <is>
          <t>D-06-30-1</t>
        </is>
      </c>
      <c r="D348" t="n">
        <v>742.5</v>
      </c>
      <c r="E348" t="n">
        <v>742.5</v>
      </c>
      <c r="F348" t="n">
        <v>0</v>
      </c>
      <c r="G348" t="n">
        <v>0</v>
      </c>
    </row>
    <row r="349">
      <c r="A349" t="inlineStr">
        <is>
          <t>202610</t>
        </is>
      </c>
      <c r="B349" t="inlineStr">
        <is>
          <t>Andere</t>
        </is>
      </c>
      <c r="C349" t="inlineStr">
        <is>
          <t>D-06-31-1</t>
        </is>
      </c>
      <c r="D349" t="n">
        <v>742.5</v>
      </c>
      <c r="E349" t="n">
        <v>742.5</v>
      </c>
      <c r="F349" t="n">
        <v>0</v>
      </c>
      <c r="G349" t="n">
        <v>0</v>
      </c>
    </row>
    <row r="350">
      <c r="A350" t="inlineStr">
        <is>
          <t>202610</t>
        </is>
      </c>
      <c r="B350" t="inlineStr">
        <is>
          <t>Andere</t>
        </is>
      </c>
      <c r="C350" t="inlineStr">
        <is>
          <t>D-06-32-1</t>
        </is>
      </c>
      <c r="D350" t="n">
        <v>742.5</v>
      </c>
      <c r="E350" t="n">
        <v>742.5</v>
      </c>
      <c r="F350" t="n">
        <v>0</v>
      </c>
      <c r="G350" t="n">
        <v>0</v>
      </c>
    </row>
    <row r="351">
      <c r="A351" t="inlineStr">
        <is>
          <t>202610</t>
        </is>
      </c>
      <c r="B351" t="inlineStr">
        <is>
          <t>Andere</t>
        </is>
      </c>
      <c r="C351" t="inlineStr">
        <is>
          <t>D-06-33-1</t>
        </is>
      </c>
      <c r="D351" t="n">
        <v>742.5</v>
      </c>
      <c r="E351" t="n">
        <v>742.5</v>
      </c>
      <c r="F351" t="n">
        <v>0</v>
      </c>
      <c r="G351" t="n">
        <v>0</v>
      </c>
    </row>
    <row r="352">
      <c r="A352" t="inlineStr">
        <is>
          <t>202610</t>
        </is>
      </c>
      <c r="B352" t="inlineStr">
        <is>
          <t>Andere</t>
        </is>
      </c>
      <c r="C352" t="inlineStr">
        <is>
          <t>D-06-34-1</t>
        </is>
      </c>
      <c r="D352" t="n">
        <v>742.5</v>
      </c>
      <c r="E352" t="n">
        <v>742.5</v>
      </c>
      <c r="F352" t="n">
        <v>0</v>
      </c>
      <c r="G352" t="n">
        <v>0</v>
      </c>
    </row>
    <row r="353">
      <c r="A353" t="inlineStr">
        <is>
          <t>202610</t>
        </is>
      </c>
      <c r="B353" t="inlineStr">
        <is>
          <t>Andere</t>
        </is>
      </c>
      <c r="C353" t="inlineStr">
        <is>
          <t>D-06-35-1</t>
        </is>
      </c>
      <c r="D353" t="n">
        <v>742.5</v>
      </c>
      <c r="E353" t="n">
        <v>742.5</v>
      </c>
      <c r="F353" t="n">
        <v>0</v>
      </c>
      <c r="G353" t="n">
        <v>0</v>
      </c>
    </row>
    <row r="354">
      <c r="A354" t="inlineStr">
        <is>
          <t>202610</t>
        </is>
      </c>
      <c r="B354" t="inlineStr">
        <is>
          <t>Andere</t>
        </is>
      </c>
      <c r="C354" t="inlineStr">
        <is>
          <t>D-06-36-3</t>
        </is>
      </c>
      <c r="D354" t="n">
        <v>8</v>
      </c>
      <c r="E354" t="n">
        <v>8</v>
      </c>
      <c r="F354" t="n">
        <v>0</v>
      </c>
      <c r="G354" t="n">
        <v>0</v>
      </c>
    </row>
    <row r="355">
      <c r="A355" t="inlineStr">
        <is>
          <t>202610</t>
        </is>
      </c>
      <c r="B355" t="inlineStr">
        <is>
          <t>Andere</t>
        </is>
      </c>
      <c r="C355" t="inlineStr">
        <is>
          <t>D-06-37-1</t>
        </is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202610</t>
        </is>
      </c>
      <c r="B356" t="inlineStr">
        <is>
          <t>Andere</t>
        </is>
      </c>
      <c r="C356" t="inlineStr">
        <is>
          <t>D-06-38-1</t>
        </is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202610</t>
        </is>
      </c>
      <c r="B357" t="inlineStr">
        <is>
          <t>Andere</t>
        </is>
      </c>
      <c r="C357" t="inlineStr">
        <is>
          <t>D-06-39-1</t>
        </is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202610</t>
        </is>
      </c>
      <c r="B358" t="inlineStr">
        <is>
          <t>Andere</t>
        </is>
      </c>
      <c r="C358" t="inlineStr">
        <is>
          <t>D-06-49-1</t>
        </is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202610</t>
        </is>
      </c>
      <c r="B359" t="inlineStr">
        <is>
          <t>Andere</t>
        </is>
      </c>
      <c r="C359" t="inlineStr">
        <is>
          <t>D-06-49-3</t>
        </is>
      </c>
      <c r="D359" t="n">
        <v>21</v>
      </c>
      <c r="E359" t="n">
        <v>21</v>
      </c>
      <c r="F359" t="n">
        <v>0</v>
      </c>
      <c r="G359" t="n">
        <v>0</v>
      </c>
    </row>
    <row r="360">
      <c r="A360" t="inlineStr">
        <is>
          <t>202610</t>
        </is>
      </c>
      <c r="B360" t="inlineStr">
        <is>
          <t>Andere</t>
        </is>
      </c>
      <c r="C360" t="inlineStr">
        <is>
          <t>D-06-51-1</t>
        </is>
      </c>
      <c r="D360" t="n">
        <v>742.5</v>
      </c>
      <c r="E360" t="n">
        <v>742.5</v>
      </c>
      <c r="F360" t="n">
        <v>0</v>
      </c>
      <c r="G360" t="n">
        <v>0</v>
      </c>
    </row>
    <row r="361">
      <c r="A361" t="inlineStr">
        <is>
          <t>202610</t>
        </is>
      </c>
      <c r="B361" t="inlineStr">
        <is>
          <t>Andere</t>
        </is>
      </c>
      <c r="C361" t="inlineStr">
        <is>
          <t>D-06-52-3</t>
        </is>
      </c>
      <c r="D361" t="n">
        <v>10</v>
      </c>
      <c r="E361" t="n">
        <v>10</v>
      </c>
      <c r="F361" t="n">
        <v>0</v>
      </c>
      <c r="G361" t="n">
        <v>0</v>
      </c>
    </row>
    <row r="362">
      <c r="A362" t="inlineStr">
        <is>
          <t>202610</t>
        </is>
      </c>
      <c r="B362" t="inlineStr">
        <is>
          <t>Andere</t>
        </is>
      </c>
      <c r="C362" t="inlineStr">
        <is>
          <t>D-06-55-1</t>
        </is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202610</t>
        </is>
      </c>
      <c r="B363" t="inlineStr">
        <is>
          <t>Andere</t>
        </is>
      </c>
      <c r="C363" t="inlineStr">
        <is>
          <t>D-06-57-3</t>
        </is>
      </c>
      <c r="D363" t="n">
        <v>21</v>
      </c>
      <c r="E363" t="n">
        <v>21</v>
      </c>
      <c r="F363" t="n">
        <v>0</v>
      </c>
      <c r="G363" t="n">
        <v>0</v>
      </c>
    </row>
    <row r="364">
      <c r="A364" t="inlineStr">
        <is>
          <t>202611</t>
        </is>
      </c>
      <c r="B364" t="inlineStr">
        <is>
          <t>Andere</t>
        </is>
      </c>
      <c r="C364" t="inlineStr">
        <is>
          <t>FAGEVERSF</t>
        </is>
      </c>
      <c r="D364" t="n">
        <v>155380</v>
      </c>
      <c r="E364" t="n">
        <v>0</v>
      </c>
      <c r="F364" t="n">
        <v>155380</v>
      </c>
      <c r="G364" t="n">
        <v>155380</v>
      </c>
    </row>
    <row r="365">
      <c r="A365" t="inlineStr">
        <is>
          <t>202611</t>
        </is>
      </c>
      <c r="B365" t="inlineStr">
        <is>
          <t>Andere</t>
        </is>
      </c>
      <c r="C365" t="inlineStr">
        <is>
          <t>D-06-40-1</t>
        </is>
      </c>
      <c r="D365" t="n">
        <v>6262500</v>
      </c>
      <c r="E365" t="n">
        <v>6177500</v>
      </c>
      <c r="F365" t="n">
        <v>85000</v>
      </c>
      <c r="G365" t="n">
        <v>85000</v>
      </c>
    </row>
    <row r="366">
      <c r="A366" t="inlineStr">
        <is>
          <t>202611</t>
        </is>
      </c>
      <c r="B366" t="inlineStr">
        <is>
          <t>Andere</t>
        </is>
      </c>
      <c r="C366" t="inlineStr">
        <is>
          <t>D-06-42-1</t>
        </is>
      </c>
      <c r="D366" t="n">
        <v>0</v>
      </c>
      <c r="E366" t="n">
        <v>75000</v>
      </c>
      <c r="F366" t="n">
        <v>-75000</v>
      </c>
      <c r="G366" t="n">
        <v>-75000</v>
      </c>
    </row>
    <row r="367">
      <c r="A367" t="inlineStr">
        <is>
          <t>202611</t>
        </is>
      </c>
      <c r="B367" t="inlineStr">
        <is>
          <t>Andere</t>
        </is>
      </c>
      <c r="C367" t="inlineStr">
        <is>
          <t>D-06-43-1</t>
        </is>
      </c>
      <c r="D367" t="n">
        <v>0</v>
      </c>
      <c r="E367" t="n">
        <v>75000</v>
      </c>
      <c r="F367" t="n">
        <v>-75000</v>
      </c>
      <c r="G367" t="n">
        <v>-75000</v>
      </c>
    </row>
    <row r="368">
      <c r="A368" t="inlineStr">
        <is>
          <t>202611</t>
        </is>
      </c>
      <c r="B368" t="inlineStr">
        <is>
          <t>Andere</t>
        </is>
      </c>
      <c r="C368" t="inlineStr">
        <is>
          <t>GERMANY</t>
        </is>
      </c>
      <c r="D368" t="n">
        <v>73432</v>
      </c>
      <c r="E368" t="n">
        <v>0</v>
      </c>
      <c r="F368" t="n">
        <v>73432</v>
      </c>
      <c r="G368" t="n">
        <v>73432</v>
      </c>
    </row>
    <row r="369">
      <c r="A369" t="inlineStr">
        <is>
          <t>202611</t>
        </is>
      </c>
      <c r="B369" t="inlineStr">
        <is>
          <t>Andere</t>
        </is>
      </c>
      <c r="C369" t="inlineStr">
        <is>
          <t>FALEHMANNM</t>
        </is>
      </c>
      <c r="D369" t="n">
        <v>18799</v>
      </c>
      <c r="E369" t="n">
        <v>0</v>
      </c>
      <c r="F369" t="n">
        <v>18799</v>
      </c>
      <c r="G369" t="n">
        <v>18799</v>
      </c>
    </row>
    <row r="370">
      <c r="A370" t="inlineStr">
        <is>
          <t>202611</t>
        </is>
      </c>
      <c r="B370" t="inlineStr">
        <is>
          <t>Andere</t>
        </is>
      </c>
      <c r="C370" t="inlineStr">
        <is>
          <t>A-02-62-1</t>
        </is>
      </c>
      <c r="D370" t="n">
        <v>12500</v>
      </c>
      <c r="E370" t="n">
        <v>0</v>
      </c>
      <c r="F370" t="n">
        <v>12500</v>
      </c>
      <c r="G370" t="n">
        <v>12500</v>
      </c>
    </row>
    <row r="371">
      <c r="A371" t="inlineStr">
        <is>
          <t>202611</t>
        </is>
      </c>
      <c r="B371" t="inlineStr">
        <is>
          <t>Andere</t>
        </is>
      </c>
      <c r="C371" t="inlineStr">
        <is>
          <t>FASADEKM</t>
        </is>
      </c>
      <c r="D371" t="n">
        <v>8736</v>
      </c>
      <c r="E371" t="n">
        <v>0</v>
      </c>
      <c r="F371" t="n">
        <v>8736</v>
      </c>
      <c r="G371" t="n">
        <v>8736</v>
      </c>
    </row>
    <row r="372">
      <c r="A372" t="inlineStr">
        <is>
          <t>202611</t>
        </is>
      </c>
      <c r="B372" t="inlineStr">
        <is>
          <t>Andere</t>
        </is>
      </c>
      <c r="C372" t="inlineStr">
        <is>
          <t>FAWIEGHOLDD</t>
        </is>
      </c>
      <c r="D372" t="n">
        <v>8006</v>
      </c>
      <c r="E372" t="n">
        <v>0</v>
      </c>
      <c r="F372" t="n">
        <v>8006</v>
      </c>
      <c r="G372" t="n">
        <v>8006</v>
      </c>
    </row>
    <row r="373">
      <c r="A373" t="inlineStr">
        <is>
          <t>202611</t>
        </is>
      </c>
      <c r="B373" t="inlineStr">
        <is>
          <t>Andere</t>
        </is>
      </c>
      <c r="C373" t="inlineStr">
        <is>
          <t>UNBEKANNT</t>
        </is>
      </c>
      <c r="D373" t="n">
        <v>5403</v>
      </c>
      <c r="E373" t="n">
        <v>0</v>
      </c>
      <c r="F373" t="n">
        <v>5403</v>
      </c>
      <c r="G373" t="n">
        <v>5403</v>
      </c>
    </row>
    <row r="374">
      <c r="A374" t="inlineStr">
        <is>
          <t>202611</t>
        </is>
      </c>
      <c r="B374" t="inlineStr">
        <is>
          <t>Andere</t>
        </is>
      </c>
      <c r="C374" t="inlineStr">
        <is>
          <t>FAMULLERT</t>
        </is>
      </c>
      <c r="D374" t="n">
        <v>3326</v>
      </c>
      <c r="E374" t="n">
        <v>0</v>
      </c>
      <c r="F374" t="n">
        <v>3326</v>
      </c>
      <c r="G374" t="n">
        <v>3326</v>
      </c>
    </row>
    <row r="375">
      <c r="A375" t="inlineStr">
        <is>
          <t>202611</t>
        </is>
      </c>
      <c r="B375" t="inlineStr">
        <is>
          <t>Andere</t>
        </is>
      </c>
      <c r="C375" t="inlineStr">
        <is>
          <t>FAHABAYEBM</t>
        </is>
      </c>
      <c r="D375" t="n">
        <v>2592</v>
      </c>
      <c r="E375" t="n">
        <v>0</v>
      </c>
      <c r="F375" t="n">
        <v>2592</v>
      </c>
      <c r="G375" t="n">
        <v>2592</v>
      </c>
    </row>
    <row r="376">
      <c r="A376" t="inlineStr">
        <is>
          <t>202611</t>
        </is>
      </c>
      <c r="B376" t="inlineStr">
        <is>
          <t>Andere</t>
        </is>
      </c>
      <c r="C376" t="inlineStr">
        <is>
          <t>D-06-41-1</t>
        </is>
      </c>
      <c r="D376" t="n">
        <v>6175000</v>
      </c>
      <c r="E376" t="n">
        <v>6177500</v>
      </c>
      <c r="F376" t="n">
        <v>-2500</v>
      </c>
      <c r="G376" t="n">
        <v>-2500</v>
      </c>
    </row>
    <row r="377">
      <c r="A377" t="inlineStr">
        <is>
          <t>202611</t>
        </is>
      </c>
      <c r="B377" t="inlineStr">
        <is>
          <t>Andere</t>
        </is>
      </c>
      <c r="C377" t="inlineStr">
        <is>
          <t>FAMATTICKT</t>
        </is>
      </c>
      <c r="D377" t="n">
        <v>2270</v>
      </c>
      <c r="E377" t="n">
        <v>0</v>
      </c>
      <c r="F377" t="n">
        <v>2270</v>
      </c>
      <c r="G377" t="n">
        <v>2270</v>
      </c>
    </row>
    <row r="378">
      <c r="A378" t="inlineStr">
        <is>
          <t>202611</t>
        </is>
      </c>
      <c r="B378" t="inlineStr">
        <is>
          <t>Andere</t>
        </is>
      </c>
      <c r="C378" t="inlineStr">
        <is>
          <t>D-06-52-2</t>
        </is>
      </c>
      <c r="D378" t="n">
        <v>1570</v>
      </c>
      <c r="E378" t="n">
        <v>0</v>
      </c>
      <c r="F378" t="n">
        <v>1570</v>
      </c>
      <c r="G378" t="n">
        <v>1570</v>
      </c>
    </row>
    <row r="379">
      <c r="A379" t="inlineStr">
        <is>
          <t>202611</t>
        </is>
      </c>
      <c r="B379" t="inlineStr">
        <is>
          <t>Andere</t>
        </is>
      </c>
      <c r="C379" t="inlineStr">
        <is>
          <t>FAGROTHEERF</t>
        </is>
      </c>
      <c r="D379" t="n">
        <v>1508</v>
      </c>
      <c r="E379" t="n">
        <v>0</v>
      </c>
      <c r="F379" t="n">
        <v>1508</v>
      </c>
      <c r="G379" t="n">
        <v>1508</v>
      </c>
    </row>
    <row r="380">
      <c r="A380" t="inlineStr">
        <is>
          <t>202611</t>
        </is>
      </c>
      <c r="B380" t="inlineStr">
        <is>
          <t>Andere</t>
        </is>
      </c>
      <c r="C380" t="inlineStr">
        <is>
          <t>D-06-56-2</t>
        </is>
      </c>
      <c r="D380" t="n">
        <v>1270</v>
      </c>
      <c r="E380" t="n">
        <v>0</v>
      </c>
      <c r="F380" t="n">
        <v>1270</v>
      </c>
      <c r="G380" t="n">
        <v>1270</v>
      </c>
    </row>
    <row r="381">
      <c r="A381" t="inlineStr">
        <is>
          <t>202611</t>
        </is>
      </c>
      <c r="B381" t="inlineStr">
        <is>
          <t>Andere</t>
        </is>
      </c>
      <c r="C381" t="inlineStr">
        <is>
          <t>FAFURMANNB</t>
        </is>
      </c>
      <c r="D381" t="n">
        <v>1248</v>
      </c>
      <c r="E381" t="n">
        <v>0</v>
      </c>
      <c r="F381" t="n">
        <v>1248</v>
      </c>
      <c r="G381" t="n">
        <v>1248</v>
      </c>
    </row>
    <row r="382">
      <c r="A382" t="inlineStr">
        <is>
          <t>202611</t>
        </is>
      </c>
      <c r="B382" t="inlineStr">
        <is>
          <t>Andere</t>
        </is>
      </c>
      <c r="C382" t="inlineStr">
        <is>
          <t>FZ-02-05-1</t>
        </is>
      </c>
      <c r="D382" t="n">
        <v>1248</v>
      </c>
      <c r="E382" t="n">
        <v>0</v>
      </c>
      <c r="F382" t="n">
        <v>1248</v>
      </c>
      <c r="G382" t="n">
        <v>1248</v>
      </c>
    </row>
    <row r="383">
      <c r="A383" t="inlineStr">
        <is>
          <t>202611</t>
        </is>
      </c>
      <c r="B383" t="inlineStr">
        <is>
          <t>Andere</t>
        </is>
      </c>
      <c r="C383" t="inlineStr">
        <is>
          <t>FZ-02-06-1</t>
        </is>
      </c>
      <c r="D383" t="n">
        <v>1248</v>
      </c>
      <c r="E383" t="n">
        <v>0</v>
      </c>
      <c r="F383" t="n">
        <v>1248</v>
      </c>
      <c r="G383" t="n">
        <v>1248</v>
      </c>
    </row>
    <row r="384">
      <c r="A384" t="inlineStr">
        <is>
          <t>202611</t>
        </is>
      </c>
      <c r="B384" t="inlineStr">
        <is>
          <t>Andere</t>
        </is>
      </c>
      <c r="C384" t="inlineStr">
        <is>
          <t>FZ-02-07-1</t>
        </is>
      </c>
      <c r="D384" t="n">
        <v>1248</v>
      </c>
      <c r="E384" t="n">
        <v>0</v>
      </c>
      <c r="F384" t="n">
        <v>1248</v>
      </c>
      <c r="G384" t="n">
        <v>1248</v>
      </c>
    </row>
    <row r="385">
      <c r="A385" t="inlineStr">
        <is>
          <t>202611</t>
        </is>
      </c>
      <c r="B385" t="inlineStr">
        <is>
          <t>Andere</t>
        </is>
      </c>
      <c r="C385" t="inlineStr">
        <is>
          <t>FZ-02-08-1</t>
        </is>
      </c>
      <c r="D385" t="n">
        <v>1248</v>
      </c>
      <c r="E385" t="n">
        <v>0</v>
      </c>
      <c r="F385" t="n">
        <v>1248</v>
      </c>
      <c r="G385" t="n">
        <v>1248</v>
      </c>
    </row>
    <row r="386">
      <c r="A386" t="inlineStr">
        <is>
          <t>202611</t>
        </is>
      </c>
      <c r="B386" t="inlineStr">
        <is>
          <t>Andere</t>
        </is>
      </c>
      <c r="C386" t="inlineStr">
        <is>
          <t>FZ-02-09-1</t>
        </is>
      </c>
      <c r="D386" t="n">
        <v>1248</v>
      </c>
      <c r="E386" t="n">
        <v>0</v>
      </c>
      <c r="F386" t="n">
        <v>1248</v>
      </c>
      <c r="G386" t="n">
        <v>1248</v>
      </c>
    </row>
    <row r="387">
      <c r="A387" t="inlineStr">
        <is>
          <t>202611</t>
        </is>
      </c>
      <c r="B387" t="inlineStr">
        <is>
          <t>Andere</t>
        </is>
      </c>
      <c r="C387" t="inlineStr">
        <is>
          <t>FZ-02-10-1</t>
        </is>
      </c>
      <c r="D387" t="n">
        <v>1248</v>
      </c>
      <c r="E387" t="n">
        <v>0</v>
      </c>
      <c r="F387" t="n">
        <v>1248</v>
      </c>
      <c r="G387" t="n">
        <v>1248</v>
      </c>
    </row>
    <row r="388">
      <c r="A388" t="inlineStr">
        <is>
          <t>202611</t>
        </is>
      </c>
      <c r="B388" t="inlineStr">
        <is>
          <t>Andere</t>
        </is>
      </c>
      <c r="C388" t="inlineStr">
        <is>
          <t>FZ-02-11-1</t>
        </is>
      </c>
      <c r="D388" t="n">
        <v>1248</v>
      </c>
      <c r="E388" t="n">
        <v>0</v>
      </c>
      <c r="F388" t="n">
        <v>1248</v>
      </c>
      <c r="G388" t="n">
        <v>1248</v>
      </c>
    </row>
    <row r="389">
      <c r="A389" t="inlineStr">
        <is>
          <t>202611</t>
        </is>
      </c>
      <c r="B389" t="inlineStr">
        <is>
          <t>Andere</t>
        </is>
      </c>
      <c r="C389" t="inlineStr">
        <is>
          <t>FZ-02-27-2</t>
        </is>
      </c>
      <c r="D389" t="n">
        <v>1248</v>
      </c>
      <c r="E389" t="n">
        <v>0</v>
      </c>
      <c r="F389" t="n">
        <v>1248</v>
      </c>
      <c r="G389" t="n">
        <v>1248</v>
      </c>
    </row>
    <row r="390">
      <c r="A390" t="inlineStr">
        <is>
          <t>202611</t>
        </is>
      </c>
      <c r="B390" t="inlineStr">
        <is>
          <t>Andere</t>
        </is>
      </c>
      <c r="C390" t="inlineStr">
        <is>
          <t>FZ-02-28-2</t>
        </is>
      </c>
      <c r="D390" t="n">
        <v>1248</v>
      </c>
      <c r="E390" t="n">
        <v>0</v>
      </c>
      <c r="F390" t="n">
        <v>1248</v>
      </c>
      <c r="G390" t="n">
        <v>1248</v>
      </c>
    </row>
    <row r="391">
      <c r="A391" t="inlineStr">
        <is>
          <t>202611</t>
        </is>
      </c>
      <c r="B391" t="inlineStr">
        <is>
          <t>Andere</t>
        </is>
      </c>
      <c r="C391" t="inlineStr">
        <is>
          <t>FZ-02-29-2</t>
        </is>
      </c>
      <c r="D391" t="n">
        <v>1248</v>
      </c>
      <c r="E391" t="n">
        <v>0</v>
      </c>
      <c r="F391" t="n">
        <v>1248</v>
      </c>
      <c r="G391" t="n">
        <v>1248</v>
      </c>
    </row>
    <row r="392">
      <c r="A392" t="inlineStr">
        <is>
          <t>202611</t>
        </is>
      </c>
      <c r="B392" t="inlineStr">
        <is>
          <t>Andere</t>
        </is>
      </c>
      <c r="C392" t="inlineStr">
        <is>
          <t>FZ-02-30-2</t>
        </is>
      </c>
      <c r="D392" t="n">
        <v>1248</v>
      </c>
      <c r="E392" t="n">
        <v>0</v>
      </c>
      <c r="F392" t="n">
        <v>1248</v>
      </c>
      <c r="G392" t="n">
        <v>1248</v>
      </c>
    </row>
    <row r="393">
      <c r="A393" t="inlineStr">
        <is>
          <t>202611</t>
        </is>
      </c>
      <c r="B393" t="inlineStr">
        <is>
          <t>Andere</t>
        </is>
      </c>
      <c r="C393" t="inlineStr">
        <is>
          <t>FZ-02-31-2</t>
        </is>
      </c>
      <c r="D393" t="n">
        <v>1248</v>
      </c>
      <c r="E393" t="n">
        <v>0</v>
      </c>
      <c r="F393" t="n">
        <v>1248</v>
      </c>
      <c r="G393" t="n">
        <v>1248</v>
      </c>
    </row>
    <row r="394">
      <c r="A394" t="inlineStr">
        <is>
          <t>202611</t>
        </is>
      </c>
      <c r="B394" t="inlineStr">
        <is>
          <t>Andere</t>
        </is>
      </c>
      <c r="C394" t="inlineStr">
        <is>
          <t>FZ-02-32-2</t>
        </is>
      </c>
      <c r="D394" t="n">
        <v>1248</v>
      </c>
      <c r="E394" t="n">
        <v>0</v>
      </c>
      <c r="F394" t="n">
        <v>1248</v>
      </c>
      <c r="G394" t="n">
        <v>1248</v>
      </c>
    </row>
    <row r="395">
      <c r="A395" t="inlineStr">
        <is>
          <t>202611</t>
        </is>
      </c>
      <c r="B395" t="inlineStr">
        <is>
          <t>Andere</t>
        </is>
      </c>
      <c r="C395" t="inlineStr">
        <is>
          <t>FZ-02-33-1</t>
        </is>
      </c>
      <c r="D395" t="n">
        <v>1248</v>
      </c>
      <c r="E395" t="n">
        <v>0</v>
      </c>
      <c r="F395" t="n">
        <v>1248</v>
      </c>
      <c r="G395" t="n">
        <v>1248</v>
      </c>
    </row>
    <row r="396">
      <c r="A396" t="inlineStr">
        <is>
          <t>202611</t>
        </is>
      </c>
      <c r="B396" t="inlineStr">
        <is>
          <t>Andere</t>
        </is>
      </c>
      <c r="C396" t="inlineStr">
        <is>
          <t>FZ-02-33-2</t>
        </is>
      </c>
      <c r="D396" t="n">
        <v>1248</v>
      </c>
      <c r="E396" t="n">
        <v>0</v>
      </c>
      <c r="F396" t="n">
        <v>1248</v>
      </c>
      <c r="G396" t="n">
        <v>1248</v>
      </c>
    </row>
    <row r="397">
      <c r="A397" t="inlineStr">
        <is>
          <t>202611</t>
        </is>
      </c>
      <c r="B397" t="inlineStr">
        <is>
          <t>Andere</t>
        </is>
      </c>
      <c r="C397" t="inlineStr">
        <is>
          <t>FZ-02-34-1</t>
        </is>
      </c>
      <c r="D397" t="n">
        <v>1248</v>
      </c>
      <c r="E397" t="n">
        <v>0</v>
      </c>
      <c r="F397" t="n">
        <v>1248</v>
      </c>
      <c r="G397" t="n">
        <v>1248</v>
      </c>
    </row>
    <row r="398">
      <c r="A398" t="inlineStr">
        <is>
          <t>202611</t>
        </is>
      </c>
      <c r="B398" t="inlineStr">
        <is>
          <t>Andere</t>
        </is>
      </c>
      <c r="C398" t="inlineStr">
        <is>
          <t>FZ-02-34-2</t>
        </is>
      </c>
      <c r="D398" t="n">
        <v>1248</v>
      </c>
      <c r="E398" t="n">
        <v>0</v>
      </c>
      <c r="F398" t="n">
        <v>1248</v>
      </c>
      <c r="G398" t="n">
        <v>1248</v>
      </c>
    </row>
    <row r="399">
      <c r="A399" t="inlineStr">
        <is>
          <t>202611</t>
        </is>
      </c>
      <c r="B399" t="inlineStr">
        <is>
          <t>Andere</t>
        </is>
      </c>
      <c r="C399" t="inlineStr">
        <is>
          <t>FZ-02-35-1</t>
        </is>
      </c>
      <c r="D399" t="n">
        <v>1248</v>
      </c>
      <c r="E399" t="n">
        <v>0</v>
      </c>
      <c r="F399" t="n">
        <v>1248</v>
      </c>
      <c r="G399" t="n">
        <v>1248</v>
      </c>
    </row>
    <row r="400">
      <c r="A400" t="inlineStr">
        <is>
          <t>202611</t>
        </is>
      </c>
      <c r="B400" t="inlineStr">
        <is>
          <t>Andere</t>
        </is>
      </c>
      <c r="C400" t="inlineStr">
        <is>
          <t>FZ-02-35-2</t>
        </is>
      </c>
      <c r="D400" t="n">
        <v>1248</v>
      </c>
      <c r="E400" t="n">
        <v>0</v>
      </c>
      <c r="F400" t="n">
        <v>1248</v>
      </c>
      <c r="G400" t="n">
        <v>1248</v>
      </c>
    </row>
    <row r="401">
      <c r="A401" t="inlineStr">
        <is>
          <t>202611</t>
        </is>
      </c>
      <c r="B401" t="inlineStr">
        <is>
          <t>Andere</t>
        </is>
      </c>
      <c r="C401" t="inlineStr">
        <is>
          <t>FZ-02-36-2</t>
        </is>
      </c>
      <c r="D401" t="n">
        <v>1248</v>
      </c>
      <c r="E401" t="n">
        <v>0</v>
      </c>
      <c r="F401" t="n">
        <v>1248</v>
      </c>
      <c r="G401" t="n">
        <v>1248</v>
      </c>
    </row>
    <row r="402">
      <c r="A402" t="inlineStr">
        <is>
          <t>202611</t>
        </is>
      </c>
      <c r="B402" t="inlineStr">
        <is>
          <t>Andere</t>
        </is>
      </c>
      <c r="C402" t="inlineStr">
        <is>
          <t>NORDICS</t>
        </is>
      </c>
      <c r="D402" t="n">
        <v>1248</v>
      </c>
      <c r="E402" t="n">
        <v>0</v>
      </c>
      <c r="F402" t="n">
        <v>1248</v>
      </c>
      <c r="G402" t="n">
        <v>1248</v>
      </c>
    </row>
    <row r="403">
      <c r="A403" t="inlineStr">
        <is>
          <t>202611</t>
        </is>
      </c>
      <c r="B403" t="inlineStr">
        <is>
          <t>Andere</t>
        </is>
      </c>
      <c r="C403" t="inlineStr">
        <is>
          <t>D-06-55-2</t>
        </is>
      </c>
      <c r="D403" t="n">
        <v>1850</v>
      </c>
      <c r="E403" t="n">
        <v>700</v>
      </c>
      <c r="F403" t="n">
        <v>1150</v>
      </c>
      <c r="G403" t="n">
        <v>1150</v>
      </c>
    </row>
    <row r="404">
      <c r="A404" t="inlineStr">
        <is>
          <t>202611</t>
        </is>
      </c>
      <c r="B404" t="inlineStr">
        <is>
          <t>Andere</t>
        </is>
      </c>
      <c r="C404" t="inlineStr">
        <is>
          <t>D-06-51-2</t>
        </is>
      </c>
      <c r="D404" t="n">
        <v>851.6799999999999</v>
      </c>
      <c r="E404" t="n">
        <v>0</v>
      </c>
      <c r="F404" t="n">
        <v>851.6799999999999</v>
      </c>
      <c r="G404" t="n">
        <v>851.6799999999999</v>
      </c>
    </row>
    <row r="405">
      <c r="A405" t="inlineStr">
        <is>
          <t>202611</t>
        </is>
      </c>
      <c r="B405" t="inlineStr">
        <is>
          <t>Andere</t>
        </is>
      </c>
      <c r="C405" t="inlineStr">
        <is>
          <t>D-06-53-2</t>
        </is>
      </c>
      <c r="D405" t="n">
        <v>850</v>
      </c>
      <c r="E405" t="n">
        <v>0</v>
      </c>
      <c r="F405" t="n">
        <v>850</v>
      </c>
      <c r="G405" t="n">
        <v>850</v>
      </c>
    </row>
    <row r="406">
      <c r="A406" t="inlineStr">
        <is>
          <t>202611</t>
        </is>
      </c>
      <c r="B406" t="inlineStr">
        <is>
          <t>Andere</t>
        </is>
      </c>
      <c r="C406" t="inlineStr">
        <is>
          <t>A-02-48-2</t>
        </is>
      </c>
      <c r="D406" t="n">
        <v>800</v>
      </c>
      <c r="E406" t="n">
        <v>0</v>
      </c>
      <c r="F406" t="n">
        <v>800</v>
      </c>
      <c r="G406" t="n">
        <v>800</v>
      </c>
    </row>
    <row r="407">
      <c r="A407" t="inlineStr">
        <is>
          <t>202611</t>
        </is>
      </c>
      <c r="B407" t="inlineStr">
        <is>
          <t>Andere</t>
        </is>
      </c>
      <c r="C407" t="inlineStr">
        <is>
          <t>GC-02-04-1</t>
        </is>
      </c>
      <c r="D407" t="n">
        <v>660</v>
      </c>
      <c r="E407" t="n">
        <v>0</v>
      </c>
      <c r="F407" t="n">
        <v>660</v>
      </c>
      <c r="G407" t="n">
        <v>660</v>
      </c>
    </row>
    <row r="408">
      <c r="A408" t="inlineStr">
        <is>
          <t>202611</t>
        </is>
      </c>
      <c r="B408" t="inlineStr">
        <is>
          <t>Andere</t>
        </is>
      </c>
      <c r="C408" t="inlineStr">
        <is>
          <t>FZ-01-10-2</t>
        </is>
      </c>
      <c r="D408" t="n">
        <v>630</v>
      </c>
      <c r="E408" t="n">
        <v>0</v>
      </c>
      <c r="F408" t="n">
        <v>630</v>
      </c>
      <c r="G408" t="n">
        <v>630</v>
      </c>
    </row>
    <row r="409">
      <c r="A409" t="inlineStr">
        <is>
          <t>202611</t>
        </is>
      </c>
      <c r="B409" t="inlineStr">
        <is>
          <t>Andere</t>
        </is>
      </c>
      <c r="C409" t="inlineStr">
        <is>
          <t>P-04-12-2</t>
        </is>
      </c>
      <c r="D409" t="n">
        <v>462</v>
      </c>
      <c r="E409" t="n">
        <v>0</v>
      </c>
      <c r="F409" t="n">
        <v>462</v>
      </c>
      <c r="G409" t="n">
        <v>462</v>
      </c>
    </row>
    <row r="410">
      <c r="A410" t="inlineStr">
        <is>
          <t>202611</t>
        </is>
      </c>
      <c r="B410" t="inlineStr">
        <is>
          <t>Andere</t>
        </is>
      </c>
      <c r="C410" t="inlineStr">
        <is>
          <t>FAHANSENMA</t>
        </is>
      </c>
      <c r="D410" t="n">
        <v>416</v>
      </c>
      <c r="E410" t="n">
        <v>0</v>
      </c>
      <c r="F410" t="n">
        <v>416</v>
      </c>
      <c r="G410" t="n">
        <v>416</v>
      </c>
    </row>
    <row r="411">
      <c r="A411" t="inlineStr">
        <is>
          <t>202611</t>
        </is>
      </c>
      <c r="B411" t="inlineStr">
        <is>
          <t>Andere</t>
        </is>
      </c>
      <c r="C411" t="inlineStr">
        <is>
          <t>A-02-28-2</t>
        </is>
      </c>
      <c r="D411" t="n">
        <v>400</v>
      </c>
      <c r="E411" t="n">
        <v>0</v>
      </c>
      <c r="F411" t="n">
        <v>400</v>
      </c>
      <c r="G411" t="n">
        <v>400</v>
      </c>
    </row>
    <row r="412">
      <c r="A412" t="inlineStr">
        <is>
          <t>202611</t>
        </is>
      </c>
      <c r="B412" t="inlineStr">
        <is>
          <t>Andere</t>
        </is>
      </c>
      <c r="C412" t="inlineStr">
        <is>
          <t>A-02-29-2</t>
        </is>
      </c>
      <c r="D412" t="n">
        <v>400</v>
      </c>
      <c r="E412" t="n">
        <v>0</v>
      </c>
      <c r="F412" t="n">
        <v>400</v>
      </c>
      <c r="G412" t="n">
        <v>400</v>
      </c>
    </row>
    <row r="413">
      <c r="A413" t="inlineStr">
        <is>
          <t>202611</t>
        </is>
      </c>
      <c r="B413" t="inlineStr">
        <is>
          <t>Andere</t>
        </is>
      </c>
      <c r="C413" t="inlineStr">
        <is>
          <t>A-02-37-2</t>
        </is>
      </c>
      <c r="D413" t="n">
        <v>400</v>
      </c>
      <c r="E413" t="n">
        <v>0</v>
      </c>
      <c r="F413" t="n">
        <v>400</v>
      </c>
      <c r="G413" t="n">
        <v>400</v>
      </c>
    </row>
    <row r="414">
      <c r="A414" t="inlineStr">
        <is>
          <t>202611</t>
        </is>
      </c>
      <c r="B414" t="inlineStr">
        <is>
          <t>Andere</t>
        </is>
      </c>
      <c r="C414" t="inlineStr">
        <is>
          <t>A-02-38-2</t>
        </is>
      </c>
      <c r="D414" t="n">
        <v>400</v>
      </c>
      <c r="E414" t="n">
        <v>0</v>
      </c>
      <c r="F414" t="n">
        <v>400</v>
      </c>
      <c r="G414" t="n">
        <v>400</v>
      </c>
    </row>
    <row r="415">
      <c r="A415" t="inlineStr">
        <is>
          <t>202611</t>
        </is>
      </c>
      <c r="B415" t="inlineStr">
        <is>
          <t>Andere</t>
        </is>
      </c>
      <c r="C415" t="inlineStr">
        <is>
          <t>A-02-54-1</t>
        </is>
      </c>
      <c r="D415" t="n">
        <v>400</v>
      </c>
      <c r="E415" t="n">
        <v>0</v>
      </c>
      <c r="F415" t="n">
        <v>400</v>
      </c>
      <c r="G415" t="n">
        <v>400</v>
      </c>
    </row>
    <row r="416">
      <c r="A416" t="inlineStr">
        <is>
          <t>202611</t>
        </is>
      </c>
      <c r="B416" t="inlineStr">
        <is>
          <t>Andere</t>
        </is>
      </c>
      <c r="C416" t="inlineStr">
        <is>
          <t>A-02-56-2</t>
        </is>
      </c>
      <c r="D416" t="n">
        <v>400</v>
      </c>
      <c r="E416" t="n">
        <v>0</v>
      </c>
      <c r="F416" t="n">
        <v>400</v>
      </c>
      <c r="G416" t="n">
        <v>400</v>
      </c>
    </row>
    <row r="417">
      <c r="A417" t="inlineStr">
        <is>
          <t>202611</t>
        </is>
      </c>
      <c r="B417" t="inlineStr">
        <is>
          <t>Andere</t>
        </is>
      </c>
      <c r="C417" t="inlineStr">
        <is>
          <t>A-02-57-2</t>
        </is>
      </c>
      <c r="D417" t="n">
        <v>400</v>
      </c>
      <c r="E417" t="n">
        <v>0</v>
      </c>
      <c r="F417" t="n">
        <v>400</v>
      </c>
      <c r="G417" t="n">
        <v>400</v>
      </c>
    </row>
    <row r="418">
      <c r="A418" t="inlineStr">
        <is>
          <t>202611</t>
        </is>
      </c>
      <c r="B418" t="inlineStr">
        <is>
          <t>Andere</t>
        </is>
      </c>
      <c r="C418" t="inlineStr">
        <is>
          <t>A-02-58-2</t>
        </is>
      </c>
      <c r="D418" t="n">
        <v>400</v>
      </c>
      <c r="E418" t="n">
        <v>0</v>
      </c>
      <c r="F418" t="n">
        <v>400</v>
      </c>
      <c r="G418" t="n">
        <v>400</v>
      </c>
    </row>
    <row r="419">
      <c r="A419" t="inlineStr">
        <is>
          <t>202611</t>
        </is>
      </c>
      <c r="B419" t="inlineStr">
        <is>
          <t>Andere</t>
        </is>
      </c>
      <c r="C419" t="inlineStr">
        <is>
          <t>A-02-59-2</t>
        </is>
      </c>
      <c r="D419" t="n">
        <v>800</v>
      </c>
      <c r="E419" t="n">
        <v>400</v>
      </c>
      <c r="F419" t="n">
        <v>400</v>
      </c>
      <c r="G419" t="n">
        <v>400</v>
      </c>
    </row>
    <row r="420">
      <c r="A420" t="inlineStr">
        <is>
          <t>202611</t>
        </is>
      </c>
      <c r="B420" t="inlineStr">
        <is>
          <t>Andere</t>
        </is>
      </c>
      <c r="C420" t="inlineStr">
        <is>
          <t>A-02-60-2</t>
        </is>
      </c>
      <c r="D420" t="n">
        <v>400</v>
      </c>
      <c r="E420" t="n">
        <v>0</v>
      </c>
      <c r="F420" t="n">
        <v>400</v>
      </c>
      <c r="G420" t="n">
        <v>400</v>
      </c>
    </row>
    <row r="421">
      <c r="A421" t="inlineStr">
        <is>
          <t>202611</t>
        </is>
      </c>
      <c r="B421" t="inlineStr">
        <is>
          <t>Andere</t>
        </is>
      </c>
      <c r="C421" t="inlineStr">
        <is>
          <t>ADJ LOC</t>
        </is>
      </c>
      <c r="D421" t="n">
        <v>360</v>
      </c>
      <c r="E421" t="n">
        <v>0</v>
      </c>
      <c r="F421" t="n">
        <v>360</v>
      </c>
      <c r="G421" t="n">
        <v>360</v>
      </c>
    </row>
    <row r="422">
      <c r="A422" t="inlineStr">
        <is>
          <t>202611</t>
        </is>
      </c>
      <c r="B422" t="inlineStr">
        <is>
          <t>Andere</t>
        </is>
      </c>
      <c r="C422" t="inlineStr">
        <is>
          <t>FZ-01-04-2</t>
        </is>
      </c>
      <c r="D422" t="n">
        <v>360</v>
      </c>
      <c r="E422" t="n">
        <v>0</v>
      </c>
      <c r="F422" t="n">
        <v>360</v>
      </c>
      <c r="G422" t="n">
        <v>360</v>
      </c>
    </row>
    <row r="423">
      <c r="A423" t="inlineStr">
        <is>
          <t>202611</t>
        </is>
      </c>
      <c r="B423" t="inlineStr">
        <is>
          <t>Andere</t>
        </is>
      </c>
      <c r="C423" t="inlineStr">
        <is>
          <t>FZ-01-06-2</t>
        </is>
      </c>
      <c r="D423" t="n">
        <v>360</v>
      </c>
      <c r="E423" t="n">
        <v>0</v>
      </c>
      <c r="F423" t="n">
        <v>360</v>
      </c>
      <c r="G423" t="n">
        <v>360</v>
      </c>
    </row>
    <row r="424">
      <c r="A424" t="inlineStr">
        <is>
          <t>202611</t>
        </is>
      </c>
      <c r="B424" t="inlineStr">
        <is>
          <t>Andere</t>
        </is>
      </c>
      <c r="C424" t="inlineStr">
        <is>
          <t>FZ-01-07-2</t>
        </is>
      </c>
      <c r="D424" t="n">
        <v>360</v>
      </c>
      <c r="E424" t="n">
        <v>0</v>
      </c>
      <c r="F424" t="n">
        <v>360</v>
      </c>
      <c r="G424" t="n">
        <v>360</v>
      </c>
    </row>
    <row r="425">
      <c r="A425" t="inlineStr">
        <is>
          <t>202611</t>
        </is>
      </c>
      <c r="B425" t="inlineStr">
        <is>
          <t>Andere</t>
        </is>
      </c>
      <c r="C425" t="inlineStr">
        <is>
          <t>FZ-01-09-2</t>
        </is>
      </c>
      <c r="D425" t="n">
        <v>360</v>
      </c>
      <c r="E425" t="n">
        <v>0</v>
      </c>
      <c r="F425" t="n">
        <v>360</v>
      </c>
      <c r="G425" t="n">
        <v>360</v>
      </c>
    </row>
    <row r="426">
      <c r="A426" t="inlineStr">
        <is>
          <t>202611</t>
        </is>
      </c>
      <c r="B426" t="inlineStr">
        <is>
          <t>Andere</t>
        </is>
      </c>
      <c r="C426" t="inlineStr">
        <is>
          <t>FZ-01-11-2</t>
        </is>
      </c>
      <c r="D426" t="n">
        <v>360</v>
      </c>
      <c r="E426" t="n">
        <v>0</v>
      </c>
      <c r="F426" t="n">
        <v>360</v>
      </c>
      <c r="G426" t="n">
        <v>360</v>
      </c>
    </row>
    <row r="427">
      <c r="A427" t="inlineStr">
        <is>
          <t>202611</t>
        </is>
      </c>
      <c r="B427" t="inlineStr">
        <is>
          <t>Andere</t>
        </is>
      </c>
      <c r="C427" t="inlineStr">
        <is>
          <t>FZ-01-12-2</t>
        </is>
      </c>
      <c r="D427" t="n">
        <v>360</v>
      </c>
      <c r="E427" t="n">
        <v>0</v>
      </c>
      <c r="F427" t="n">
        <v>360</v>
      </c>
      <c r="G427" t="n">
        <v>360</v>
      </c>
    </row>
    <row r="428">
      <c r="A428" t="inlineStr">
        <is>
          <t>202611</t>
        </is>
      </c>
      <c r="B428" t="inlineStr">
        <is>
          <t>Andere</t>
        </is>
      </c>
      <c r="C428" t="inlineStr">
        <is>
          <t>FZ-01-19-1</t>
        </is>
      </c>
      <c r="D428" t="n">
        <v>360</v>
      </c>
      <c r="E428" t="n">
        <v>0</v>
      </c>
      <c r="F428" t="n">
        <v>360</v>
      </c>
      <c r="G428" t="n">
        <v>360</v>
      </c>
    </row>
    <row r="429">
      <c r="A429" t="inlineStr">
        <is>
          <t>202611</t>
        </is>
      </c>
      <c r="B429" t="inlineStr">
        <is>
          <t>Andere</t>
        </is>
      </c>
      <c r="C429" t="inlineStr">
        <is>
          <t>FZ-02-03-3</t>
        </is>
      </c>
      <c r="D429" t="n">
        <v>360</v>
      </c>
      <c r="E429" t="n">
        <v>0</v>
      </c>
      <c r="F429" t="n">
        <v>360</v>
      </c>
      <c r="G429" t="n">
        <v>360</v>
      </c>
    </row>
    <row r="430">
      <c r="A430" t="inlineStr">
        <is>
          <t>202611</t>
        </is>
      </c>
      <c r="B430" t="inlineStr">
        <is>
          <t>Andere</t>
        </is>
      </c>
      <c r="C430" t="inlineStr">
        <is>
          <t>FZ-02-06-2</t>
        </is>
      </c>
      <c r="D430" t="n">
        <v>360</v>
      </c>
      <c r="E430" t="n">
        <v>0</v>
      </c>
      <c r="F430" t="n">
        <v>360</v>
      </c>
      <c r="G430" t="n">
        <v>360</v>
      </c>
    </row>
    <row r="431">
      <c r="A431" t="inlineStr">
        <is>
          <t>202611</t>
        </is>
      </c>
      <c r="B431" t="inlineStr">
        <is>
          <t>Andere</t>
        </is>
      </c>
      <c r="C431" t="inlineStr">
        <is>
          <t>FZ-02-09-2</t>
        </is>
      </c>
      <c r="D431" t="n">
        <v>360</v>
      </c>
      <c r="E431" t="n">
        <v>0</v>
      </c>
      <c r="F431" t="n">
        <v>360</v>
      </c>
      <c r="G431" t="n">
        <v>360</v>
      </c>
    </row>
    <row r="432">
      <c r="A432" t="inlineStr">
        <is>
          <t>202611</t>
        </is>
      </c>
      <c r="B432" t="inlineStr">
        <is>
          <t>Andere</t>
        </is>
      </c>
      <c r="C432" t="inlineStr">
        <is>
          <t>FZ-02-10-2</t>
        </is>
      </c>
      <c r="D432" t="n">
        <v>360</v>
      </c>
      <c r="E432" t="n">
        <v>0</v>
      </c>
      <c r="F432" t="n">
        <v>360</v>
      </c>
      <c r="G432" t="n">
        <v>360</v>
      </c>
    </row>
    <row r="433">
      <c r="A433" t="inlineStr">
        <is>
          <t>202611</t>
        </is>
      </c>
      <c r="B433" t="inlineStr">
        <is>
          <t>Andere</t>
        </is>
      </c>
      <c r="C433" t="inlineStr">
        <is>
          <t>FZ-02-17-2</t>
        </is>
      </c>
      <c r="D433" t="n">
        <v>360</v>
      </c>
      <c r="E433" t="n">
        <v>0</v>
      </c>
      <c r="F433" t="n">
        <v>360</v>
      </c>
      <c r="G433" t="n">
        <v>360</v>
      </c>
    </row>
    <row r="434">
      <c r="A434" t="inlineStr">
        <is>
          <t>202611</t>
        </is>
      </c>
      <c r="B434" t="inlineStr">
        <is>
          <t>Andere</t>
        </is>
      </c>
      <c r="C434" t="inlineStr">
        <is>
          <t>FZ-02-40-3</t>
        </is>
      </c>
      <c r="D434" t="n">
        <v>360</v>
      </c>
      <c r="E434" t="n">
        <v>0</v>
      </c>
      <c r="F434" t="n">
        <v>360</v>
      </c>
      <c r="G434" t="n">
        <v>360</v>
      </c>
    </row>
    <row r="435">
      <c r="A435" t="inlineStr">
        <is>
          <t>202611</t>
        </is>
      </c>
      <c r="B435" t="inlineStr">
        <is>
          <t>Andere</t>
        </is>
      </c>
      <c r="C435" t="inlineStr">
        <is>
          <t>LOST</t>
        </is>
      </c>
      <c r="D435" t="n">
        <v>360</v>
      </c>
      <c r="E435" t="n">
        <v>0</v>
      </c>
      <c r="F435" t="n">
        <v>360</v>
      </c>
      <c r="G435" t="n">
        <v>360</v>
      </c>
    </row>
    <row r="436">
      <c r="A436" t="inlineStr">
        <is>
          <t>202611</t>
        </is>
      </c>
      <c r="B436" t="inlineStr">
        <is>
          <t>Andere</t>
        </is>
      </c>
      <c r="C436" t="inlineStr">
        <is>
          <t>A-01-05-1</t>
        </is>
      </c>
      <c r="D436" t="n">
        <v>280</v>
      </c>
      <c r="E436" t="n">
        <v>0</v>
      </c>
      <c r="F436" t="n">
        <v>280</v>
      </c>
      <c r="G436" t="n">
        <v>280</v>
      </c>
    </row>
    <row r="437">
      <c r="A437" t="inlineStr">
        <is>
          <t>202611</t>
        </is>
      </c>
      <c r="B437" t="inlineStr">
        <is>
          <t>Andere</t>
        </is>
      </c>
      <c r="C437" t="inlineStr">
        <is>
          <t>A-02-114-2</t>
        </is>
      </c>
      <c r="D437" t="n">
        <v>264</v>
      </c>
      <c r="E437" t="n">
        <v>0</v>
      </c>
      <c r="F437" t="n">
        <v>264</v>
      </c>
      <c r="G437" t="n">
        <v>264</v>
      </c>
    </row>
    <row r="438">
      <c r="A438" t="inlineStr">
        <is>
          <t>202611</t>
        </is>
      </c>
      <c r="B438" t="inlineStr">
        <is>
          <t>Andere</t>
        </is>
      </c>
      <c r="C438" t="inlineStr">
        <is>
          <t>A-02-80-1</t>
        </is>
      </c>
      <c r="D438" t="n">
        <v>264</v>
      </c>
      <c r="E438" t="n">
        <v>0</v>
      </c>
      <c r="F438" t="n">
        <v>264</v>
      </c>
      <c r="G438" t="n">
        <v>264</v>
      </c>
    </row>
    <row r="439">
      <c r="A439" t="inlineStr">
        <is>
          <t>202611</t>
        </is>
      </c>
      <c r="B439" t="inlineStr">
        <is>
          <t>Andere</t>
        </is>
      </c>
      <c r="C439" t="inlineStr">
        <is>
          <t>A-02-95-1</t>
        </is>
      </c>
      <c r="D439" t="n">
        <v>264</v>
      </c>
      <c r="E439" t="n">
        <v>0</v>
      </c>
      <c r="F439" t="n">
        <v>264</v>
      </c>
      <c r="G439" t="n">
        <v>264</v>
      </c>
    </row>
    <row r="440">
      <c r="A440" t="inlineStr">
        <is>
          <t>202611</t>
        </is>
      </c>
      <c r="B440" t="inlineStr">
        <is>
          <t>Andere</t>
        </is>
      </c>
      <c r="C440" t="inlineStr">
        <is>
          <t>A-02-102-2</t>
        </is>
      </c>
      <c r="D440" t="n">
        <v>192</v>
      </c>
      <c r="E440" t="n">
        <v>0</v>
      </c>
      <c r="F440" t="n">
        <v>192</v>
      </c>
      <c r="G440" t="n">
        <v>192</v>
      </c>
    </row>
    <row r="441">
      <c r="A441" t="inlineStr">
        <is>
          <t>202611</t>
        </is>
      </c>
      <c r="B441" t="inlineStr">
        <is>
          <t>Andere</t>
        </is>
      </c>
      <c r="C441" t="inlineStr">
        <is>
          <t>A-02-103-2</t>
        </is>
      </c>
      <c r="D441" t="n">
        <v>192</v>
      </c>
      <c r="E441" t="n">
        <v>0</v>
      </c>
      <c r="F441" t="n">
        <v>192</v>
      </c>
      <c r="G441" t="n">
        <v>192</v>
      </c>
    </row>
    <row r="442">
      <c r="A442" t="inlineStr">
        <is>
          <t>202611</t>
        </is>
      </c>
      <c r="B442" t="inlineStr">
        <is>
          <t>Andere</t>
        </is>
      </c>
      <c r="C442" t="inlineStr">
        <is>
          <t>A-02-93-1</t>
        </is>
      </c>
      <c r="D442" t="n">
        <v>192</v>
      </c>
      <c r="E442" t="n">
        <v>0</v>
      </c>
      <c r="F442" t="n">
        <v>192</v>
      </c>
      <c r="G442" t="n">
        <v>192</v>
      </c>
    </row>
    <row r="443">
      <c r="A443" t="inlineStr">
        <is>
          <t>202611</t>
        </is>
      </c>
      <c r="B443" t="inlineStr">
        <is>
          <t>Andere</t>
        </is>
      </c>
      <c r="C443" t="inlineStr">
        <is>
          <t>A-02-96-1</t>
        </is>
      </c>
      <c r="D443" t="n">
        <v>192</v>
      </c>
      <c r="E443" t="n">
        <v>0</v>
      </c>
      <c r="F443" t="n">
        <v>192</v>
      </c>
      <c r="G443" t="n">
        <v>192</v>
      </c>
    </row>
    <row r="444">
      <c r="A444" t="inlineStr">
        <is>
          <t>202611</t>
        </is>
      </c>
      <c r="B444" t="inlineStr">
        <is>
          <t>Andere</t>
        </is>
      </c>
      <c r="C444" t="inlineStr">
        <is>
          <t>D-06-09-1</t>
        </is>
      </c>
      <c r="D444" t="n">
        <v>21700.04</v>
      </c>
      <c r="E444" t="n">
        <v>21512.26</v>
      </c>
      <c r="F444" t="n">
        <v>187.78</v>
      </c>
      <c r="G444" t="n">
        <v>187.78</v>
      </c>
    </row>
    <row r="445">
      <c r="A445" t="inlineStr">
        <is>
          <t>202611</t>
        </is>
      </c>
      <c r="B445" t="inlineStr">
        <is>
          <t>Andere</t>
        </is>
      </c>
      <c r="C445" t="inlineStr">
        <is>
          <t>A-02-52-2</t>
        </is>
      </c>
      <c r="D445" t="n">
        <v>180</v>
      </c>
      <c r="E445" t="n">
        <v>0</v>
      </c>
      <c r="F445" t="n">
        <v>180</v>
      </c>
      <c r="G445" t="n">
        <v>180</v>
      </c>
    </row>
    <row r="446">
      <c r="A446" t="inlineStr">
        <is>
          <t>202611</t>
        </is>
      </c>
      <c r="B446" t="inlineStr">
        <is>
          <t>Andere</t>
        </is>
      </c>
      <c r="C446" t="inlineStr">
        <is>
          <t>A-02-55-1</t>
        </is>
      </c>
      <c r="D446" t="n">
        <v>132</v>
      </c>
      <c r="E446" t="n">
        <v>0</v>
      </c>
      <c r="F446" t="n">
        <v>132</v>
      </c>
      <c r="G446" t="n">
        <v>132</v>
      </c>
    </row>
    <row r="447">
      <c r="A447" t="inlineStr">
        <is>
          <t>202611</t>
        </is>
      </c>
      <c r="B447" t="inlineStr">
        <is>
          <t>Andere</t>
        </is>
      </c>
      <c r="C447" t="inlineStr">
        <is>
          <t>A-02-85-1</t>
        </is>
      </c>
      <c r="D447" t="n">
        <v>264</v>
      </c>
      <c r="E447" t="n">
        <v>132</v>
      </c>
      <c r="F447" t="n">
        <v>132</v>
      </c>
      <c r="G447" t="n">
        <v>132</v>
      </c>
    </row>
    <row r="448">
      <c r="A448" t="inlineStr">
        <is>
          <t>202611</t>
        </is>
      </c>
      <c r="B448" t="inlineStr">
        <is>
          <t>Andere</t>
        </is>
      </c>
      <c r="C448" t="inlineStr">
        <is>
          <t>A-02-89-1</t>
        </is>
      </c>
      <c r="D448" t="n">
        <v>132</v>
      </c>
      <c r="E448" t="n">
        <v>0</v>
      </c>
      <c r="F448" t="n">
        <v>132</v>
      </c>
      <c r="G448" t="n">
        <v>132</v>
      </c>
    </row>
    <row r="449">
      <c r="A449" t="inlineStr">
        <is>
          <t>202611</t>
        </is>
      </c>
      <c r="B449" t="inlineStr">
        <is>
          <t>Andere</t>
        </is>
      </c>
      <c r="C449" t="inlineStr">
        <is>
          <t>A-02-90-1</t>
        </is>
      </c>
      <c r="D449" t="n">
        <v>264</v>
      </c>
      <c r="E449" t="n">
        <v>132</v>
      </c>
      <c r="F449" t="n">
        <v>132</v>
      </c>
      <c r="G449" t="n">
        <v>132</v>
      </c>
    </row>
    <row r="450">
      <c r="A450" t="inlineStr">
        <is>
          <t>202611</t>
        </is>
      </c>
      <c r="B450" t="inlineStr">
        <is>
          <t>Andere</t>
        </is>
      </c>
      <c r="C450" t="inlineStr">
        <is>
          <t>A-02-105-1</t>
        </is>
      </c>
      <c r="D450" t="n">
        <v>96</v>
      </c>
      <c r="E450" t="n">
        <v>0</v>
      </c>
      <c r="F450" t="n">
        <v>96</v>
      </c>
      <c r="G450" t="n">
        <v>96</v>
      </c>
    </row>
    <row r="451">
      <c r="A451" t="inlineStr">
        <is>
          <t>202611</t>
        </is>
      </c>
      <c r="B451" t="inlineStr">
        <is>
          <t>Andere</t>
        </is>
      </c>
      <c r="C451" t="inlineStr">
        <is>
          <t>A-02-94-1</t>
        </is>
      </c>
      <c r="D451" t="n">
        <v>96</v>
      </c>
      <c r="E451" t="n">
        <v>0</v>
      </c>
      <c r="F451" t="n">
        <v>96</v>
      </c>
      <c r="G451" t="n">
        <v>96</v>
      </c>
    </row>
    <row r="452">
      <c r="A452" t="inlineStr">
        <is>
          <t>202611</t>
        </is>
      </c>
      <c r="B452" t="inlineStr">
        <is>
          <t>Andere</t>
        </is>
      </c>
      <c r="C452" t="inlineStr">
        <is>
          <t>A-02-56-1</t>
        </is>
      </c>
      <c r="D452" t="n">
        <v>80</v>
      </c>
      <c r="E452" t="n">
        <v>0</v>
      </c>
      <c r="F452" t="n">
        <v>80</v>
      </c>
      <c r="G452" t="n">
        <v>80</v>
      </c>
    </row>
    <row r="453">
      <c r="A453" t="inlineStr">
        <is>
          <t>202611</t>
        </is>
      </c>
      <c r="B453" t="inlineStr">
        <is>
          <t>Andere</t>
        </is>
      </c>
      <c r="C453" t="inlineStr">
        <is>
          <t>A-02-57-1</t>
        </is>
      </c>
      <c r="D453" t="n">
        <v>80</v>
      </c>
      <c r="E453" t="n">
        <v>0</v>
      </c>
      <c r="F453" t="n">
        <v>80</v>
      </c>
      <c r="G453" t="n">
        <v>80</v>
      </c>
    </row>
    <row r="454">
      <c r="A454" t="inlineStr">
        <is>
          <t>202611</t>
        </is>
      </c>
      <c r="B454" t="inlineStr">
        <is>
          <t>Andere</t>
        </is>
      </c>
      <c r="C454" t="inlineStr">
        <is>
          <t>GC-02-06-1</t>
        </is>
      </c>
      <c r="D454" t="n">
        <v>66</v>
      </c>
      <c r="E454" t="n">
        <v>0</v>
      </c>
      <c r="F454" t="n">
        <v>66</v>
      </c>
      <c r="G454" t="n">
        <v>66</v>
      </c>
    </row>
    <row r="455">
      <c r="A455" t="inlineStr">
        <is>
          <t>202611</t>
        </is>
      </c>
      <c r="B455" t="inlineStr">
        <is>
          <t>Andere</t>
        </is>
      </c>
      <c r="C455" t="inlineStr">
        <is>
          <t>P-04-07-2</t>
        </is>
      </c>
      <c r="D455" t="n">
        <v>56</v>
      </c>
      <c r="E455" t="n">
        <v>0</v>
      </c>
      <c r="F455" t="n">
        <v>56</v>
      </c>
      <c r="G455" t="n">
        <v>56</v>
      </c>
    </row>
    <row r="456">
      <c r="A456" t="inlineStr">
        <is>
          <t>202611</t>
        </is>
      </c>
      <c r="B456" t="inlineStr">
        <is>
          <t>Andere</t>
        </is>
      </c>
      <c r="C456" t="inlineStr">
        <is>
          <t>A-02-44-1</t>
        </is>
      </c>
      <c r="D456" t="n">
        <v>50</v>
      </c>
      <c r="E456" t="n">
        <v>0</v>
      </c>
      <c r="F456" t="n">
        <v>50</v>
      </c>
      <c r="G456" t="n">
        <v>50</v>
      </c>
    </row>
    <row r="457">
      <c r="A457" t="inlineStr">
        <is>
          <t>202611</t>
        </is>
      </c>
      <c r="B457" t="inlineStr">
        <is>
          <t>Andere</t>
        </is>
      </c>
      <c r="C457" t="inlineStr">
        <is>
          <t>D-06-11-1</t>
        </is>
      </c>
      <c r="D457" t="n">
        <v>45</v>
      </c>
      <c r="E457" t="n">
        <v>5</v>
      </c>
      <c r="F457" t="n">
        <v>40</v>
      </c>
      <c r="G457" t="n">
        <v>40</v>
      </c>
    </row>
    <row r="458">
      <c r="A458" t="inlineStr">
        <is>
          <t>202611</t>
        </is>
      </c>
      <c r="B458" t="inlineStr">
        <is>
          <t>Andere</t>
        </is>
      </c>
      <c r="C458" t="inlineStr">
        <is>
          <t>D-06-13-1</t>
        </is>
      </c>
      <c r="D458" t="n">
        <v>30</v>
      </c>
      <c r="E458" t="n">
        <v>0</v>
      </c>
      <c r="F458" t="n">
        <v>30</v>
      </c>
      <c r="G458" t="n">
        <v>30</v>
      </c>
    </row>
    <row r="459">
      <c r="A459" t="inlineStr">
        <is>
          <t>202611</t>
        </is>
      </c>
      <c r="B459" t="inlineStr">
        <is>
          <t>Andere</t>
        </is>
      </c>
      <c r="C459" t="inlineStr">
        <is>
          <t>PH-02-07</t>
        </is>
      </c>
      <c r="D459" t="n">
        <v>0</v>
      </c>
      <c r="E459" t="n">
        <v>24</v>
      </c>
      <c r="F459" t="n">
        <v>-24</v>
      </c>
      <c r="G459" t="n">
        <v>-24</v>
      </c>
    </row>
    <row r="460">
      <c r="A460" t="inlineStr">
        <is>
          <t>202611</t>
        </is>
      </c>
      <c r="B460" t="inlineStr">
        <is>
          <t>Andere</t>
        </is>
      </c>
      <c r="C460" t="inlineStr">
        <is>
          <t>PROD RTN</t>
        </is>
      </c>
      <c r="D460" t="n">
        <v>24</v>
      </c>
      <c r="E460" t="n">
        <v>0</v>
      </c>
      <c r="F460" t="n">
        <v>24</v>
      </c>
      <c r="G460" t="n">
        <v>24</v>
      </c>
    </row>
    <row r="461">
      <c r="A461" t="inlineStr">
        <is>
          <t>202611</t>
        </is>
      </c>
      <c r="B461" t="inlineStr">
        <is>
          <t>Andere</t>
        </is>
      </c>
      <c r="C461" t="inlineStr">
        <is>
          <t>D-06-54-2</t>
        </is>
      </c>
      <c r="D461" t="n">
        <v>15</v>
      </c>
      <c r="E461" t="n">
        <v>0</v>
      </c>
      <c r="F461" t="n">
        <v>15</v>
      </c>
      <c r="G461" t="n">
        <v>15</v>
      </c>
    </row>
    <row r="462">
      <c r="A462" t="inlineStr">
        <is>
          <t>202611</t>
        </is>
      </c>
      <c r="B462" t="inlineStr">
        <is>
          <t>Andere</t>
        </is>
      </c>
      <c r="C462" t="inlineStr">
        <is>
          <t>D-06-05-1</t>
        </is>
      </c>
      <c r="D462" t="n">
        <v>156.8</v>
      </c>
      <c r="E462" t="n">
        <v>162.4</v>
      </c>
      <c r="F462" t="n">
        <v>-5.6</v>
      </c>
      <c r="G462" t="n">
        <v>-5.6</v>
      </c>
    </row>
    <row r="463">
      <c r="A463" t="inlineStr">
        <is>
          <t>202611</t>
        </is>
      </c>
      <c r="B463" t="inlineStr">
        <is>
          <t>Andere</t>
        </is>
      </c>
      <c r="C463" t="inlineStr">
        <is>
          <t>D-06-10-1</t>
        </is>
      </c>
      <c r="D463" t="n">
        <v>815.24</v>
      </c>
      <c r="E463" t="n">
        <v>819.8200000000001</v>
      </c>
      <c r="F463" t="n">
        <v>-4.58</v>
      </c>
      <c r="G463" t="n">
        <v>-4.58</v>
      </c>
    </row>
    <row r="464">
      <c r="A464" t="inlineStr">
        <is>
          <t>202611</t>
        </is>
      </c>
      <c r="B464" t="inlineStr">
        <is>
          <t>Andere</t>
        </is>
      </c>
      <c r="C464" t="inlineStr">
        <is>
          <t>A-01-01-1</t>
        </is>
      </c>
      <c r="D464" t="n">
        <v>180</v>
      </c>
      <c r="E464" t="n">
        <v>180</v>
      </c>
      <c r="F464" t="n">
        <v>0</v>
      </c>
      <c r="G464" t="n">
        <v>0</v>
      </c>
    </row>
    <row r="465">
      <c r="A465" t="inlineStr">
        <is>
          <t>202611</t>
        </is>
      </c>
      <c r="B465" t="inlineStr">
        <is>
          <t>Andere</t>
        </is>
      </c>
      <c r="C465" t="inlineStr">
        <is>
          <t>A-01-04-1</t>
        </is>
      </c>
      <c r="D465" t="n">
        <v>45</v>
      </c>
      <c r="E465" t="n">
        <v>45</v>
      </c>
      <c r="F465" t="n">
        <v>0</v>
      </c>
      <c r="G465" t="n">
        <v>0</v>
      </c>
    </row>
    <row r="466">
      <c r="A466" t="inlineStr">
        <is>
          <t>202611</t>
        </is>
      </c>
      <c r="B466" t="inlineStr">
        <is>
          <t>Andere</t>
        </is>
      </c>
      <c r="C466" t="inlineStr">
        <is>
          <t>D-06-07-1</t>
        </is>
      </c>
      <c r="D466" t="n">
        <v>600</v>
      </c>
      <c r="E466" t="n">
        <v>600</v>
      </c>
      <c r="F466" t="n">
        <v>0</v>
      </c>
      <c r="G466" t="n">
        <v>0</v>
      </c>
    </row>
    <row r="467">
      <c r="A467" t="inlineStr">
        <is>
          <t>202611</t>
        </is>
      </c>
      <c r="B467" t="inlineStr">
        <is>
          <t>Andere</t>
        </is>
      </c>
      <c r="C467" t="inlineStr">
        <is>
          <t>D-06-08-1</t>
        </is>
      </c>
      <c r="D467" t="n">
        <v>336</v>
      </c>
      <c r="E467" t="n">
        <v>336</v>
      </c>
      <c r="F467" t="n">
        <v>0</v>
      </c>
      <c r="G467" t="n">
        <v>0</v>
      </c>
    </row>
    <row r="468">
      <c r="A468" t="inlineStr">
        <is>
          <t>202611</t>
        </is>
      </c>
      <c r="B468" t="inlineStr">
        <is>
          <t>Andere</t>
        </is>
      </c>
      <c r="C468" t="inlineStr">
        <is>
          <t>D-06-12-1</t>
        </is>
      </c>
      <c r="D468" t="n">
        <v>819.8200000000001</v>
      </c>
      <c r="E468" t="n">
        <v>819.8200000000001</v>
      </c>
      <c r="F468" t="n">
        <v>0</v>
      </c>
      <c r="G468" t="n">
        <v>0</v>
      </c>
    </row>
    <row r="469">
      <c r="A469" t="inlineStr">
        <is>
          <t>202611</t>
        </is>
      </c>
      <c r="B469" t="inlineStr">
        <is>
          <t>Andere</t>
        </is>
      </c>
      <c r="C469" t="inlineStr">
        <is>
          <t>D-06-15-1</t>
        </is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202611</t>
        </is>
      </c>
      <c r="B470" t="inlineStr">
        <is>
          <t>Andere</t>
        </is>
      </c>
      <c r="C470" t="inlineStr">
        <is>
          <t>D-06-18-1</t>
        </is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202611</t>
        </is>
      </c>
      <c r="B471" t="inlineStr">
        <is>
          <t>Andere</t>
        </is>
      </c>
      <c r="C471" t="inlineStr">
        <is>
          <t>FZ-01-05-2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202611</t>
        </is>
      </c>
      <c r="B472" t="inlineStr">
        <is>
          <t>Andere</t>
        </is>
      </c>
      <c r="C472" t="inlineStr">
        <is>
          <t>FZ-01-08-2</t>
        </is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202611</t>
        </is>
      </c>
      <c r="B473" t="inlineStr">
        <is>
          <t>Andere</t>
        </is>
      </c>
      <c r="C473" t="inlineStr">
        <is>
          <t>FZ-01-12-3</t>
        </is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202611</t>
        </is>
      </c>
      <c r="B474" t="inlineStr">
        <is>
          <t>Andere</t>
        </is>
      </c>
      <c r="C474" t="inlineStr">
        <is>
          <t>FZ-02-01-2</t>
        </is>
      </c>
      <c r="D474" t="n">
        <v>360</v>
      </c>
      <c r="E474" t="n">
        <v>360</v>
      </c>
      <c r="F474" t="n">
        <v>0</v>
      </c>
      <c r="G474" t="n">
        <v>0</v>
      </c>
    </row>
    <row r="475">
      <c r="A475" t="inlineStr">
        <is>
          <t>202611</t>
        </is>
      </c>
      <c r="B475" t="inlineStr">
        <is>
          <t>Andere</t>
        </is>
      </c>
      <c r="C475" t="inlineStr">
        <is>
          <t>FZ-02-01-3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202611</t>
        </is>
      </c>
      <c r="B476" t="inlineStr">
        <is>
          <t>Andere</t>
        </is>
      </c>
      <c r="C476" t="inlineStr">
        <is>
          <t>FZ-02-02-3</t>
        </is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202611</t>
        </is>
      </c>
      <c r="B477" t="inlineStr">
        <is>
          <t>Andere</t>
        </is>
      </c>
      <c r="C477" t="inlineStr">
        <is>
          <t>FZ-02-16-2</t>
        </is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202611</t>
        </is>
      </c>
      <c r="B478" t="inlineStr">
        <is>
          <t>Andere</t>
        </is>
      </c>
      <c r="C478" t="inlineStr">
        <is>
          <t>FZ-02-17-3</t>
        </is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202611</t>
        </is>
      </c>
      <c r="B479" t="inlineStr">
        <is>
          <t>Andere</t>
        </is>
      </c>
      <c r="C479" t="inlineStr">
        <is>
          <t>FZ-02-26-1</t>
        </is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202611</t>
        </is>
      </c>
      <c r="B480" t="inlineStr">
        <is>
          <t>Andere</t>
        </is>
      </c>
      <c r="C480" t="inlineStr">
        <is>
          <t>FZ-02-27-1</t>
        </is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202611</t>
        </is>
      </c>
      <c r="B481" t="inlineStr">
        <is>
          <t>Lager</t>
        </is>
      </c>
      <c r="C481" t="inlineStr">
        <is>
          <t>STGDR-28</t>
        </is>
      </c>
      <c r="D481" t="n">
        <v>2840</v>
      </c>
      <c r="E481" t="n">
        <v>0</v>
      </c>
      <c r="F481" t="n">
        <v>2840</v>
      </c>
      <c r="G481" t="n">
        <v>2840</v>
      </c>
    </row>
    <row r="482">
      <c r="A482" t="inlineStr">
        <is>
          <t>202611</t>
        </is>
      </c>
      <c r="B482" t="inlineStr">
        <is>
          <t>Lager</t>
        </is>
      </c>
      <c r="C482" t="inlineStr">
        <is>
          <t>STGDR-27</t>
        </is>
      </c>
      <c r="D482" t="n">
        <v>2134</v>
      </c>
      <c r="E482" t="n">
        <v>0</v>
      </c>
      <c r="F482" t="n">
        <v>2134</v>
      </c>
      <c r="G482" t="n">
        <v>2134</v>
      </c>
    </row>
    <row r="483">
      <c r="A483" t="inlineStr">
        <is>
          <t>202611</t>
        </is>
      </c>
      <c r="B483" t="inlineStr">
        <is>
          <t>Lager</t>
        </is>
      </c>
      <c r="C483" t="inlineStr">
        <is>
          <t>STGDR-85</t>
        </is>
      </c>
      <c r="D483" t="n">
        <v>45</v>
      </c>
      <c r="E483" t="n">
        <v>0</v>
      </c>
      <c r="F483" t="n">
        <v>45</v>
      </c>
      <c r="G483" t="n">
        <v>45</v>
      </c>
    </row>
    <row r="484">
      <c r="A484" t="inlineStr">
        <is>
          <t>202611</t>
        </is>
      </c>
      <c r="B484" t="inlineStr">
        <is>
          <t>Lager</t>
        </is>
      </c>
      <c r="C484" t="inlineStr">
        <is>
          <t>STGDR-29</t>
        </is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202612</t>
        </is>
      </c>
      <c r="B485" t="inlineStr">
        <is>
          <t>Andere</t>
        </is>
      </c>
      <c r="C485" t="inlineStr">
        <is>
          <t>FAHANSENMA</t>
        </is>
      </c>
      <c r="D485" t="n">
        <v>924</v>
      </c>
      <c r="E485" t="n">
        <v>0</v>
      </c>
      <c r="F485" t="n">
        <v>924</v>
      </c>
      <c r="G485" t="n">
        <v>924</v>
      </c>
    </row>
    <row r="486">
      <c r="A486" t="inlineStr">
        <is>
          <t>202612</t>
        </is>
      </c>
      <c r="B486" t="inlineStr">
        <is>
          <t>Andere</t>
        </is>
      </c>
      <c r="C486" t="inlineStr">
        <is>
          <t>P-04-02-2</t>
        </is>
      </c>
      <c r="D486" t="n">
        <v>462</v>
      </c>
      <c r="E486" t="n">
        <v>0</v>
      </c>
      <c r="F486" t="n">
        <v>462</v>
      </c>
      <c r="G486" t="n">
        <v>462</v>
      </c>
    </row>
    <row r="487">
      <c r="A487" t="inlineStr">
        <is>
          <t>202612</t>
        </is>
      </c>
      <c r="B487" t="inlineStr">
        <is>
          <t>Andere</t>
        </is>
      </c>
      <c r="C487" t="inlineStr">
        <is>
          <t>P-04-08-2</t>
        </is>
      </c>
      <c r="D487" t="n">
        <v>462</v>
      </c>
      <c r="E487" t="n">
        <v>0</v>
      </c>
      <c r="F487" t="n">
        <v>462</v>
      </c>
      <c r="G487" t="n">
        <v>462</v>
      </c>
    </row>
    <row r="488">
      <c r="A488" t="inlineStr">
        <is>
          <t>202612</t>
        </is>
      </c>
      <c r="B488" t="inlineStr">
        <is>
          <t>Andere</t>
        </is>
      </c>
      <c r="C488" t="inlineStr">
        <is>
          <t>D-06-18-3</t>
        </is>
      </c>
      <c r="D488" t="n">
        <v>320</v>
      </c>
      <c r="E488" t="n">
        <v>70</v>
      </c>
      <c r="F488" t="n">
        <v>250</v>
      </c>
      <c r="G488" t="n">
        <v>250</v>
      </c>
    </row>
    <row r="489">
      <c r="A489" t="inlineStr">
        <is>
          <t>202612</t>
        </is>
      </c>
      <c r="B489" t="inlineStr">
        <is>
          <t>Andere</t>
        </is>
      </c>
      <c r="C489" t="inlineStr">
        <is>
          <t>FAMULLERT</t>
        </is>
      </c>
      <c r="D489" t="n">
        <v>172</v>
      </c>
      <c r="E489" t="n">
        <v>0</v>
      </c>
      <c r="F489" t="n">
        <v>172</v>
      </c>
      <c r="G489" t="n">
        <v>172</v>
      </c>
    </row>
    <row r="490">
      <c r="A490" t="inlineStr">
        <is>
          <t>202612</t>
        </is>
      </c>
      <c r="B490" t="inlineStr">
        <is>
          <t>Andere</t>
        </is>
      </c>
      <c r="C490" t="inlineStr">
        <is>
          <t>P-04-03-2</t>
        </is>
      </c>
      <c r="D490" t="n">
        <v>172</v>
      </c>
      <c r="E490" t="n">
        <v>0</v>
      </c>
      <c r="F490" t="n">
        <v>172</v>
      </c>
      <c r="G490" t="n">
        <v>172</v>
      </c>
    </row>
    <row r="491">
      <c r="A491" t="inlineStr">
        <is>
          <t>202612</t>
        </is>
      </c>
      <c r="B491" t="inlineStr">
        <is>
          <t>Andere</t>
        </is>
      </c>
      <c r="C491" t="inlineStr">
        <is>
          <t>FAGROTHEERF</t>
        </is>
      </c>
      <c r="D491" t="n">
        <v>165</v>
      </c>
      <c r="E491" t="n">
        <v>0</v>
      </c>
      <c r="F491" t="n">
        <v>165</v>
      </c>
      <c r="G491" t="n">
        <v>165</v>
      </c>
    </row>
    <row r="492">
      <c r="A492" t="inlineStr">
        <is>
          <t>202612</t>
        </is>
      </c>
      <c r="B492" t="inlineStr">
        <is>
          <t>Andere</t>
        </is>
      </c>
      <c r="C492" t="inlineStr">
        <is>
          <t>D-06-19-3</t>
        </is>
      </c>
      <c r="D492" t="n">
        <v>195</v>
      </c>
      <c r="E492" t="n">
        <v>35</v>
      </c>
      <c r="F492" t="n">
        <v>160</v>
      </c>
      <c r="G492" t="n">
        <v>160</v>
      </c>
    </row>
    <row r="493">
      <c r="A493" t="inlineStr">
        <is>
          <t>202612</t>
        </is>
      </c>
      <c r="B493" t="inlineStr">
        <is>
          <t>Andere</t>
        </is>
      </c>
      <c r="C493" t="inlineStr">
        <is>
          <t>FAMATTICKT</t>
        </is>
      </c>
      <c r="D493" t="n">
        <v>138</v>
      </c>
      <c r="E493" t="n">
        <v>0</v>
      </c>
      <c r="F493" t="n">
        <v>138</v>
      </c>
      <c r="G493" t="n">
        <v>138</v>
      </c>
    </row>
    <row r="494">
      <c r="A494" t="inlineStr">
        <is>
          <t>202612</t>
        </is>
      </c>
      <c r="B494" t="inlineStr">
        <is>
          <t>Andere</t>
        </is>
      </c>
      <c r="C494" t="inlineStr">
        <is>
          <t>FALEHMANNM</t>
        </is>
      </c>
      <c r="D494" t="n">
        <v>108</v>
      </c>
      <c r="E494" t="n">
        <v>0</v>
      </c>
      <c r="F494" t="n">
        <v>108</v>
      </c>
      <c r="G494" t="n">
        <v>108</v>
      </c>
    </row>
    <row r="495">
      <c r="A495" t="inlineStr">
        <is>
          <t>202612</t>
        </is>
      </c>
      <c r="B495" t="inlineStr">
        <is>
          <t>Andere</t>
        </is>
      </c>
      <c r="C495" t="inlineStr">
        <is>
          <t>D-06-17-3</t>
        </is>
      </c>
      <c r="D495" t="n">
        <v>90</v>
      </c>
      <c r="E495" t="n">
        <v>0</v>
      </c>
      <c r="F495" t="n">
        <v>90</v>
      </c>
      <c r="G495" t="n">
        <v>90</v>
      </c>
    </row>
    <row r="496">
      <c r="A496" t="inlineStr">
        <is>
          <t>202612</t>
        </is>
      </c>
      <c r="B496" t="inlineStr">
        <is>
          <t>Andere</t>
        </is>
      </c>
      <c r="C496" t="inlineStr">
        <is>
          <t>D-06-13-2</t>
        </is>
      </c>
      <c r="D496" t="n">
        <v>84</v>
      </c>
      <c r="E496" t="n">
        <v>0</v>
      </c>
      <c r="F496" t="n">
        <v>84</v>
      </c>
      <c r="G496" t="n">
        <v>84</v>
      </c>
    </row>
    <row r="497">
      <c r="A497" t="inlineStr">
        <is>
          <t>202612</t>
        </is>
      </c>
      <c r="B497" t="inlineStr">
        <is>
          <t>Andere</t>
        </is>
      </c>
      <c r="C497" t="inlineStr">
        <is>
          <t>LOST</t>
        </is>
      </c>
      <c r="D497" t="n">
        <v>84</v>
      </c>
      <c r="E497" t="n">
        <v>0</v>
      </c>
      <c r="F497" t="n">
        <v>84</v>
      </c>
      <c r="G497" t="n">
        <v>84</v>
      </c>
    </row>
    <row r="498">
      <c r="A498" t="inlineStr">
        <is>
          <t>202612</t>
        </is>
      </c>
      <c r="B498" t="inlineStr">
        <is>
          <t>Andere</t>
        </is>
      </c>
      <c r="C498" t="inlineStr">
        <is>
          <t>A-01-43-1</t>
        </is>
      </c>
      <c r="D498" t="n">
        <v>72</v>
      </c>
      <c r="E498" t="n">
        <v>0</v>
      </c>
      <c r="F498" t="n">
        <v>72</v>
      </c>
      <c r="G498" t="n">
        <v>72</v>
      </c>
    </row>
    <row r="499">
      <c r="A499" t="inlineStr">
        <is>
          <t>202612</t>
        </is>
      </c>
      <c r="B499" t="inlineStr">
        <is>
          <t>Andere</t>
        </is>
      </c>
      <c r="C499" t="inlineStr">
        <is>
          <t>D-06-17-2</t>
        </is>
      </c>
      <c r="D499" t="n">
        <v>60</v>
      </c>
      <c r="E499" t="n">
        <v>0</v>
      </c>
      <c r="F499" t="n">
        <v>60</v>
      </c>
      <c r="G499" t="n">
        <v>60</v>
      </c>
    </row>
    <row r="500">
      <c r="A500" t="inlineStr">
        <is>
          <t>202612</t>
        </is>
      </c>
      <c r="B500" t="inlineStr">
        <is>
          <t>Andere</t>
        </is>
      </c>
      <c r="C500" t="inlineStr">
        <is>
          <t>A-02-41-1</t>
        </is>
      </c>
      <c r="D500" t="n">
        <v>36</v>
      </c>
      <c r="E500" t="n">
        <v>0</v>
      </c>
      <c r="F500" t="n">
        <v>36</v>
      </c>
      <c r="G500" t="n">
        <v>36</v>
      </c>
    </row>
    <row r="501">
      <c r="A501" t="inlineStr">
        <is>
          <t>202612</t>
        </is>
      </c>
      <c r="B501" t="inlineStr">
        <is>
          <t>Andere</t>
        </is>
      </c>
      <c r="C501" t="inlineStr">
        <is>
          <t>D-06-15-2</t>
        </is>
      </c>
      <c r="D501" t="n">
        <v>36</v>
      </c>
      <c r="E501" t="n">
        <v>0</v>
      </c>
      <c r="F501" t="n">
        <v>36</v>
      </c>
      <c r="G501" t="n">
        <v>36</v>
      </c>
    </row>
    <row r="502">
      <c r="A502" t="inlineStr">
        <is>
          <t>202612</t>
        </is>
      </c>
      <c r="B502" t="inlineStr">
        <is>
          <t>Andere</t>
        </is>
      </c>
      <c r="C502" t="inlineStr">
        <is>
          <t>D-06-20-3</t>
        </is>
      </c>
      <c r="D502" t="n">
        <v>18</v>
      </c>
      <c r="E502" t="n">
        <v>0</v>
      </c>
      <c r="F502" t="n">
        <v>18</v>
      </c>
      <c r="G502" t="n">
        <v>18</v>
      </c>
    </row>
    <row r="503">
      <c r="A503" t="inlineStr">
        <is>
          <t>202612</t>
        </is>
      </c>
      <c r="B503" t="inlineStr">
        <is>
          <t>Andere</t>
        </is>
      </c>
      <c r="C503" t="inlineStr">
        <is>
          <t>FZ-01-28-1</t>
        </is>
      </c>
      <c r="D503" t="n">
        <v>14</v>
      </c>
      <c r="E503" t="n">
        <v>0</v>
      </c>
      <c r="F503" t="n">
        <v>14</v>
      </c>
      <c r="G503" t="n">
        <v>14</v>
      </c>
    </row>
    <row r="504">
      <c r="A504" t="inlineStr">
        <is>
          <t>202612</t>
        </is>
      </c>
      <c r="B504" t="inlineStr">
        <is>
          <t>Andere</t>
        </is>
      </c>
      <c r="C504" t="inlineStr">
        <is>
          <t>D-06-45-1</t>
        </is>
      </c>
      <c r="D504" t="n">
        <v>0</v>
      </c>
      <c r="E504" t="n">
        <v>10</v>
      </c>
      <c r="F504" t="n">
        <v>-10</v>
      </c>
      <c r="G504" t="n">
        <v>-10</v>
      </c>
    </row>
    <row r="505">
      <c r="A505" t="inlineStr">
        <is>
          <t>202612</t>
        </is>
      </c>
      <c r="B505" t="inlineStr">
        <is>
          <t>Andere</t>
        </is>
      </c>
      <c r="C505" t="inlineStr">
        <is>
          <t>FZ-01-24-1</t>
        </is>
      </c>
      <c r="D505" t="n">
        <v>0</v>
      </c>
      <c r="E505" t="n">
        <v>10</v>
      </c>
      <c r="F505" t="n">
        <v>-10</v>
      </c>
      <c r="G505" t="n">
        <v>-10</v>
      </c>
    </row>
    <row r="506">
      <c r="A506" t="inlineStr">
        <is>
          <t>202612</t>
        </is>
      </c>
      <c r="B506" t="inlineStr">
        <is>
          <t>Andere</t>
        </is>
      </c>
      <c r="C506" t="inlineStr">
        <is>
          <t>D-06-16-2</t>
        </is>
      </c>
      <c r="D506" t="n">
        <v>84</v>
      </c>
      <c r="E506" t="n">
        <v>84</v>
      </c>
      <c r="F506" t="n">
        <v>0</v>
      </c>
      <c r="G506" t="n">
        <v>0</v>
      </c>
    </row>
    <row r="507">
      <c r="A507" t="inlineStr">
        <is>
          <t>202612</t>
        </is>
      </c>
      <c r="B507" t="inlineStr">
        <is>
          <t>Andere</t>
        </is>
      </c>
      <c r="C507" t="inlineStr">
        <is>
          <t>FZ-01-25-1</t>
        </is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202612</t>
        </is>
      </c>
      <c r="B508" t="inlineStr">
        <is>
          <t>Andere</t>
        </is>
      </c>
      <c r="C508" t="inlineStr">
        <is>
          <t>FZ-01-27-1</t>
        </is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202612</t>
        </is>
      </c>
      <c r="B509" t="inlineStr">
        <is>
          <t>Andere</t>
        </is>
      </c>
      <c r="C509" t="inlineStr">
        <is>
          <t>FZ-01-29-1</t>
        </is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202612</t>
        </is>
      </c>
      <c r="B510" t="inlineStr">
        <is>
          <t>Andere</t>
        </is>
      </c>
      <c r="C510" t="inlineStr">
        <is>
          <t>FZ-01-30-1</t>
        </is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202612</t>
        </is>
      </c>
      <c r="B511" t="inlineStr">
        <is>
          <t>Andere</t>
        </is>
      </c>
      <c r="C511" t="inlineStr">
        <is>
          <t>FZ-01-31-1</t>
        </is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202612</t>
        </is>
      </c>
      <c r="B512" t="inlineStr">
        <is>
          <t>Andere</t>
        </is>
      </c>
      <c r="C512" t="inlineStr">
        <is>
          <t>P-04-04-2</t>
        </is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202612</t>
        </is>
      </c>
      <c r="B513" t="inlineStr">
        <is>
          <t>Andere</t>
        </is>
      </c>
      <c r="C513" t="inlineStr">
        <is>
          <t>P-04-05-2</t>
        </is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202612</t>
        </is>
      </c>
      <c r="B514" t="inlineStr">
        <is>
          <t>Andere</t>
        </is>
      </c>
      <c r="C514" t="inlineStr">
        <is>
          <t>P-04-06-2</t>
        </is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202612</t>
        </is>
      </c>
      <c r="B515" t="inlineStr">
        <is>
          <t>Lager</t>
        </is>
      </c>
      <c r="C515" t="inlineStr">
        <is>
          <t>STGDR-27</t>
        </is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202613</t>
        </is>
      </c>
      <c r="B516" t="inlineStr">
        <is>
          <t>Andere</t>
        </is>
      </c>
      <c r="C516" t="inlineStr">
        <is>
          <t>PCK-GER</t>
        </is>
      </c>
      <c r="D516" t="n">
        <v>430000000</v>
      </c>
      <c r="E516" t="n">
        <v>0</v>
      </c>
      <c r="F516" t="n">
        <v>430000000</v>
      </c>
      <c r="G516" t="n">
        <v>430000000</v>
      </c>
    </row>
    <row r="517">
      <c r="A517" t="inlineStr">
        <is>
          <t>202613</t>
        </is>
      </c>
      <c r="B517" t="inlineStr">
        <is>
          <t>Andere</t>
        </is>
      </c>
      <c r="C517" t="inlineStr">
        <is>
          <t>PCK-NO</t>
        </is>
      </c>
      <c r="D517" t="n">
        <v>140000000</v>
      </c>
      <c r="E517" t="n">
        <v>0</v>
      </c>
      <c r="F517" t="n">
        <v>140000000</v>
      </c>
      <c r="G517" t="n">
        <v>140000000</v>
      </c>
    </row>
    <row r="518">
      <c r="A518" t="inlineStr">
        <is>
          <t>202613</t>
        </is>
      </c>
      <c r="B518" t="inlineStr">
        <is>
          <t>Andere</t>
        </is>
      </c>
      <c r="C518" t="inlineStr">
        <is>
          <t>FAWIEGHOLDD</t>
        </is>
      </c>
      <c r="D518" t="n">
        <v>15872.5</v>
      </c>
      <c r="E518" t="n">
        <v>0</v>
      </c>
      <c r="F518" t="n">
        <v>15872.5</v>
      </c>
      <c r="G518" t="n">
        <v>15872.5</v>
      </c>
    </row>
    <row r="519">
      <c r="A519" t="inlineStr">
        <is>
          <t>202613</t>
        </is>
      </c>
      <c r="B519" t="inlineStr">
        <is>
          <t>Andere</t>
        </is>
      </c>
      <c r="C519" t="inlineStr">
        <is>
          <t>FAGEVERSF</t>
        </is>
      </c>
      <c r="D519" t="n">
        <v>8726</v>
      </c>
      <c r="E519" t="n">
        <v>0</v>
      </c>
      <c r="F519" t="n">
        <v>8726</v>
      </c>
      <c r="G519" t="n">
        <v>8726</v>
      </c>
    </row>
    <row r="520">
      <c r="A520" t="inlineStr">
        <is>
          <t>202613</t>
        </is>
      </c>
      <c r="B520" t="inlineStr">
        <is>
          <t>Andere</t>
        </is>
      </c>
      <c r="C520" t="inlineStr">
        <is>
          <t>UNBEKANNT</t>
        </is>
      </c>
      <c r="D520" t="n">
        <v>8277.5</v>
      </c>
      <c r="E520" t="n">
        <v>0</v>
      </c>
      <c r="F520" t="n">
        <v>8277.5</v>
      </c>
      <c r="G520" t="n">
        <v>8277.5</v>
      </c>
    </row>
    <row r="521">
      <c r="A521" t="inlineStr">
        <is>
          <t>202613</t>
        </is>
      </c>
      <c r="B521" t="inlineStr">
        <is>
          <t>Andere</t>
        </is>
      </c>
      <c r="C521" t="inlineStr">
        <is>
          <t>A-01-02-1</t>
        </is>
      </c>
      <c r="D521" t="n">
        <v>7560</v>
      </c>
      <c r="E521" t="n">
        <v>0</v>
      </c>
      <c r="F521" t="n">
        <v>7560</v>
      </c>
      <c r="G521" t="n">
        <v>7560</v>
      </c>
    </row>
    <row r="522">
      <c r="A522" t="inlineStr">
        <is>
          <t>202613</t>
        </is>
      </c>
      <c r="B522" t="inlineStr">
        <is>
          <t>Andere</t>
        </is>
      </c>
      <c r="C522" t="inlineStr">
        <is>
          <t>A-01-03-1</t>
        </is>
      </c>
      <c r="D522" t="n">
        <v>7560</v>
      </c>
      <c r="E522" t="n">
        <v>0</v>
      </c>
      <c r="F522" t="n">
        <v>7560</v>
      </c>
      <c r="G522" t="n">
        <v>7560</v>
      </c>
    </row>
    <row r="523">
      <c r="A523" t="inlineStr">
        <is>
          <t>202613</t>
        </is>
      </c>
      <c r="B523" t="inlineStr">
        <is>
          <t>Andere</t>
        </is>
      </c>
      <c r="C523" t="inlineStr">
        <is>
          <t>FALEHMANNM</t>
        </is>
      </c>
      <c r="D523" t="n">
        <v>6228</v>
      </c>
      <c r="E523" t="n">
        <v>0</v>
      </c>
      <c r="F523" t="n">
        <v>6228</v>
      </c>
      <c r="G523" t="n">
        <v>6228</v>
      </c>
    </row>
    <row r="524">
      <c r="A524" t="inlineStr">
        <is>
          <t>202613</t>
        </is>
      </c>
      <c r="B524" t="inlineStr">
        <is>
          <t>Andere</t>
        </is>
      </c>
      <c r="C524" t="inlineStr">
        <is>
          <t>FAGROTHEERF</t>
        </is>
      </c>
      <c r="D524" t="n">
        <v>4860</v>
      </c>
      <c r="E524" t="n">
        <v>0</v>
      </c>
      <c r="F524" t="n">
        <v>4860</v>
      </c>
      <c r="G524" t="n">
        <v>4860</v>
      </c>
    </row>
    <row r="525">
      <c r="A525" t="inlineStr">
        <is>
          <t>202613</t>
        </is>
      </c>
      <c r="B525" t="inlineStr">
        <is>
          <t>Andere</t>
        </is>
      </c>
      <c r="C525" t="inlineStr">
        <is>
          <t>A-02-101-1</t>
        </is>
      </c>
      <c r="D525" t="n">
        <v>2800</v>
      </c>
      <c r="E525" t="n">
        <v>0</v>
      </c>
      <c r="F525" t="n">
        <v>2800</v>
      </c>
      <c r="G525" t="n">
        <v>2800</v>
      </c>
    </row>
    <row r="526">
      <c r="A526" t="inlineStr">
        <is>
          <t>202613</t>
        </is>
      </c>
      <c r="B526" t="inlineStr">
        <is>
          <t>Andere</t>
        </is>
      </c>
      <c r="C526" t="inlineStr">
        <is>
          <t>FAMATTICKT</t>
        </is>
      </c>
      <c r="D526" t="n">
        <v>752.5</v>
      </c>
      <c r="E526" t="n">
        <v>0</v>
      </c>
      <c r="F526" t="n">
        <v>752.5</v>
      </c>
      <c r="G526" t="n">
        <v>752.5</v>
      </c>
    </row>
    <row r="527">
      <c r="A527" t="inlineStr">
        <is>
          <t>202613</t>
        </is>
      </c>
      <c r="B527" t="inlineStr">
        <is>
          <t>Andere</t>
        </is>
      </c>
      <c r="C527" t="inlineStr">
        <is>
          <t>D-06-37-2</t>
        </is>
      </c>
      <c r="D527" t="n">
        <v>682.5</v>
      </c>
      <c r="E527" t="n">
        <v>0</v>
      </c>
      <c r="F527" t="n">
        <v>682.5</v>
      </c>
      <c r="G527" t="n">
        <v>682.5</v>
      </c>
    </row>
    <row r="528">
      <c r="A528" t="inlineStr">
        <is>
          <t>202613</t>
        </is>
      </c>
      <c r="B528" t="inlineStr">
        <is>
          <t>Andere</t>
        </is>
      </c>
      <c r="C528" t="inlineStr">
        <is>
          <t>LOST</t>
        </is>
      </c>
      <c r="D528" t="n">
        <v>637.5</v>
      </c>
      <c r="E528" t="n">
        <v>0</v>
      </c>
      <c r="F528" t="n">
        <v>637.5</v>
      </c>
      <c r="G528" t="n">
        <v>637.5</v>
      </c>
    </row>
    <row r="529">
      <c r="A529" t="inlineStr">
        <is>
          <t>202613</t>
        </is>
      </c>
      <c r="B529" t="inlineStr">
        <is>
          <t>Andere</t>
        </is>
      </c>
      <c r="C529" t="inlineStr">
        <is>
          <t>A-01-01-2</t>
        </is>
      </c>
      <c r="D529" t="n">
        <v>400</v>
      </c>
      <c r="E529" t="n">
        <v>0</v>
      </c>
      <c r="F529" t="n">
        <v>400</v>
      </c>
      <c r="G529" t="n">
        <v>400</v>
      </c>
    </row>
    <row r="530">
      <c r="A530" t="inlineStr">
        <is>
          <t>202613</t>
        </is>
      </c>
      <c r="B530" t="inlineStr">
        <is>
          <t>Andere</t>
        </is>
      </c>
      <c r="C530" t="inlineStr">
        <is>
          <t>A-01-01-4</t>
        </is>
      </c>
      <c r="D530" t="n">
        <v>400</v>
      </c>
      <c r="E530" t="n">
        <v>0</v>
      </c>
      <c r="F530" t="n">
        <v>400</v>
      </c>
      <c r="G530" t="n">
        <v>400</v>
      </c>
    </row>
    <row r="531">
      <c r="A531" t="inlineStr">
        <is>
          <t>202613</t>
        </is>
      </c>
      <c r="B531" t="inlineStr">
        <is>
          <t>Andere</t>
        </is>
      </c>
      <c r="C531" t="inlineStr">
        <is>
          <t>A-01-02-2</t>
        </is>
      </c>
      <c r="D531" t="n">
        <v>400</v>
      </c>
      <c r="E531" t="n">
        <v>0</v>
      </c>
      <c r="F531" t="n">
        <v>400</v>
      </c>
      <c r="G531" t="n">
        <v>400</v>
      </c>
    </row>
    <row r="532">
      <c r="A532" t="inlineStr">
        <is>
          <t>202613</t>
        </is>
      </c>
      <c r="B532" t="inlineStr">
        <is>
          <t>Andere</t>
        </is>
      </c>
      <c r="C532" t="inlineStr">
        <is>
          <t>A-01-02-4</t>
        </is>
      </c>
      <c r="D532" t="n">
        <v>400</v>
      </c>
      <c r="E532" t="n">
        <v>0</v>
      </c>
      <c r="F532" t="n">
        <v>400</v>
      </c>
      <c r="G532" t="n">
        <v>400</v>
      </c>
    </row>
    <row r="533">
      <c r="A533" t="inlineStr">
        <is>
          <t>202613</t>
        </is>
      </c>
      <c r="B533" t="inlineStr">
        <is>
          <t>Andere</t>
        </is>
      </c>
      <c r="C533" t="inlineStr">
        <is>
          <t>A-01-03-2</t>
        </is>
      </c>
      <c r="D533" t="n">
        <v>400</v>
      </c>
      <c r="E533" t="n">
        <v>0</v>
      </c>
      <c r="F533" t="n">
        <v>400</v>
      </c>
      <c r="G533" t="n">
        <v>400</v>
      </c>
    </row>
    <row r="534">
      <c r="A534" t="inlineStr">
        <is>
          <t>202613</t>
        </is>
      </c>
      <c r="B534" t="inlineStr">
        <is>
          <t>Andere</t>
        </is>
      </c>
      <c r="C534" t="inlineStr">
        <is>
          <t>A-01-08-1</t>
        </is>
      </c>
      <c r="D534" t="n">
        <v>400</v>
      </c>
      <c r="E534" t="n">
        <v>0</v>
      </c>
      <c r="F534" t="n">
        <v>400</v>
      </c>
      <c r="G534" t="n">
        <v>400</v>
      </c>
    </row>
    <row r="535">
      <c r="A535" t="inlineStr">
        <is>
          <t>202613</t>
        </is>
      </c>
      <c r="B535" t="inlineStr">
        <is>
          <t>Andere</t>
        </is>
      </c>
      <c r="C535" t="inlineStr">
        <is>
          <t>A-01-09-1</t>
        </is>
      </c>
      <c r="D535" t="n">
        <v>400</v>
      </c>
      <c r="E535" t="n">
        <v>0</v>
      </c>
      <c r="F535" t="n">
        <v>400</v>
      </c>
      <c r="G535" t="n">
        <v>400</v>
      </c>
    </row>
    <row r="536">
      <c r="A536" t="inlineStr">
        <is>
          <t>202613</t>
        </is>
      </c>
      <c r="B536" t="inlineStr">
        <is>
          <t>Andere</t>
        </is>
      </c>
      <c r="C536" t="inlineStr">
        <is>
          <t>A-01-11-1</t>
        </is>
      </c>
      <c r="D536" t="n">
        <v>400</v>
      </c>
      <c r="E536" t="n">
        <v>0</v>
      </c>
      <c r="F536" t="n">
        <v>400</v>
      </c>
      <c r="G536" t="n">
        <v>400</v>
      </c>
    </row>
    <row r="537">
      <c r="A537" t="inlineStr">
        <is>
          <t>202613</t>
        </is>
      </c>
      <c r="B537" t="inlineStr">
        <is>
          <t>Andere</t>
        </is>
      </c>
      <c r="C537" t="inlineStr">
        <is>
          <t>A-01-13-1</t>
        </is>
      </c>
      <c r="D537" t="n">
        <v>400</v>
      </c>
      <c r="E537" t="n">
        <v>0</v>
      </c>
      <c r="F537" t="n">
        <v>400</v>
      </c>
      <c r="G537" t="n">
        <v>400</v>
      </c>
    </row>
    <row r="538">
      <c r="A538" t="inlineStr">
        <is>
          <t>202613</t>
        </is>
      </c>
      <c r="B538" t="inlineStr">
        <is>
          <t>Andere</t>
        </is>
      </c>
      <c r="C538" t="inlineStr">
        <is>
          <t>A-01-14-1</t>
        </is>
      </c>
      <c r="D538" t="n">
        <v>400</v>
      </c>
      <c r="E538" t="n">
        <v>0</v>
      </c>
      <c r="F538" t="n">
        <v>400</v>
      </c>
      <c r="G538" t="n">
        <v>400</v>
      </c>
    </row>
    <row r="539">
      <c r="A539" t="inlineStr">
        <is>
          <t>202613</t>
        </is>
      </c>
      <c r="B539" t="inlineStr">
        <is>
          <t>Andere</t>
        </is>
      </c>
      <c r="C539" t="inlineStr">
        <is>
          <t>A-01-18-1</t>
        </is>
      </c>
      <c r="D539" t="n">
        <v>400</v>
      </c>
      <c r="E539" t="n">
        <v>0</v>
      </c>
      <c r="F539" t="n">
        <v>400</v>
      </c>
      <c r="G539" t="n">
        <v>400</v>
      </c>
    </row>
    <row r="540">
      <c r="A540" t="inlineStr">
        <is>
          <t>202613</t>
        </is>
      </c>
      <c r="B540" t="inlineStr">
        <is>
          <t>Andere</t>
        </is>
      </c>
      <c r="C540" t="inlineStr">
        <is>
          <t>A-01-26-1</t>
        </is>
      </c>
      <c r="D540" t="n">
        <v>400</v>
      </c>
      <c r="E540" t="n">
        <v>0</v>
      </c>
      <c r="F540" t="n">
        <v>400</v>
      </c>
      <c r="G540" t="n">
        <v>400</v>
      </c>
    </row>
    <row r="541">
      <c r="A541" t="inlineStr">
        <is>
          <t>202613</t>
        </is>
      </c>
      <c r="B541" t="inlineStr">
        <is>
          <t>Andere</t>
        </is>
      </c>
      <c r="C541" t="inlineStr">
        <is>
          <t>A-01-26-2</t>
        </is>
      </c>
      <c r="D541" t="n">
        <v>400</v>
      </c>
      <c r="E541" t="n">
        <v>0</v>
      </c>
      <c r="F541" t="n">
        <v>400</v>
      </c>
      <c r="G541" t="n">
        <v>400</v>
      </c>
    </row>
    <row r="542">
      <c r="A542" t="inlineStr">
        <is>
          <t>202613</t>
        </is>
      </c>
      <c r="B542" t="inlineStr">
        <is>
          <t>Andere</t>
        </is>
      </c>
      <c r="C542" t="inlineStr">
        <is>
          <t>A-01-27-1</t>
        </is>
      </c>
      <c r="D542" t="n">
        <v>400</v>
      </c>
      <c r="E542" t="n">
        <v>0</v>
      </c>
      <c r="F542" t="n">
        <v>400</v>
      </c>
      <c r="G542" t="n">
        <v>400</v>
      </c>
    </row>
    <row r="543">
      <c r="A543" t="inlineStr">
        <is>
          <t>202613</t>
        </is>
      </c>
      <c r="B543" t="inlineStr">
        <is>
          <t>Andere</t>
        </is>
      </c>
      <c r="C543" t="inlineStr">
        <is>
          <t>A-01-29-1</t>
        </is>
      </c>
      <c r="D543" t="n">
        <v>400</v>
      </c>
      <c r="E543" t="n">
        <v>0</v>
      </c>
      <c r="F543" t="n">
        <v>400</v>
      </c>
      <c r="G543" t="n">
        <v>400</v>
      </c>
    </row>
    <row r="544">
      <c r="A544" t="inlineStr">
        <is>
          <t>202613</t>
        </is>
      </c>
      <c r="B544" t="inlineStr">
        <is>
          <t>Andere</t>
        </is>
      </c>
      <c r="C544" t="inlineStr">
        <is>
          <t>A-01-37-2</t>
        </is>
      </c>
      <c r="D544" t="n">
        <v>400</v>
      </c>
      <c r="E544" t="n">
        <v>0</v>
      </c>
      <c r="F544" t="n">
        <v>400</v>
      </c>
      <c r="G544" t="n">
        <v>400</v>
      </c>
    </row>
    <row r="545">
      <c r="A545" t="inlineStr">
        <is>
          <t>202613</t>
        </is>
      </c>
      <c r="B545" t="inlineStr">
        <is>
          <t>Andere</t>
        </is>
      </c>
      <c r="C545" t="inlineStr">
        <is>
          <t>A-02-39-2</t>
        </is>
      </c>
      <c r="D545" t="n">
        <v>400</v>
      </c>
      <c r="E545" t="n">
        <v>0</v>
      </c>
      <c r="F545" t="n">
        <v>400</v>
      </c>
      <c r="G545" t="n">
        <v>400</v>
      </c>
    </row>
    <row r="546">
      <c r="A546" t="inlineStr">
        <is>
          <t>202613</t>
        </is>
      </c>
      <c r="B546" t="inlineStr">
        <is>
          <t>Andere</t>
        </is>
      </c>
      <c r="C546" t="inlineStr">
        <is>
          <t>A-02-41-2</t>
        </is>
      </c>
      <c r="D546" t="n">
        <v>400</v>
      </c>
      <c r="E546" t="n">
        <v>0</v>
      </c>
      <c r="F546" t="n">
        <v>400</v>
      </c>
      <c r="G546" t="n">
        <v>400</v>
      </c>
    </row>
    <row r="547">
      <c r="A547" t="inlineStr">
        <is>
          <t>202613</t>
        </is>
      </c>
      <c r="B547" t="inlineStr">
        <is>
          <t>Andere</t>
        </is>
      </c>
      <c r="C547" t="inlineStr">
        <is>
          <t>A-02-47-3</t>
        </is>
      </c>
      <c r="D547" t="n">
        <v>400</v>
      </c>
      <c r="E547" t="n">
        <v>0</v>
      </c>
      <c r="F547" t="n">
        <v>400</v>
      </c>
      <c r="G547" t="n">
        <v>400</v>
      </c>
    </row>
    <row r="548">
      <c r="A548" t="inlineStr">
        <is>
          <t>202613</t>
        </is>
      </c>
      <c r="B548" t="inlineStr">
        <is>
          <t>Andere</t>
        </is>
      </c>
      <c r="C548" t="inlineStr">
        <is>
          <t>A-02-49-3</t>
        </is>
      </c>
      <c r="D548" t="n">
        <v>400</v>
      </c>
      <c r="E548" t="n">
        <v>0</v>
      </c>
      <c r="F548" t="n">
        <v>400</v>
      </c>
      <c r="G548" t="n">
        <v>400</v>
      </c>
    </row>
    <row r="549">
      <c r="A549" t="inlineStr">
        <is>
          <t>202613</t>
        </is>
      </c>
      <c r="B549" t="inlineStr">
        <is>
          <t>Andere</t>
        </is>
      </c>
      <c r="C549" t="inlineStr">
        <is>
          <t>A-02-53-3</t>
        </is>
      </c>
      <c r="D549" t="n">
        <v>400</v>
      </c>
      <c r="E549" t="n">
        <v>0</v>
      </c>
      <c r="F549" t="n">
        <v>400</v>
      </c>
      <c r="G549" t="n">
        <v>400</v>
      </c>
    </row>
    <row r="550">
      <c r="A550" t="inlineStr">
        <is>
          <t>202613</t>
        </is>
      </c>
      <c r="B550" t="inlineStr">
        <is>
          <t>Andere</t>
        </is>
      </c>
      <c r="C550" t="inlineStr">
        <is>
          <t>A-02-54-2</t>
        </is>
      </c>
      <c r="D550" t="n">
        <v>400</v>
      </c>
      <c r="E550" t="n">
        <v>0</v>
      </c>
      <c r="F550" t="n">
        <v>400</v>
      </c>
      <c r="G550" t="n">
        <v>400</v>
      </c>
    </row>
    <row r="551">
      <c r="A551" t="inlineStr">
        <is>
          <t>202613</t>
        </is>
      </c>
      <c r="B551" t="inlineStr">
        <is>
          <t>Andere</t>
        </is>
      </c>
      <c r="C551" t="inlineStr">
        <is>
          <t>NORDICS</t>
        </is>
      </c>
      <c r="D551" t="n">
        <v>400</v>
      </c>
      <c r="E551" t="n">
        <v>0</v>
      </c>
      <c r="F551" t="n">
        <v>400</v>
      </c>
      <c r="G551" t="n">
        <v>400</v>
      </c>
    </row>
    <row r="552">
      <c r="A552" t="inlineStr">
        <is>
          <t>202613</t>
        </is>
      </c>
      <c r="B552" t="inlineStr">
        <is>
          <t>Andere</t>
        </is>
      </c>
      <c r="C552" t="inlineStr">
        <is>
          <t>A-02-29-4</t>
        </is>
      </c>
      <c r="D552" t="n">
        <v>372</v>
      </c>
      <c r="E552" t="n">
        <v>0</v>
      </c>
      <c r="F552" t="n">
        <v>372</v>
      </c>
      <c r="G552" t="n">
        <v>372</v>
      </c>
    </row>
    <row r="553">
      <c r="A553" t="inlineStr">
        <is>
          <t>202613</t>
        </is>
      </c>
      <c r="B553" t="inlineStr">
        <is>
          <t>Andere</t>
        </is>
      </c>
      <c r="C553" t="inlineStr">
        <is>
          <t>A-02-34-4</t>
        </is>
      </c>
      <c r="D553" t="n">
        <v>372</v>
      </c>
      <c r="E553" t="n">
        <v>0</v>
      </c>
      <c r="F553" t="n">
        <v>372</v>
      </c>
      <c r="G553" t="n">
        <v>372</v>
      </c>
    </row>
    <row r="554">
      <c r="A554" t="inlineStr">
        <is>
          <t>202613</t>
        </is>
      </c>
      <c r="B554" t="inlineStr">
        <is>
          <t>Andere</t>
        </is>
      </c>
      <c r="C554" t="inlineStr">
        <is>
          <t>A-02-67-2</t>
        </is>
      </c>
      <c r="D554" t="n">
        <v>372</v>
      </c>
      <c r="E554" t="n">
        <v>0</v>
      </c>
      <c r="F554" t="n">
        <v>372</v>
      </c>
      <c r="G554" t="n">
        <v>372</v>
      </c>
    </row>
    <row r="555">
      <c r="A555" t="inlineStr">
        <is>
          <t>202613</t>
        </is>
      </c>
      <c r="B555" t="inlineStr">
        <is>
          <t>Andere</t>
        </is>
      </c>
      <c r="C555" t="inlineStr">
        <is>
          <t>A-02-70-2</t>
        </is>
      </c>
      <c r="D555" t="n">
        <v>372</v>
      </c>
      <c r="E555" t="n">
        <v>0</v>
      </c>
      <c r="F555" t="n">
        <v>372</v>
      </c>
      <c r="G555" t="n">
        <v>372</v>
      </c>
    </row>
    <row r="556">
      <c r="A556" t="inlineStr">
        <is>
          <t>202613</t>
        </is>
      </c>
      <c r="B556" t="inlineStr">
        <is>
          <t>Andere</t>
        </is>
      </c>
      <c r="C556" t="inlineStr">
        <is>
          <t>A-02-72-2</t>
        </is>
      </c>
      <c r="D556" t="n">
        <v>372</v>
      </c>
      <c r="E556" t="n">
        <v>0</v>
      </c>
      <c r="F556" t="n">
        <v>372</v>
      </c>
      <c r="G556" t="n">
        <v>372</v>
      </c>
    </row>
    <row r="557">
      <c r="A557" t="inlineStr">
        <is>
          <t>202613</t>
        </is>
      </c>
      <c r="B557" t="inlineStr">
        <is>
          <t>Andere</t>
        </is>
      </c>
      <c r="C557" t="inlineStr">
        <is>
          <t>A-02-73-3</t>
        </is>
      </c>
      <c r="D557" t="n">
        <v>372</v>
      </c>
      <c r="E557" t="n">
        <v>0</v>
      </c>
      <c r="F557" t="n">
        <v>372</v>
      </c>
      <c r="G557" t="n">
        <v>372</v>
      </c>
    </row>
    <row r="558">
      <c r="A558" t="inlineStr">
        <is>
          <t>202613</t>
        </is>
      </c>
      <c r="B558" t="inlineStr">
        <is>
          <t>Andere</t>
        </is>
      </c>
      <c r="C558" t="inlineStr">
        <is>
          <t>A-02-77-1</t>
        </is>
      </c>
      <c r="D558" t="n">
        <v>372</v>
      </c>
      <c r="E558" t="n">
        <v>0</v>
      </c>
      <c r="F558" t="n">
        <v>372</v>
      </c>
      <c r="G558" t="n">
        <v>372</v>
      </c>
    </row>
    <row r="559">
      <c r="A559" t="inlineStr">
        <is>
          <t>202613</t>
        </is>
      </c>
      <c r="B559" t="inlineStr">
        <is>
          <t>Andere</t>
        </is>
      </c>
      <c r="C559" t="inlineStr">
        <is>
          <t>A-02-79-2</t>
        </is>
      </c>
      <c r="D559" t="n">
        <v>372</v>
      </c>
      <c r="E559" t="n">
        <v>0</v>
      </c>
      <c r="F559" t="n">
        <v>372</v>
      </c>
      <c r="G559" t="n">
        <v>372</v>
      </c>
    </row>
    <row r="560">
      <c r="A560" t="inlineStr">
        <is>
          <t>202613</t>
        </is>
      </c>
      <c r="B560" t="inlineStr">
        <is>
          <t>Andere</t>
        </is>
      </c>
      <c r="C560" t="inlineStr">
        <is>
          <t>A-02-82-1</t>
        </is>
      </c>
      <c r="D560" t="n">
        <v>372</v>
      </c>
      <c r="E560" t="n">
        <v>0</v>
      </c>
      <c r="F560" t="n">
        <v>372</v>
      </c>
      <c r="G560" t="n">
        <v>372</v>
      </c>
    </row>
    <row r="561">
      <c r="A561" t="inlineStr">
        <is>
          <t>202613</t>
        </is>
      </c>
      <c r="B561" t="inlineStr">
        <is>
          <t>Andere</t>
        </is>
      </c>
      <c r="C561" t="inlineStr">
        <is>
          <t>A-02-93-2</t>
        </is>
      </c>
      <c r="D561" t="n">
        <v>372</v>
      </c>
      <c r="E561" t="n">
        <v>0</v>
      </c>
      <c r="F561" t="n">
        <v>372</v>
      </c>
      <c r="G561" t="n">
        <v>372</v>
      </c>
    </row>
    <row r="562">
      <c r="A562" t="inlineStr">
        <is>
          <t>202613</t>
        </is>
      </c>
      <c r="B562" t="inlineStr">
        <is>
          <t>Andere</t>
        </is>
      </c>
      <c r="C562" t="inlineStr">
        <is>
          <t>A-02-120-1</t>
        </is>
      </c>
      <c r="D562" t="n">
        <v>336</v>
      </c>
      <c r="E562" t="n">
        <v>0</v>
      </c>
      <c r="F562" t="n">
        <v>336</v>
      </c>
      <c r="G562" t="n">
        <v>336</v>
      </c>
    </row>
    <row r="563">
      <c r="A563" t="inlineStr">
        <is>
          <t>202613</t>
        </is>
      </c>
      <c r="B563" t="inlineStr">
        <is>
          <t>Andere</t>
        </is>
      </c>
      <c r="C563" t="inlineStr">
        <is>
          <t>FADIKELISA</t>
        </is>
      </c>
      <c r="D563" t="n">
        <v>325.5</v>
      </c>
      <c r="E563" t="n">
        <v>0</v>
      </c>
      <c r="F563" t="n">
        <v>325.5</v>
      </c>
      <c r="G563" t="n">
        <v>325.5</v>
      </c>
    </row>
    <row r="564">
      <c r="A564" t="inlineStr">
        <is>
          <t>202613</t>
        </is>
      </c>
      <c r="B564" t="inlineStr">
        <is>
          <t>Andere</t>
        </is>
      </c>
      <c r="C564" t="inlineStr">
        <is>
          <t>P-04-15-2</t>
        </is>
      </c>
      <c r="D564" t="n">
        <v>614</v>
      </c>
      <c r="E564" t="n">
        <v>308</v>
      </c>
      <c r="F564" t="n">
        <v>306</v>
      </c>
      <c r="G564" t="n">
        <v>306</v>
      </c>
    </row>
    <row r="565">
      <c r="A565" t="inlineStr">
        <is>
          <t>202613</t>
        </is>
      </c>
      <c r="B565" t="inlineStr">
        <is>
          <t>Andere</t>
        </is>
      </c>
      <c r="C565" t="inlineStr">
        <is>
          <t>A-02-110-1</t>
        </is>
      </c>
      <c r="D565" t="n">
        <v>264</v>
      </c>
      <c r="E565" t="n">
        <v>0</v>
      </c>
      <c r="F565" t="n">
        <v>264</v>
      </c>
      <c r="G565" t="n">
        <v>264</v>
      </c>
    </row>
    <row r="566">
      <c r="A566" t="inlineStr">
        <is>
          <t>202613</t>
        </is>
      </c>
      <c r="B566" t="inlineStr">
        <is>
          <t>Andere</t>
        </is>
      </c>
      <c r="C566" t="inlineStr">
        <is>
          <t>SPI-WINDOW</t>
        </is>
      </c>
      <c r="D566" t="n">
        <v>216.5</v>
      </c>
      <c r="E566" t="n">
        <v>0</v>
      </c>
      <c r="F566" t="n">
        <v>216.5</v>
      </c>
      <c r="G566" t="n">
        <v>216.5</v>
      </c>
    </row>
    <row r="567">
      <c r="A567" t="inlineStr">
        <is>
          <t>202613</t>
        </is>
      </c>
      <c r="B567" t="inlineStr">
        <is>
          <t>Andere</t>
        </is>
      </c>
      <c r="C567" t="inlineStr">
        <is>
          <t>A-01-10-1</t>
        </is>
      </c>
      <c r="D567" t="n">
        <v>200</v>
      </c>
      <c r="E567" t="n">
        <v>0</v>
      </c>
      <c r="F567" t="n">
        <v>200</v>
      </c>
      <c r="G567" t="n">
        <v>200</v>
      </c>
    </row>
    <row r="568">
      <c r="A568" t="inlineStr">
        <is>
          <t>202613</t>
        </is>
      </c>
      <c r="B568" t="inlineStr">
        <is>
          <t>Andere</t>
        </is>
      </c>
      <c r="C568" t="inlineStr">
        <is>
          <t>A-02-14-3</t>
        </is>
      </c>
      <c r="D568" t="n">
        <v>200</v>
      </c>
      <c r="E568" t="n">
        <v>0</v>
      </c>
      <c r="F568" t="n">
        <v>200</v>
      </c>
      <c r="G568" t="n">
        <v>200</v>
      </c>
    </row>
    <row r="569">
      <c r="A569" t="inlineStr">
        <is>
          <t>202613</t>
        </is>
      </c>
      <c r="B569" t="inlineStr">
        <is>
          <t>Andere</t>
        </is>
      </c>
      <c r="C569" t="inlineStr">
        <is>
          <t>A-02-15-3</t>
        </is>
      </c>
      <c r="D569" t="n">
        <v>200</v>
      </c>
      <c r="E569" t="n">
        <v>0</v>
      </c>
      <c r="F569" t="n">
        <v>200</v>
      </c>
      <c r="G569" t="n">
        <v>200</v>
      </c>
    </row>
    <row r="570">
      <c r="A570" t="inlineStr">
        <is>
          <t>202613</t>
        </is>
      </c>
      <c r="B570" t="inlineStr">
        <is>
          <t>Andere</t>
        </is>
      </c>
      <c r="C570" t="inlineStr">
        <is>
          <t>A-01-12-1</t>
        </is>
      </c>
      <c r="D570" t="n">
        <v>180</v>
      </c>
      <c r="E570" t="n">
        <v>0</v>
      </c>
      <c r="F570" t="n">
        <v>180</v>
      </c>
      <c r="G570" t="n">
        <v>180</v>
      </c>
    </row>
    <row r="571">
      <c r="A571" t="inlineStr">
        <is>
          <t>202613</t>
        </is>
      </c>
      <c r="B571" t="inlineStr">
        <is>
          <t>Andere</t>
        </is>
      </c>
      <c r="C571" t="inlineStr">
        <is>
          <t>A-01-15-1</t>
        </is>
      </c>
      <c r="D571" t="n">
        <v>180</v>
      </c>
      <c r="E571" t="n">
        <v>0</v>
      </c>
      <c r="F571" t="n">
        <v>180</v>
      </c>
      <c r="G571" t="n">
        <v>180</v>
      </c>
    </row>
    <row r="572">
      <c r="A572" t="inlineStr">
        <is>
          <t>202613</t>
        </is>
      </c>
      <c r="B572" t="inlineStr">
        <is>
          <t>Andere</t>
        </is>
      </c>
      <c r="C572" t="inlineStr">
        <is>
          <t>A-01-16-1</t>
        </is>
      </c>
      <c r="D572" t="n">
        <v>180</v>
      </c>
      <c r="E572" t="n">
        <v>0</v>
      </c>
      <c r="F572" t="n">
        <v>180</v>
      </c>
      <c r="G572" t="n">
        <v>180</v>
      </c>
    </row>
    <row r="573">
      <c r="A573" t="inlineStr">
        <is>
          <t>202613</t>
        </is>
      </c>
      <c r="B573" t="inlineStr">
        <is>
          <t>Andere</t>
        </is>
      </c>
      <c r="C573" t="inlineStr">
        <is>
          <t>A-01-27-3</t>
        </is>
      </c>
      <c r="D573" t="n">
        <v>180</v>
      </c>
      <c r="E573" t="n">
        <v>0</v>
      </c>
      <c r="F573" t="n">
        <v>180</v>
      </c>
      <c r="G573" t="n">
        <v>180</v>
      </c>
    </row>
    <row r="574">
      <c r="A574" t="inlineStr">
        <is>
          <t>202613</t>
        </is>
      </c>
      <c r="B574" t="inlineStr">
        <is>
          <t>Andere</t>
        </is>
      </c>
      <c r="C574" t="inlineStr">
        <is>
          <t>A-01-28-1</t>
        </is>
      </c>
      <c r="D574" t="n">
        <v>180</v>
      </c>
      <c r="E574" t="n">
        <v>0</v>
      </c>
      <c r="F574" t="n">
        <v>180</v>
      </c>
      <c r="G574" t="n">
        <v>180</v>
      </c>
    </row>
    <row r="575">
      <c r="A575" t="inlineStr">
        <is>
          <t>202613</t>
        </is>
      </c>
      <c r="B575" t="inlineStr">
        <is>
          <t>Andere</t>
        </is>
      </c>
      <c r="C575" t="inlineStr">
        <is>
          <t>A-02-45-2</t>
        </is>
      </c>
      <c r="D575" t="n">
        <v>180</v>
      </c>
      <c r="E575" t="n">
        <v>0</v>
      </c>
      <c r="F575" t="n">
        <v>180</v>
      </c>
      <c r="G575" t="n">
        <v>180</v>
      </c>
    </row>
    <row r="576">
      <c r="A576" t="inlineStr">
        <is>
          <t>202613</t>
        </is>
      </c>
      <c r="B576" t="inlineStr">
        <is>
          <t>Andere</t>
        </is>
      </c>
      <c r="C576" t="inlineStr">
        <is>
          <t>A-02-53-2</t>
        </is>
      </c>
      <c r="D576" t="n">
        <v>180</v>
      </c>
      <c r="E576" t="n">
        <v>0</v>
      </c>
      <c r="F576" t="n">
        <v>180</v>
      </c>
      <c r="G576" t="n">
        <v>180</v>
      </c>
    </row>
    <row r="577">
      <c r="A577" t="inlineStr">
        <is>
          <t>202613</t>
        </is>
      </c>
      <c r="B577" t="inlineStr">
        <is>
          <t>Andere</t>
        </is>
      </c>
      <c r="C577" t="inlineStr">
        <is>
          <t>A-02-119-1</t>
        </is>
      </c>
      <c r="D577" t="n">
        <v>168</v>
      </c>
      <c r="E577" t="n">
        <v>0</v>
      </c>
      <c r="F577" t="n">
        <v>168</v>
      </c>
      <c r="G577" t="n">
        <v>168</v>
      </c>
    </row>
    <row r="578">
      <c r="A578" t="inlineStr">
        <is>
          <t>202613</t>
        </is>
      </c>
      <c r="B578" t="inlineStr">
        <is>
          <t>Andere</t>
        </is>
      </c>
      <c r="C578" t="inlineStr">
        <is>
          <t>A-01-21-1</t>
        </is>
      </c>
      <c r="D578" t="n">
        <v>160</v>
      </c>
      <c r="E578" t="n">
        <v>0</v>
      </c>
      <c r="F578" t="n">
        <v>160</v>
      </c>
      <c r="G578" t="n">
        <v>160</v>
      </c>
    </row>
    <row r="579">
      <c r="A579" t="inlineStr">
        <is>
          <t>202613</t>
        </is>
      </c>
      <c r="B579" t="inlineStr">
        <is>
          <t>Andere</t>
        </is>
      </c>
      <c r="C579" t="inlineStr">
        <is>
          <t>A-01-24-1</t>
        </is>
      </c>
      <c r="D579" t="n">
        <v>140</v>
      </c>
      <c r="E579" t="n">
        <v>0</v>
      </c>
      <c r="F579" t="n">
        <v>140</v>
      </c>
      <c r="G579" t="n">
        <v>140</v>
      </c>
    </row>
    <row r="580">
      <c r="A580" t="inlineStr">
        <is>
          <t>202613</t>
        </is>
      </c>
      <c r="B580" t="inlineStr">
        <is>
          <t>Andere</t>
        </is>
      </c>
      <c r="C580" t="inlineStr">
        <is>
          <t>A-02-109-1</t>
        </is>
      </c>
      <c r="D580" t="n">
        <v>132</v>
      </c>
      <c r="E580" t="n">
        <v>0</v>
      </c>
      <c r="F580" t="n">
        <v>132</v>
      </c>
      <c r="G580" t="n">
        <v>132</v>
      </c>
    </row>
    <row r="581">
      <c r="A581" t="inlineStr">
        <is>
          <t>202613</t>
        </is>
      </c>
      <c r="B581" t="inlineStr">
        <is>
          <t>Andere</t>
        </is>
      </c>
      <c r="C581" t="inlineStr">
        <is>
          <t>A-02-43-1</t>
        </is>
      </c>
      <c r="D581" t="n">
        <v>132</v>
      </c>
      <c r="E581" t="n">
        <v>0</v>
      </c>
      <c r="F581" t="n">
        <v>132</v>
      </c>
      <c r="G581" t="n">
        <v>132</v>
      </c>
    </row>
    <row r="582">
      <c r="A582" t="inlineStr">
        <is>
          <t>202613</t>
        </is>
      </c>
      <c r="B582" t="inlineStr">
        <is>
          <t>Andere</t>
        </is>
      </c>
      <c r="C582" t="inlineStr">
        <is>
          <t>A-02-50-1</t>
        </is>
      </c>
      <c r="D582" t="n">
        <v>120</v>
      </c>
      <c r="E582" t="n">
        <v>0</v>
      </c>
      <c r="F582" t="n">
        <v>120</v>
      </c>
      <c r="G582" t="n">
        <v>120</v>
      </c>
    </row>
    <row r="583">
      <c r="A583" t="inlineStr">
        <is>
          <t>202613</t>
        </is>
      </c>
      <c r="B583" t="inlineStr">
        <is>
          <t>Andere</t>
        </is>
      </c>
      <c r="C583" t="inlineStr">
        <is>
          <t>A-02-52-1</t>
        </is>
      </c>
      <c r="D583" t="n">
        <v>120</v>
      </c>
      <c r="E583" t="n">
        <v>0</v>
      </c>
      <c r="F583" t="n">
        <v>120</v>
      </c>
      <c r="G583" t="n">
        <v>120</v>
      </c>
    </row>
    <row r="584">
      <c r="A584" t="inlineStr">
        <is>
          <t>202613</t>
        </is>
      </c>
      <c r="B584" t="inlineStr">
        <is>
          <t>Andere</t>
        </is>
      </c>
      <c r="C584" t="inlineStr">
        <is>
          <t>FAHANSENMA</t>
        </is>
      </c>
      <c r="D584" t="n">
        <v>111</v>
      </c>
      <c r="E584" t="n">
        <v>0</v>
      </c>
      <c r="F584" t="n">
        <v>111</v>
      </c>
      <c r="G584" t="n">
        <v>111</v>
      </c>
    </row>
    <row r="585">
      <c r="A585" t="inlineStr">
        <is>
          <t>202613</t>
        </is>
      </c>
      <c r="B585" t="inlineStr">
        <is>
          <t>Andere</t>
        </is>
      </c>
      <c r="C585" t="inlineStr">
        <is>
          <t>A-01-25-1</t>
        </is>
      </c>
      <c r="D585" t="n">
        <v>100</v>
      </c>
      <c r="E585" t="n">
        <v>0</v>
      </c>
      <c r="F585" t="n">
        <v>100</v>
      </c>
      <c r="G585" t="n">
        <v>100</v>
      </c>
    </row>
    <row r="586">
      <c r="A586" t="inlineStr">
        <is>
          <t>202613</t>
        </is>
      </c>
      <c r="B586" t="inlineStr">
        <is>
          <t>Andere</t>
        </is>
      </c>
      <c r="C586" t="inlineStr">
        <is>
          <t>A-02-49-1</t>
        </is>
      </c>
      <c r="D586" t="n">
        <v>100</v>
      </c>
      <c r="E586" t="n">
        <v>0</v>
      </c>
      <c r="F586" t="n">
        <v>100</v>
      </c>
      <c r="G586" t="n">
        <v>100</v>
      </c>
    </row>
    <row r="587">
      <c r="A587" t="inlineStr">
        <is>
          <t>202613</t>
        </is>
      </c>
      <c r="B587" t="inlineStr">
        <is>
          <t>Andere</t>
        </is>
      </c>
      <c r="C587" t="inlineStr">
        <is>
          <t>GERMANY</t>
        </is>
      </c>
      <c r="D587" t="n">
        <v>100</v>
      </c>
      <c r="E587" t="n">
        <v>0</v>
      </c>
      <c r="F587" t="n">
        <v>100</v>
      </c>
      <c r="G587" t="n">
        <v>100</v>
      </c>
    </row>
    <row r="588">
      <c r="A588" t="inlineStr">
        <is>
          <t>202613</t>
        </is>
      </c>
      <c r="B588" t="inlineStr">
        <is>
          <t>Andere</t>
        </is>
      </c>
      <c r="C588" t="inlineStr">
        <is>
          <t>A-02-94-1</t>
        </is>
      </c>
      <c r="D588" t="n">
        <v>96</v>
      </c>
      <c r="E588" t="n">
        <v>0</v>
      </c>
      <c r="F588" t="n">
        <v>96</v>
      </c>
      <c r="G588" t="n">
        <v>96</v>
      </c>
    </row>
    <row r="589">
      <c r="A589" t="inlineStr">
        <is>
          <t>202613</t>
        </is>
      </c>
      <c r="B589" t="inlineStr">
        <is>
          <t>Andere</t>
        </is>
      </c>
      <c r="C589" t="inlineStr">
        <is>
          <t>A-01-22-1</t>
        </is>
      </c>
      <c r="D589" t="n">
        <v>70</v>
      </c>
      <c r="E589" t="n">
        <v>0</v>
      </c>
      <c r="F589" t="n">
        <v>70</v>
      </c>
      <c r="G589" t="n">
        <v>70</v>
      </c>
    </row>
    <row r="590">
      <c r="A590" t="inlineStr">
        <is>
          <t>202613</t>
        </is>
      </c>
      <c r="B590" t="inlineStr">
        <is>
          <t>Andere</t>
        </is>
      </c>
      <c r="C590" t="inlineStr">
        <is>
          <t>D-06-38-2</t>
        </is>
      </c>
      <c r="D590" t="n">
        <v>70</v>
      </c>
      <c r="E590" t="n">
        <v>0</v>
      </c>
      <c r="F590" t="n">
        <v>70</v>
      </c>
      <c r="G590" t="n">
        <v>70</v>
      </c>
    </row>
    <row r="591">
      <c r="A591" t="inlineStr">
        <is>
          <t>202613</t>
        </is>
      </c>
      <c r="B591" t="inlineStr">
        <is>
          <t>Andere</t>
        </is>
      </c>
      <c r="C591" t="inlineStr">
        <is>
          <t>D-06-39-2</t>
        </is>
      </c>
      <c r="D591" t="n">
        <v>682.5</v>
      </c>
      <c r="E591" t="n">
        <v>612.5</v>
      </c>
      <c r="F591" t="n">
        <v>70</v>
      </c>
      <c r="G591" t="n">
        <v>70</v>
      </c>
    </row>
    <row r="592">
      <c r="A592" t="inlineStr">
        <is>
          <t>202613</t>
        </is>
      </c>
      <c r="B592" t="inlineStr">
        <is>
          <t>Andere</t>
        </is>
      </c>
      <c r="C592" t="inlineStr">
        <is>
          <t>FAKOCHMAT</t>
        </is>
      </c>
      <c r="D592" t="n">
        <v>66</v>
      </c>
      <c r="E592" t="n">
        <v>0</v>
      </c>
      <c r="F592" t="n">
        <v>66</v>
      </c>
      <c r="G592" t="n">
        <v>66</v>
      </c>
    </row>
    <row r="593">
      <c r="A593" t="inlineStr">
        <is>
          <t>202613</t>
        </is>
      </c>
      <c r="B593" t="inlineStr">
        <is>
          <t>Andere</t>
        </is>
      </c>
      <c r="C593" t="inlineStr">
        <is>
          <t>D-06-22-3</t>
        </is>
      </c>
      <c r="D593" t="n">
        <v>50</v>
      </c>
      <c r="E593" t="n">
        <v>0</v>
      </c>
      <c r="F593" t="n">
        <v>50</v>
      </c>
      <c r="G593" t="n">
        <v>50</v>
      </c>
    </row>
    <row r="594">
      <c r="A594" t="inlineStr">
        <is>
          <t>202613</t>
        </is>
      </c>
      <c r="B594" t="inlineStr">
        <is>
          <t>Andere</t>
        </is>
      </c>
      <c r="C594" t="inlineStr">
        <is>
          <t>A-01-23-1</t>
        </is>
      </c>
      <c r="D594" t="n">
        <v>40</v>
      </c>
      <c r="E594" t="n">
        <v>0</v>
      </c>
      <c r="F594" t="n">
        <v>40</v>
      </c>
      <c r="G594" t="n">
        <v>40</v>
      </c>
    </row>
    <row r="595">
      <c r="A595" t="inlineStr">
        <is>
          <t>202613</t>
        </is>
      </c>
      <c r="B595" t="inlineStr">
        <is>
          <t>Andere</t>
        </is>
      </c>
      <c r="C595" t="inlineStr">
        <is>
          <t>A-02-55-1</t>
        </is>
      </c>
      <c r="D595" t="n">
        <v>40</v>
      </c>
      <c r="E595" t="n">
        <v>0</v>
      </c>
      <c r="F595" t="n">
        <v>40</v>
      </c>
      <c r="G595" t="n">
        <v>40</v>
      </c>
    </row>
    <row r="596">
      <c r="A596" t="inlineStr">
        <is>
          <t>202613</t>
        </is>
      </c>
      <c r="B596" t="inlineStr">
        <is>
          <t>Andere</t>
        </is>
      </c>
      <c r="C596" t="inlineStr">
        <is>
          <t>FAMYTKOVF1</t>
        </is>
      </c>
      <c r="D596" t="n">
        <v>31</v>
      </c>
      <c r="E596" t="n">
        <v>0</v>
      </c>
      <c r="F596" t="n">
        <v>31</v>
      </c>
      <c r="G596" t="n">
        <v>31</v>
      </c>
    </row>
    <row r="597">
      <c r="A597" t="inlineStr">
        <is>
          <t>202613</t>
        </is>
      </c>
      <c r="B597" t="inlineStr">
        <is>
          <t>Andere</t>
        </is>
      </c>
      <c r="C597" t="inlineStr">
        <is>
          <t>A-02-53-1</t>
        </is>
      </c>
      <c r="D597" t="n">
        <v>30</v>
      </c>
      <c r="E597" t="n">
        <v>0</v>
      </c>
      <c r="F597" t="n">
        <v>30</v>
      </c>
      <c r="G597" t="n">
        <v>30</v>
      </c>
    </row>
    <row r="598">
      <c r="A598" t="inlineStr">
        <is>
          <t>202613</t>
        </is>
      </c>
      <c r="B598" t="inlineStr">
        <is>
          <t>Andere</t>
        </is>
      </c>
      <c r="C598" t="inlineStr">
        <is>
          <t>D-06-06-1</t>
        </is>
      </c>
      <c r="D598" t="n">
        <v>25</v>
      </c>
      <c r="E598" t="n">
        <v>0</v>
      </c>
      <c r="F598" t="n">
        <v>25</v>
      </c>
      <c r="G598" t="n">
        <v>25</v>
      </c>
    </row>
    <row r="599">
      <c r="A599" t="inlineStr">
        <is>
          <t>202613</t>
        </is>
      </c>
      <c r="B599" t="inlineStr">
        <is>
          <t>Andere</t>
        </is>
      </c>
      <c r="C599" t="inlineStr">
        <is>
          <t>PRODUCTION</t>
        </is>
      </c>
      <c r="D599" t="n">
        <v>22.5</v>
      </c>
      <c r="E599" t="n">
        <v>0</v>
      </c>
      <c r="F599" t="n">
        <v>22.5</v>
      </c>
      <c r="G599" t="n">
        <v>22.5</v>
      </c>
    </row>
    <row r="600">
      <c r="A600" t="inlineStr">
        <is>
          <t>202613</t>
        </is>
      </c>
      <c r="B600" t="inlineStr">
        <is>
          <t>Andere</t>
        </is>
      </c>
      <c r="C600" t="inlineStr">
        <is>
          <t>D-06-52-1</t>
        </is>
      </c>
      <c r="D600" t="n">
        <v>21</v>
      </c>
      <c r="E600" t="n">
        <v>0</v>
      </c>
      <c r="F600" t="n">
        <v>21</v>
      </c>
      <c r="G600" t="n">
        <v>21</v>
      </c>
    </row>
    <row r="601">
      <c r="A601" t="inlineStr">
        <is>
          <t>202613</t>
        </is>
      </c>
      <c r="B601" t="inlineStr">
        <is>
          <t>Andere</t>
        </is>
      </c>
      <c r="C601" t="inlineStr">
        <is>
          <t>D-06-57-2</t>
        </is>
      </c>
      <c r="D601" t="n">
        <v>21</v>
      </c>
      <c r="E601" t="n">
        <v>0</v>
      </c>
      <c r="F601" t="n">
        <v>21</v>
      </c>
      <c r="G601" t="n">
        <v>21</v>
      </c>
    </row>
    <row r="602">
      <c r="A602" t="inlineStr">
        <is>
          <t>202613</t>
        </is>
      </c>
      <c r="B602" t="inlineStr">
        <is>
          <t>Andere</t>
        </is>
      </c>
      <c r="C602" t="inlineStr">
        <is>
          <t>A-02-42-1</t>
        </is>
      </c>
      <c r="D602" t="n">
        <v>20</v>
      </c>
      <c r="E602" t="n">
        <v>0</v>
      </c>
      <c r="F602" t="n">
        <v>20</v>
      </c>
      <c r="G602" t="n">
        <v>20</v>
      </c>
    </row>
    <row r="603">
      <c r="A603" t="inlineStr">
        <is>
          <t>202613</t>
        </is>
      </c>
      <c r="B603" t="inlineStr">
        <is>
          <t>Andere</t>
        </is>
      </c>
      <c r="C603" t="inlineStr">
        <is>
          <t>D-06-05-3</t>
        </is>
      </c>
      <c r="D603" t="n">
        <v>20</v>
      </c>
      <c r="E603" t="n">
        <v>0</v>
      </c>
      <c r="F603" t="n">
        <v>20</v>
      </c>
      <c r="G603" t="n">
        <v>20</v>
      </c>
    </row>
    <row r="604">
      <c r="A604" t="inlineStr">
        <is>
          <t>202613</t>
        </is>
      </c>
      <c r="B604" t="inlineStr">
        <is>
          <t>Andere</t>
        </is>
      </c>
      <c r="C604" t="inlineStr">
        <is>
          <t>D-06-06-3</t>
        </is>
      </c>
      <c r="D604" t="n">
        <v>20</v>
      </c>
      <c r="E604" t="n">
        <v>0</v>
      </c>
      <c r="F604" t="n">
        <v>20</v>
      </c>
      <c r="G604" t="n">
        <v>20</v>
      </c>
    </row>
    <row r="605">
      <c r="A605" t="inlineStr">
        <is>
          <t>202613</t>
        </is>
      </c>
      <c r="B605" t="inlineStr">
        <is>
          <t>Andere</t>
        </is>
      </c>
      <c r="C605" t="inlineStr">
        <is>
          <t>D-06-18-2</t>
        </is>
      </c>
      <c r="D605" t="n">
        <v>20</v>
      </c>
      <c r="E605" t="n">
        <v>0</v>
      </c>
      <c r="F605" t="n">
        <v>20</v>
      </c>
      <c r="G605" t="n">
        <v>20</v>
      </c>
    </row>
    <row r="606">
      <c r="A606" t="inlineStr">
        <is>
          <t>202613</t>
        </is>
      </c>
      <c r="B606" t="inlineStr">
        <is>
          <t>Andere</t>
        </is>
      </c>
      <c r="C606" t="inlineStr">
        <is>
          <t>D-06-28-3</t>
        </is>
      </c>
      <c r="D606" t="n">
        <v>20</v>
      </c>
      <c r="E606" t="n">
        <v>0</v>
      </c>
      <c r="F606" t="n">
        <v>20</v>
      </c>
      <c r="G606" t="n">
        <v>20</v>
      </c>
    </row>
    <row r="607">
      <c r="A607" t="inlineStr">
        <is>
          <t>202613</t>
        </is>
      </c>
      <c r="B607" t="inlineStr">
        <is>
          <t>Andere</t>
        </is>
      </c>
      <c r="C607" t="inlineStr">
        <is>
          <t>D-06-33-3</t>
        </is>
      </c>
      <c r="D607" t="n">
        <v>20</v>
      </c>
      <c r="E607" t="n">
        <v>0</v>
      </c>
      <c r="F607" t="n">
        <v>20</v>
      </c>
      <c r="G607" t="n">
        <v>20</v>
      </c>
    </row>
    <row r="608">
      <c r="A608" t="inlineStr">
        <is>
          <t>202613</t>
        </is>
      </c>
      <c r="B608" t="inlineStr">
        <is>
          <t>Andere</t>
        </is>
      </c>
      <c r="C608" t="inlineStr">
        <is>
          <t>D-06-41-3</t>
        </is>
      </c>
      <c r="D608" t="n">
        <v>20</v>
      </c>
      <c r="E608" t="n">
        <v>0</v>
      </c>
      <c r="F608" t="n">
        <v>20</v>
      </c>
      <c r="G608" t="n">
        <v>20</v>
      </c>
    </row>
    <row r="609">
      <c r="A609" t="inlineStr">
        <is>
          <t>202613</t>
        </is>
      </c>
      <c r="B609" t="inlineStr">
        <is>
          <t>Andere</t>
        </is>
      </c>
      <c r="C609" t="inlineStr">
        <is>
          <t>FAVOSSPAS</t>
        </is>
      </c>
      <c r="D609" t="n">
        <v>20</v>
      </c>
      <c r="E609" t="n">
        <v>0</v>
      </c>
      <c r="F609" t="n">
        <v>20</v>
      </c>
      <c r="G609" t="n">
        <v>20</v>
      </c>
    </row>
    <row r="610">
      <c r="A610" t="inlineStr">
        <is>
          <t>202613</t>
        </is>
      </c>
      <c r="B610" t="inlineStr">
        <is>
          <t>Andere</t>
        </is>
      </c>
      <c r="C610" t="inlineStr">
        <is>
          <t>D-06-12-3</t>
        </is>
      </c>
      <c r="D610" t="n">
        <v>17</v>
      </c>
      <c r="E610" t="n">
        <v>0</v>
      </c>
      <c r="F610" t="n">
        <v>17</v>
      </c>
      <c r="G610" t="n">
        <v>17</v>
      </c>
    </row>
    <row r="611">
      <c r="A611" t="inlineStr">
        <is>
          <t>202613</t>
        </is>
      </c>
      <c r="B611" t="inlineStr">
        <is>
          <t>Andere</t>
        </is>
      </c>
      <c r="C611" t="inlineStr">
        <is>
          <t>D-06-35-3</t>
        </is>
      </c>
      <c r="D611" t="n">
        <v>16</v>
      </c>
      <c r="E611" t="n">
        <v>0</v>
      </c>
      <c r="F611" t="n">
        <v>16</v>
      </c>
      <c r="G611" t="n">
        <v>16</v>
      </c>
    </row>
    <row r="612">
      <c r="A612" t="inlineStr">
        <is>
          <t>202613</t>
        </is>
      </c>
      <c r="B612" t="inlineStr">
        <is>
          <t>Andere</t>
        </is>
      </c>
      <c r="C612" t="inlineStr">
        <is>
          <t>D-06-38-3</t>
        </is>
      </c>
      <c r="D612" t="n">
        <v>14</v>
      </c>
      <c r="E612" t="n">
        <v>0</v>
      </c>
      <c r="F612" t="n">
        <v>14</v>
      </c>
      <c r="G612" t="n">
        <v>14</v>
      </c>
    </row>
    <row r="613">
      <c r="A613" t="inlineStr">
        <is>
          <t>202613</t>
        </is>
      </c>
      <c r="B613" t="inlineStr">
        <is>
          <t>Andere</t>
        </is>
      </c>
      <c r="C613" t="inlineStr">
        <is>
          <t>D-06-56-2</t>
        </is>
      </c>
      <c r="D613" t="n">
        <v>11</v>
      </c>
      <c r="E613" t="n">
        <v>0</v>
      </c>
      <c r="F613" t="n">
        <v>11</v>
      </c>
      <c r="G613" t="n">
        <v>11</v>
      </c>
    </row>
    <row r="614">
      <c r="A614" t="inlineStr">
        <is>
          <t>202613</t>
        </is>
      </c>
      <c r="B614" t="inlineStr">
        <is>
          <t>Andere</t>
        </is>
      </c>
      <c r="C614" t="inlineStr">
        <is>
          <t>PROD RTN</t>
        </is>
      </c>
      <c r="D614" t="n">
        <v>11</v>
      </c>
      <c r="E614" t="n">
        <v>0</v>
      </c>
      <c r="F614" t="n">
        <v>11</v>
      </c>
      <c r="G614" t="n">
        <v>11</v>
      </c>
    </row>
    <row r="615">
      <c r="A615" t="inlineStr">
        <is>
          <t>202613</t>
        </is>
      </c>
      <c r="B615" t="inlineStr">
        <is>
          <t>Andere</t>
        </is>
      </c>
      <c r="C615" t="inlineStr">
        <is>
          <t>A-02-76-1</t>
        </is>
      </c>
      <c r="D615" t="n">
        <v>10</v>
      </c>
      <c r="E615" t="n">
        <v>0</v>
      </c>
      <c r="F615" t="n">
        <v>10</v>
      </c>
      <c r="G615" t="n">
        <v>10</v>
      </c>
    </row>
    <row r="616">
      <c r="A616" t="inlineStr">
        <is>
          <t>202613</t>
        </is>
      </c>
      <c r="B616" t="inlineStr">
        <is>
          <t>Andere</t>
        </is>
      </c>
      <c r="C616" t="inlineStr">
        <is>
          <t>D-01-02-1</t>
        </is>
      </c>
      <c r="D616" t="n">
        <v>10</v>
      </c>
      <c r="E616" t="n">
        <v>0</v>
      </c>
      <c r="F616" t="n">
        <v>10</v>
      </c>
      <c r="G616" t="n">
        <v>10</v>
      </c>
    </row>
    <row r="617">
      <c r="A617" t="inlineStr">
        <is>
          <t>202613</t>
        </is>
      </c>
      <c r="B617" t="inlineStr">
        <is>
          <t>Andere</t>
        </is>
      </c>
      <c r="C617" t="inlineStr">
        <is>
          <t>D-01-03-1</t>
        </is>
      </c>
      <c r="D617" t="n">
        <v>10</v>
      </c>
      <c r="E617" t="n">
        <v>0</v>
      </c>
      <c r="F617" t="n">
        <v>10</v>
      </c>
      <c r="G617" t="n">
        <v>10</v>
      </c>
    </row>
    <row r="618">
      <c r="A618" t="inlineStr">
        <is>
          <t>202613</t>
        </is>
      </c>
      <c r="B618" t="inlineStr">
        <is>
          <t>Andere</t>
        </is>
      </c>
      <c r="C618" t="inlineStr">
        <is>
          <t>D-06-16-1</t>
        </is>
      </c>
      <c r="D618" t="n">
        <v>10</v>
      </c>
      <c r="E618" t="n">
        <v>0</v>
      </c>
      <c r="F618" t="n">
        <v>10</v>
      </c>
      <c r="G618" t="n">
        <v>10</v>
      </c>
    </row>
    <row r="619">
      <c r="A619" t="inlineStr">
        <is>
          <t>202613</t>
        </is>
      </c>
      <c r="B619" t="inlineStr">
        <is>
          <t>Andere</t>
        </is>
      </c>
      <c r="C619" t="inlineStr">
        <is>
          <t>D-06-17-3</t>
        </is>
      </c>
      <c r="D619" t="n">
        <v>10</v>
      </c>
      <c r="E619" t="n">
        <v>0</v>
      </c>
      <c r="F619" t="n">
        <v>10</v>
      </c>
      <c r="G619" t="n">
        <v>10</v>
      </c>
    </row>
    <row r="620">
      <c r="A620" t="inlineStr">
        <is>
          <t>202613</t>
        </is>
      </c>
      <c r="B620" t="inlineStr">
        <is>
          <t>Andere</t>
        </is>
      </c>
      <c r="C620" t="inlineStr">
        <is>
          <t>D-06-24-3</t>
        </is>
      </c>
      <c r="D620" t="n">
        <v>10</v>
      </c>
      <c r="E620" t="n">
        <v>0</v>
      </c>
      <c r="F620" t="n">
        <v>10</v>
      </c>
      <c r="G620" t="n">
        <v>10</v>
      </c>
    </row>
    <row r="621">
      <c r="A621" t="inlineStr">
        <is>
          <t>202613</t>
        </is>
      </c>
      <c r="B621" t="inlineStr">
        <is>
          <t>Andere</t>
        </is>
      </c>
      <c r="C621" t="inlineStr">
        <is>
          <t>D-06-26-2</t>
        </is>
      </c>
      <c r="D621" t="n">
        <v>10</v>
      </c>
      <c r="E621" t="n">
        <v>0</v>
      </c>
      <c r="F621" t="n">
        <v>10</v>
      </c>
      <c r="G621" t="n">
        <v>10</v>
      </c>
    </row>
    <row r="622">
      <c r="A622" t="inlineStr">
        <is>
          <t>202613</t>
        </is>
      </c>
      <c r="B622" t="inlineStr">
        <is>
          <t>Andere</t>
        </is>
      </c>
      <c r="C622" t="inlineStr">
        <is>
          <t>D-06-36-3</t>
        </is>
      </c>
      <c r="D622" t="n">
        <v>10</v>
      </c>
      <c r="E622" t="n">
        <v>0</v>
      </c>
      <c r="F622" t="n">
        <v>10</v>
      </c>
      <c r="G622" t="n">
        <v>10</v>
      </c>
    </row>
    <row r="623">
      <c r="A623" t="inlineStr">
        <is>
          <t>202613</t>
        </is>
      </c>
      <c r="B623" t="inlineStr">
        <is>
          <t>Andere</t>
        </is>
      </c>
      <c r="C623" t="inlineStr">
        <is>
          <t>D-06-37-3</t>
        </is>
      </c>
      <c r="D623" t="n">
        <v>10</v>
      </c>
      <c r="E623" t="n">
        <v>0</v>
      </c>
      <c r="F623" t="n">
        <v>10</v>
      </c>
      <c r="G623" t="n">
        <v>10</v>
      </c>
    </row>
    <row r="624">
      <c r="A624" t="inlineStr">
        <is>
          <t>202613</t>
        </is>
      </c>
      <c r="B624" t="inlineStr">
        <is>
          <t>Andere</t>
        </is>
      </c>
      <c r="C624" t="inlineStr">
        <is>
          <t>D-06-51-3</t>
        </is>
      </c>
      <c r="D624" t="n">
        <v>10</v>
      </c>
      <c r="E624" t="n">
        <v>0</v>
      </c>
      <c r="F624" t="n">
        <v>10</v>
      </c>
      <c r="G624" t="n">
        <v>10</v>
      </c>
    </row>
    <row r="625">
      <c r="A625" t="inlineStr">
        <is>
          <t>202613</t>
        </is>
      </c>
      <c r="B625" t="inlineStr">
        <is>
          <t>Andere</t>
        </is>
      </c>
      <c r="C625" t="inlineStr">
        <is>
          <t>D-06-09-3</t>
        </is>
      </c>
      <c r="D625" t="n">
        <v>9</v>
      </c>
      <c r="E625" t="n">
        <v>0</v>
      </c>
      <c r="F625" t="n">
        <v>9</v>
      </c>
      <c r="G625" t="n">
        <v>9</v>
      </c>
    </row>
    <row r="626">
      <c r="A626" t="inlineStr">
        <is>
          <t>202613</t>
        </is>
      </c>
      <c r="B626" t="inlineStr">
        <is>
          <t>Andere</t>
        </is>
      </c>
      <c r="C626" t="inlineStr">
        <is>
          <t>D-06-08-3</t>
        </is>
      </c>
      <c r="D626" t="n">
        <v>8</v>
      </c>
      <c r="E626" t="n">
        <v>0</v>
      </c>
      <c r="F626" t="n">
        <v>8</v>
      </c>
      <c r="G626" t="n">
        <v>8</v>
      </c>
    </row>
    <row r="627">
      <c r="A627" t="inlineStr">
        <is>
          <t>202613</t>
        </is>
      </c>
      <c r="B627" t="inlineStr">
        <is>
          <t>Andere</t>
        </is>
      </c>
      <c r="C627" t="inlineStr">
        <is>
          <t>D-06-09-2</t>
        </is>
      </c>
      <c r="D627" t="n">
        <v>8</v>
      </c>
      <c r="E627" t="n">
        <v>0</v>
      </c>
      <c r="F627" t="n">
        <v>8</v>
      </c>
      <c r="G627" t="n">
        <v>8</v>
      </c>
    </row>
    <row r="628">
      <c r="A628" t="inlineStr">
        <is>
          <t>202613</t>
        </is>
      </c>
      <c r="B628" t="inlineStr">
        <is>
          <t>Andere</t>
        </is>
      </c>
      <c r="C628" t="inlineStr">
        <is>
          <t>D-06-13-3</t>
        </is>
      </c>
      <c r="D628" t="n">
        <v>9</v>
      </c>
      <c r="E628" t="n">
        <v>1</v>
      </c>
      <c r="F628" t="n">
        <v>8</v>
      </c>
      <c r="G628" t="n">
        <v>8</v>
      </c>
    </row>
    <row r="629">
      <c r="A629" t="inlineStr">
        <is>
          <t>202613</t>
        </is>
      </c>
      <c r="B629" t="inlineStr">
        <is>
          <t>Andere</t>
        </is>
      </c>
      <c r="C629" t="inlineStr">
        <is>
          <t>P-04-01-2</t>
        </is>
      </c>
      <c r="D629" t="n">
        <v>12</v>
      </c>
      <c r="E629" t="n">
        <v>4</v>
      </c>
      <c r="F629" t="n">
        <v>8</v>
      </c>
      <c r="G629" t="n">
        <v>8</v>
      </c>
    </row>
    <row r="630">
      <c r="A630" t="inlineStr">
        <is>
          <t>202613</t>
        </is>
      </c>
      <c r="B630" t="inlineStr">
        <is>
          <t>Andere</t>
        </is>
      </c>
      <c r="C630" t="inlineStr">
        <is>
          <t>FADKLOMP</t>
        </is>
      </c>
      <c r="D630" t="n">
        <v>4.8</v>
      </c>
      <c r="E630" t="n">
        <v>0</v>
      </c>
      <c r="F630" t="n">
        <v>4.8</v>
      </c>
      <c r="G630" t="n">
        <v>4.8</v>
      </c>
    </row>
    <row r="631">
      <c r="A631" t="inlineStr">
        <is>
          <t>202613</t>
        </is>
      </c>
      <c r="B631" t="inlineStr">
        <is>
          <t>Andere</t>
        </is>
      </c>
      <c r="C631" t="inlineStr">
        <is>
          <t>D-06-15-3</t>
        </is>
      </c>
      <c r="D631" t="n">
        <v>4</v>
      </c>
      <c r="E631" t="n">
        <v>0</v>
      </c>
      <c r="F631" t="n">
        <v>4</v>
      </c>
      <c r="G631" t="n">
        <v>4</v>
      </c>
    </row>
    <row r="632">
      <c r="A632" t="inlineStr">
        <is>
          <t>202613</t>
        </is>
      </c>
      <c r="B632" t="inlineStr">
        <is>
          <t>Andere</t>
        </is>
      </c>
      <c r="C632" t="inlineStr">
        <is>
          <t>D-06-39-3</t>
        </is>
      </c>
      <c r="D632" t="n">
        <v>4</v>
      </c>
      <c r="E632" t="n">
        <v>0</v>
      </c>
      <c r="F632" t="n">
        <v>4</v>
      </c>
      <c r="G632" t="n">
        <v>4</v>
      </c>
    </row>
    <row r="633">
      <c r="A633" t="inlineStr">
        <is>
          <t>202613</t>
        </is>
      </c>
      <c r="B633" t="inlineStr">
        <is>
          <t>Andere</t>
        </is>
      </c>
      <c r="C633" t="inlineStr">
        <is>
          <t>D-06-16-3</t>
        </is>
      </c>
      <c r="D633" t="n">
        <v>3</v>
      </c>
      <c r="E633" t="n">
        <v>0</v>
      </c>
      <c r="F633" t="n">
        <v>3</v>
      </c>
      <c r="G633" t="n">
        <v>3</v>
      </c>
    </row>
    <row r="634">
      <c r="A634" t="inlineStr">
        <is>
          <t>202613</t>
        </is>
      </c>
      <c r="B634" t="inlineStr">
        <is>
          <t>Andere</t>
        </is>
      </c>
      <c r="C634" t="inlineStr">
        <is>
          <t>D-06-14-1</t>
        </is>
      </c>
      <c r="D634" t="n">
        <v>2.5</v>
      </c>
      <c r="E634" t="n">
        <v>0</v>
      </c>
      <c r="F634" t="n">
        <v>2.5</v>
      </c>
      <c r="G634" t="n">
        <v>2.5</v>
      </c>
    </row>
    <row r="635">
      <c r="A635" t="inlineStr">
        <is>
          <t>202613</t>
        </is>
      </c>
      <c r="B635" t="inlineStr">
        <is>
          <t>Andere</t>
        </is>
      </c>
      <c r="C635" t="inlineStr">
        <is>
          <t>D-06-07-3</t>
        </is>
      </c>
      <c r="D635" t="n">
        <v>1</v>
      </c>
      <c r="E635" t="n">
        <v>0</v>
      </c>
      <c r="F635" t="n">
        <v>1</v>
      </c>
      <c r="G635" t="n">
        <v>1</v>
      </c>
    </row>
    <row r="636">
      <c r="A636" t="inlineStr">
        <is>
          <t>202613</t>
        </is>
      </c>
      <c r="B636" t="inlineStr">
        <is>
          <t>Andere</t>
        </is>
      </c>
      <c r="C636" t="inlineStr">
        <is>
          <t>D-06-10-3</t>
        </is>
      </c>
      <c r="D636" t="n">
        <v>1</v>
      </c>
      <c r="E636" t="n">
        <v>0</v>
      </c>
      <c r="F636" t="n">
        <v>1</v>
      </c>
      <c r="G636" t="n">
        <v>1</v>
      </c>
    </row>
    <row r="637">
      <c r="A637" t="inlineStr">
        <is>
          <t>202613</t>
        </is>
      </c>
      <c r="B637" t="inlineStr">
        <is>
          <t>Andere</t>
        </is>
      </c>
      <c r="C637" t="inlineStr">
        <is>
          <t>D-06-14-3</t>
        </is>
      </c>
      <c r="D637" t="n">
        <v>1</v>
      </c>
      <c r="E637" t="n">
        <v>0</v>
      </c>
      <c r="F637" t="n">
        <v>1</v>
      </c>
      <c r="G637" t="n">
        <v>1</v>
      </c>
    </row>
    <row r="638">
      <c r="A638" t="inlineStr">
        <is>
          <t>202613</t>
        </is>
      </c>
      <c r="B638" t="inlineStr">
        <is>
          <t>Andere</t>
        </is>
      </c>
      <c r="C638" t="inlineStr">
        <is>
          <t>D-06-55-2</t>
        </is>
      </c>
      <c r="D638" t="n">
        <v>1</v>
      </c>
      <c r="E638" t="n">
        <v>0</v>
      </c>
      <c r="F638" t="n">
        <v>1</v>
      </c>
      <c r="G638" t="n">
        <v>1</v>
      </c>
    </row>
    <row r="639">
      <c r="A639" t="inlineStr">
        <is>
          <t>202613</t>
        </is>
      </c>
      <c r="B639" t="inlineStr">
        <is>
          <t>Andere</t>
        </is>
      </c>
      <c r="C639" t="inlineStr">
        <is>
          <t>D-06-29-3</t>
        </is>
      </c>
      <c r="D639" t="n">
        <v>0.5</v>
      </c>
      <c r="E639" t="n">
        <v>0</v>
      </c>
      <c r="F639" t="n">
        <v>0.5</v>
      </c>
      <c r="G639" t="n">
        <v>0.5</v>
      </c>
    </row>
    <row r="640">
      <c r="A640" t="inlineStr">
        <is>
          <t>202613</t>
        </is>
      </c>
      <c r="B640" t="inlineStr">
        <is>
          <t>Andere</t>
        </is>
      </c>
      <c r="C640" t="inlineStr">
        <is>
          <t>ASL1-STG1</t>
        </is>
      </c>
      <c r="D640" t="n">
        <v>0.01</v>
      </c>
      <c r="E640" t="n">
        <v>0</v>
      </c>
      <c r="F640" t="n">
        <v>0.01</v>
      </c>
      <c r="G640" t="n">
        <v>0.01</v>
      </c>
    </row>
    <row r="641">
      <c r="A641" t="inlineStr">
        <is>
          <t>202613</t>
        </is>
      </c>
      <c r="B641" t="inlineStr">
        <is>
          <t>Andere</t>
        </is>
      </c>
      <c r="C641" t="inlineStr">
        <is>
          <t>SP-01-01-1</t>
        </is>
      </c>
      <c r="D641" t="n">
        <v>0.01</v>
      </c>
      <c r="E641" t="n">
        <v>0</v>
      </c>
      <c r="F641" t="n">
        <v>0.01</v>
      </c>
      <c r="G641" t="n">
        <v>0.01</v>
      </c>
    </row>
    <row r="642">
      <c r="A642" t="inlineStr">
        <is>
          <t>202613</t>
        </is>
      </c>
      <c r="B642" t="inlineStr">
        <is>
          <t>Andere</t>
        </is>
      </c>
      <c r="C642" t="inlineStr">
        <is>
          <t>SP-01-02-1</t>
        </is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202613</t>
        </is>
      </c>
      <c r="B643" t="inlineStr">
        <is>
          <t>Andere</t>
        </is>
      </c>
      <c r="C643" t="inlineStr">
        <is>
          <t>SP-01-01-2</t>
        </is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202613</t>
        </is>
      </c>
      <c r="B644" t="inlineStr">
        <is>
          <t>Andere</t>
        </is>
      </c>
      <c r="C644" t="inlineStr">
        <is>
          <t>SP-02-01-2</t>
        </is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202613</t>
        </is>
      </c>
      <c r="B645" t="inlineStr">
        <is>
          <t>Andere</t>
        </is>
      </c>
      <c r="C645" t="inlineStr">
        <is>
          <t>SP-02-03-2</t>
        </is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202613</t>
        </is>
      </c>
      <c r="B646" t="inlineStr">
        <is>
          <t>Andere</t>
        </is>
      </c>
      <c r="C646" t="inlineStr">
        <is>
          <t>SP-02-04-2</t>
        </is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202613</t>
        </is>
      </c>
      <c r="B647" t="inlineStr">
        <is>
          <t>Andere</t>
        </is>
      </c>
      <c r="C647" t="inlineStr">
        <is>
          <t>SP-01-02-2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202613</t>
        </is>
      </c>
      <c r="B648" t="inlineStr">
        <is>
          <t>Andere</t>
        </is>
      </c>
      <c r="C648" t="inlineStr">
        <is>
          <t>SP-01-03-1</t>
        </is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202613</t>
        </is>
      </c>
      <c r="B649" t="inlineStr">
        <is>
          <t>Andere</t>
        </is>
      </c>
      <c r="C649" t="inlineStr">
        <is>
          <t>SP-01-03-2</t>
        </is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202613</t>
        </is>
      </c>
      <c r="B650" t="inlineStr">
        <is>
          <t>Andere</t>
        </is>
      </c>
      <c r="C650" t="inlineStr">
        <is>
          <t>SP-01-03-3</t>
        </is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202613</t>
        </is>
      </c>
      <c r="B651" t="inlineStr">
        <is>
          <t>Andere</t>
        </is>
      </c>
      <c r="C651" t="inlineStr">
        <is>
          <t>SP-02-01-1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202613</t>
        </is>
      </c>
      <c r="B652" t="inlineStr">
        <is>
          <t>Andere</t>
        </is>
      </c>
      <c r="C652" t="inlineStr">
        <is>
          <t>SP-02-03-1</t>
        </is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202613</t>
        </is>
      </c>
      <c r="B653" t="inlineStr">
        <is>
          <t>Andere</t>
        </is>
      </c>
      <c r="C653" t="inlineStr">
        <is>
          <t>SP-02-04-1</t>
        </is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202613</t>
        </is>
      </c>
      <c r="B654" t="inlineStr">
        <is>
          <t>Andere</t>
        </is>
      </c>
      <c r="C654" t="inlineStr">
        <is>
          <t>SP-01-01-3</t>
        </is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202613</t>
        </is>
      </c>
      <c r="B655" t="inlineStr">
        <is>
          <t>Andere</t>
        </is>
      </c>
      <c r="C655" t="inlineStr">
        <is>
          <t>SP-01-02-3</t>
        </is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202613</t>
        </is>
      </c>
      <c r="B656" t="inlineStr">
        <is>
          <t>Andere</t>
        </is>
      </c>
      <c r="C656" t="inlineStr">
        <is>
          <t>SP-01-04-1</t>
        </is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202613</t>
        </is>
      </c>
      <c r="B657" t="inlineStr">
        <is>
          <t>Andere</t>
        </is>
      </c>
      <c r="C657" t="inlineStr">
        <is>
          <t>SP-02-01-3</t>
        </is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202613</t>
        </is>
      </c>
      <c r="B658" t="inlineStr">
        <is>
          <t>Andere</t>
        </is>
      </c>
      <c r="C658" t="inlineStr">
        <is>
          <t>SP-02-02-1</t>
        </is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202613</t>
        </is>
      </c>
      <c r="B659" t="inlineStr">
        <is>
          <t>Andere</t>
        </is>
      </c>
      <c r="C659" t="inlineStr">
        <is>
          <t>SP-02-02-2</t>
        </is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202613</t>
        </is>
      </c>
      <c r="B660" t="inlineStr">
        <is>
          <t>Andere</t>
        </is>
      </c>
      <c r="C660" t="inlineStr">
        <is>
          <t>SP-02-02-3</t>
        </is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202613</t>
        </is>
      </c>
      <c r="B661" t="inlineStr">
        <is>
          <t>Andere</t>
        </is>
      </c>
      <c r="C661" t="inlineStr">
        <is>
          <t>SP-02-03-3</t>
        </is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202613</t>
        </is>
      </c>
      <c r="B662" t="inlineStr">
        <is>
          <t>Andere</t>
        </is>
      </c>
      <c r="C662" t="inlineStr">
        <is>
          <t>SP-02-04-3</t>
        </is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202613</t>
        </is>
      </c>
      <c r="B663" t="inlineStr">
        <is>
          <t>Andere</t>
        </is>
      </c>
      <c r="C663" t="inlineStr">
        <is>
          <t>SP-02-05-1</t>
        </is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202613</t>
        </is>
      </c>
      <c r="B664" t="inlineStr">
        <is>
          <t>Andere</t>
        </is>
      </c>
      <c r="C664" t="inlineStr">
        <is>
          <t>SP-02-05-2</t>
        </is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202613</t>
        </is>
      </c>
      <c r="B665" t="inlineStr">
        <is>
          <t>Andere</t>
        </is>
      </c>
      <c r="C665" t="inlineStr">
        <is>
          <t>SP-02-05-3</t>
        </is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202613</t>
        </is>
      </c>
      <c r="B666" t="inlineStr">
        <is>
          <t>Andere</t>
        </is>
      </c>
      <c r="C666" t="inlineStr">
        <is>
          <t>A-01-03-4</t>
        </is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202613</t>
        </is>
      </c>
      <c r="B667" t="inlineStr">
        <is>
          <t>Andere</t>
        </is>
      </c>
      <c r="C667" t="inlineStr">
        <is>
          <t>A-01-07-4</t>
        </is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202613</t>
        </is>
      </c>
      <c r="B668" t="inlineStr">
        <is>
          <t>Andere</t>
        </is>
      </c>
      <c r="C668" t="inlineStr">
        <is>
          <t>A-01-08-4</t>
        </is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202613</t>
        </is>
      </c>
      <c r="B669" t="inlineStr">
        <is>
          <t>Andere</t>
        </is>
      </c>
      <c r="C669" t="inlineStr">
        <is>
          <t>A-01-09-3</t>
        </is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202613</t>
        </is>
      </c>
      <c r="B670" t="inlineStr">
        <is>
          <t>Andere</t>
        </is>
      </c>
      <c r="C670" t="inlineStr">
        <is>
          <t>A-01-09-4</t>
        </is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202613</t>
        </is>
      </c>
      <c r="B671" t="inlineStr">
        <is>
          <t>Andere</t>
        </is>
      </c>
      <c r="C671" t="inlineStr">
        <is>
          <t>A-01-10-4</t>
        </is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202613</t>
        </is>
      </c>
      <c r="B672" t="inlineStr">
        <is>
          <t>Andere</t>
        </is>
      </c>
      <c r="C672" t="inlineStr">
        <is>
          <t>A-01-11-4</t>
        </is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202613</t>
        </is>
      </c>
      <c r="B673" t="inlineStr">
        <is>
          <t>Andere</t>
        </is>
      </c>
      <c r="C673" t="inlineStr">
        <is>
          <t>A-01-12-4</t>
        </is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202613</t>
        </is>
      </c>
      <c r="B674" t="inlineStr">
        <is>
          <t>Andere</t>
        </is>
      </c>
      <c r="C674" t="inlineStr">
        <is>
          <t>A-01-14-4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202613</t>
        </is>
      </c>
      <c r="B675" t="inlineStr">
        <is>
          <t>Andere</t>
        </is>
      </c>
      <c r="C675" t="inlineStr">
        <is>
          <t>A-01-15-4</t>
        </is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202613</t>
        </is>
      </c>
      <c r="B676" t="inlineStr">
        <is>
          <t>Andere</t>
        </is>
      </c>
      <c r="C676" t="inlineStr">
        <is>
          <t>A-01-16-4</t>
        </is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202613</t>
        </is>
      </c>
      <c r="B677" t="inlineStr">
        <is>
          <t>Andere</t>
        </is>
      </c>
      <c r="C677" t="inlineStr">
        <is>
          <t>A-01-18-3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202613</t>
        </is>
      </c>
      <c r="B678" t="inlineStr">
        <is>
          <t>Andere</t>
        </is>
      </c>
      <c r="C678" t="inlineStr">
        <is>
          <t>A-01-26-3</t>
        </is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202613</t>
        </is>
      </c>
      <c r="B679" t="inlineStr">
        <is>
          <t>Andere</t>
        </is>
      </c>
      <c r="C679" t="inlineStr">
        <is>
          <t>D-06-04-3</t>
        </is>
      </c>
      <c r="D679" t="n">
        <v>1</v>
      </c>
      <c r="E679" t="n">
        <v>1</v>
      </c>
      <c r="F679" t="n">
        <v>0</v>
      </c>
      <c r="G679" t="n">
        <v>0</v>
      </c>
    </row>
    <row r="680">
      <c r="A680" t="inlineStr">
        <is>
          <t>202613</t>
        </is>
      </c>
      <c r="B680" t="inlineStr">
        <is>
          <t>Andere</t>
        </is>
      </c>
      <c r="C680" t="inlineStr">
        <is>
          <t>D-06-11-3</t>
        </is>
      </c>
      <c r="D680" t="n">
        <v>1</v>
      </c>
      <c r="E680" t="n">
        <v>1</v>
      </c>
      <c r="F680" t="n">
        <v>0</v>
      </c>
      <c r="G680" t="n">
        <v>0</v>
      </c>
    </row>
    <row r="681">
      <c r="A681" t="inlineStr">
        <is>
          <t>202613</t>
        </is>
      </c>
      <c r="B681" t="inlineStr">
        <is>
          <t>Andere</t>
        </is>
      </c>
      <c r="C681" t="inlineStr">
        <is>
          <t>D-06-46-1</t>
        </is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202613</t>
        </is>
      </c>
      <c r="B682" t="inlineStr">
        <is>
          <t>Andere</t>
        </is>
      </c>
      <c r="C682" t="inlineStr">
        <is>
          <t>P-04-14-2</t>
        </is>
      </c>
      <c r="D682" t="n">
        <v>2</v>
      </c>
      <c r="E682" t="n">
        <v>2</v>
      </c>
      <c r="F682" t="n">
        <v>0</v>
      </c>
      <c r="G682" t="n">
        <v>0</v>
      </c>
    </row>
    <row r="683">
      <c r="A683" t="inlineStr">
        <is>
          <t>202613</t>
        </is>
      </c>
      <c r="B683" t="inlineStr">
        <is>
          <t>Fulfillment</t>
        </is>
      </c>
      <c r="C683" t="inlineStr">
        <is>
          <t>PLH-01-09</t>
        </is>
      </c>
      <c r="D683" t="n">
        <v>2.8</v>
      </c>
      <c r="E683" t="n">
        <v>0</v>
      </c>
      <c r="F683" t="n">
        <v>2.8</v>
      </c>
      <c r="G683" t="n">
        <v>2.8</v>
      </c>
    </row>
    <row r="684">
      <c r="A684" t="inlineStr">
        <is>
          <t>202613</t>
        </is>
      </c>
      <c r="B684" t="inlineStr">
        <is>
          <t>Lager</t>
        </is>
      </c>
      <c r="C684" t="inlineStr">
        <is>
          <t>STGDR-27</t>
        </is>
      </c>
      <c r="D684" t="n">
        <v>752.5</v>
      </c>
      <c r="E684" t="n">
        <v>0</v>
      </c>
      <c r="F684" t="n">
        <v>752.5</v>
      </c>
      <c r="G684" t="n">
        <v>752.5</v>
      </c>
    </row>
    <row r="685">
      <c r="A685" t="inlineStr">
        <is>
          <t>202613</t>
        </is>
      </c>
      <c r="B685" t="inlineStr">
        <is>
          <t>Lager</t>
        </is>
      </c>
      <c r="C685" t="inlineStr">
        <is>
          <t>STGDR-29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202613</t>
        </is>
      </c>
      <c r="B686" t="inlineStr">
        <is>
          <t>Lager</t>
        </is>
      </c>
      <c r="C686" t="inlineStr">
        <is>
          <t>STGDR-85</t>
        </is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202613</t>
        </is>
      </c>
      <c r="B687" t="inlineStr">
        <is>
          <t>Prep/Plating</t>
        </is>
      </c>
      <c r="C687" t="inlineStr">
        <is>
          <t>PREB-01</t>
        </is>
      </c>
      <c r="D687" t="n">
        <v>3</v>
      </c>
      <c r="E687" t="n">
        <v>0.2</v>
      </c>
      <c r="F687" t="n">
        <v>2.8</v>
      </c>
      <c r="G687" t="n">
        <v>2.8</v>
      </c>
    </row>
    <row r="688">
      <c r="A688" t="inlineStr">
        <is>
          <t>202613</t>
        </is>
      </c>
      <c r="B688" t="inlineStr">
        <is>
          <t>Prep/Plating</t>
        </is>
      </c>
      <c r="C688" t="inlineStr">
        <is>
          <t>PostB-01</t>
        </is>
      </c>
      <c r="D688" t="n">
        <v>2.8</v>
      </c>
      <c r="E688" t="n">
        <v>0</v>
      </c>
      <c r="F688" t="n">
        <v>2.8</v>
      </c>
      <c r="G688" t="n">
        <v>2.8</v>
      </c>
    </row>
    <row r="689">
      <c r="A689" t="inlineStr">
        <is>
          <t>202613</t>
        </is>
      </c>
      <c r="B689" t="inlineStr">
        <is>
          <t>Prep/Plating</t>
        </is>
      </c>
      <c r="C689" t="inlineStr">
        <is>
          <t>DEBOXWIP</t>
        </is>
      </c>
      <c r="D689" t="n">
        <v>0</v>
      </c>
      <c r="E689" t="n">
        <v>1.36</v>
      </c>
      <c r="F689" t="n">
        <v>-1.36</v>
      </c>
      <c r="G689" t="n">
        <v>-1.36</v>
      </c>
    </row>
    <row r="690">
      <c r="A690" t="inlineStr">
        <is>
          <t>202614</t>
        </is>
      </c>
      <c r="B690" t="inlineStr">
        <is>
          <t>Andere</t>
        </is>
      </c>
      <c r="C690" t="inlineStr">
        <is>
          <t>PRODUCTION</t>
        </is>
      </c>
      <c r="D690" t="n">
        <v>45904</v>
      </c>
      <c r="E690" t="n">
        <v>0</v>
      </c>
      <c r="F690" t="n">
        <v>45904</v>
      </c>
      <c r="G690" t="n">
        <v>45904</v>
      </c>
    </row>
    <row r="691">
      <c r="A691" t="inlineStr">
        <is>
          <t>202614</t>
        </is>
      </c>
      <c r="B691" t="inlineStr">
        <is>
          <t>Andere</t>
        </is>
      </c>
      <c r="C691" t="inlineStr">
        <is>
          <t>FALEHMANNM</t>
        </is>
      </c>
      <c r="D691" t="n">
        <v>37521</v>
      </c>
      <c r="E691" t="n">
        <v>0</v>
      </c>
      <c r="F691" t="n">
        <v>37521</v>
      </c>
      <c r="G691" t="n">
        <v>37521</v>
      </c>
    </row>
    <row r="692">
      <c r="A692" t="inlineStr">
        <is>
          <t>202614</t>
        </is>
      </c>
      <c r="B692" t="inlineStr">
        <is>
          <t>Andere</t>
        </is>
      </c>
      <c r="C692" t="inlineStr">
        <is>
          <t>A-01-01-1</t>
        </is>
      </c>
      <c r="D692" t="n">
        <v>19360</v>
      </c>
      <c r="E692" t="n">
        <v>0</v>
      </c>
      <c r="F692" t="n">
        <v>19360</v>
      </c>
      <c r="G692" t="n">
        <v>19360</v>
      </c>
    </row>
    <row r="693">
      <c r="A693" t="inlineStr">
        <is>
          <t>202614</t>
        </is>
      </c>
      <c r="B693" t="inlineStr">
        <is>
          <t>Andere</t>
        </is>
      </c>
      <c r="C693" t="inlineStr">
        <is>
          <t>FAGEVERSF</t>
        </is>
      </c>
      <c r="D693" t="n">
        <v>9554</v>
      </c>
      <c r="E693" t="n">
        <v>0</v>
      </c>
      <c r="F693" t="n">
        <v>9554</v>
      </c>
      <c r="G693" t="n">
        <v>9554</v>
      </c>
    </row>
    <row r="694">
      <c r="A694" t="inlineStr">
        <is>
          <t>202614</t>
        </is>
      </c>
      <c r="B694" t="inlineStr">
        <is>
          <t>Andere</t>
        </is>
      </c>
      <c r="C694" t="inlineStr">
        <is>
          <t>FAWIEGHOLDD</t>
        </is>
      </c>
      <c r="D694" t="n">
        <v>9228</v>
      </c>
      <c r="E694" t="n">
        <v>0</v>
      </c>
      <c r="F694" t="n">
        <v>9228</v>
      </c>
      <c r="G694" t="n">
        <v>9228</v>
      </c>
    </row>
    <row r="695">
      <c r="A695" t="inlineStr">
        <is>
          <t>202614</t>
        </is>
      </c>
      <c r="B695" t="inlineStr">
        <is>
          <t>Andere</t>
        </is>
      </c>
      <c r="C695" t="inlineStr">
        <is>
          <t>UNBEKANNT</t>
        </is>
      </c>
      <c r="D695" t="n">
        <v>8189.1</v>
      </c>
      <c r="E695" t="n">
        <v>0</v>
      </c>
      <c r="F695" t="n">
        <v>8189.1</v>
      </c>
      <c r="G695" t="n">
        <v>8189.1</v>
      </c>
    </row>
    <row r="696">
      <c r="A696" t="inlineStr">
        <is>
          <t>202614</t>
        </is>
      </c>
      <c r="B696" t="inlineStr">
        <is>
          <t>Andere</t>
        </is>
      </c>
      <c r="C696" t="inlineStr">
        <is>
          <t>A-02-60-1</t>
        </is>
      </c>
      <c r="D696" t="n">
        <v>5248</v>
      </c>
      <c r="E696" t="n">
        <v>0</v>
      </c>
      <c r="F696" t="n">
        <v>5248</v>
      </c>
      <c r="G696" t="n">
        <v>5248</v>
      </c>
    </row>
    <row r="697">
      <c r="A697" t="inlineStr">
        <is>
          <t>202614</t>
        </is>
      </c>
      <c r="B697" t="inlineStr">
        <is>
          <t>Andere</t>
        </is>
      </c>
      <c r="C697" t="inlineStr">
        <is>
          <t>A-01-14-1</t>
        </is>
      </c>
      <c r="D697" t="n">
        <v>5000</v>
      </c>
      <c r="E697" t="n">
        <v>0</v>
      </c>
      <c r="F697" t="n">
        <v>5000</v>
      </c>
      <c r="G697" t="n">
        <v>5000</v>
      </c>
    </row>
    <row r="698">
      <c r="A698" t="inlineStr">
        <is>
          <t>202614</t>
        </is>
      </c>
      <c r="B698" t="inlineStr">
        <is>
          <t>Andere</t>
        </is>
      </c>
      <c r="C698" t="inlineStr">
        <is>
          <t>FAZALOGD</t>
        </is>
      </c>
      <c r="D698" t="n">
        <v>4680</v>
      </c>
      <c r="E698" t="n">
        <v>0</v>
      </c>
      <c r="F698" t="n">
        <v>4680</v>
      </c>
      <c r="G698" t="n">
        <v>4680</v>
      </c>
    </row>
    <row r="699">
      <c r="A699" t="inlineStr">
        <is>
          <t>202614</t>
        </is>
      </c>
      <c r="B699" t="inlineStr">
        <is>
          <t>Andere</t>
        </is>
      </c>
      <c r="C699" t="inlineStr">
        <is>
          <t>FAGROTHEERF</t>
        </is>
      </c>
      <c r="D699" t="n">
        <v>4547</v>
      </c>
      <c r="E699" t="n">
        <v>0</v>
      </c>
      <c r="F699" t="n">
        <v>4547</v>
      </c>
      <c r="G699" t="n">
        <v>4547</v>
      </c>
    </row>
    <row r="700">
      <c r="A700" t="inlineStr">
        <is>
          <t>202614</t>
        </is>
      </c>
      <c r="B700" t="inlineStr">
        <is>
          <t>Andere</t>
        </is>
      </c>
      <c r="C700" t="inlineStr">
        <is>
          <t>A-02-61-1</t>
        </is>
      </c>
      <c r="D700" t="n">
        <v>4210</v>
      </c>
      <c r="E700" t="n">
        <v>0</v>
      </c>
      <c r="F700" t="n">
        <v>4210</v>
      </c>
      <c r="G700" t="n">
        <v>4210</v>
      </c>
    </row>
    <row r="701">
      <c r="A701" t="inlineStr">
        <is>
          <t>202614</t>
        </is>
      </c>
      <c r="B701" t="inlineStr">
        <is>
          <t>Andere</t>
        </is>
      </c>
      <c r="C701" t="inlineStr">
        <is>
          <t>PROD RTN</t>
        </is>
      </c>
      <c r="D701" t="n">
        <v>3011</v>
      </c>
      <c r="E701" t="n">
        <v>0</v>
      </c>
      <c r="F701" t="n">
        <v>3011</v>
      </c>
      <c r="G701" t="n">
        <v>3011</v>
      </c>
    </row>
    <row r="702">
      <c r="A702" t="inlineStr">
        <is>
          <t>202614</t>
        </is>
      </c>
      <c r="B702" t="inlineStr">
        <is>
          <t>Andere</t>
        </is>
      </c>
      <c r="C702" t="inlineStr">
        <is>
          <t>GERMANY</t>
        </is>
      </c>
      <c r="D702" t="n">
        <v>1952</v>
      </c>
      <c r="E702" t="n">
        <v>0</v>
      </c>
      <c r="F702" t="n">
        <v>1952</v>
      </c>
      <c r="G702" t="n">
        <v>1952</v>
      </c>
    </row>
    <row r="703">
      <c r="A703" t="inlineStr">
        <is>
          <t>202614</t>
        </is>
      </c>
      <c r="B703" t="inlineStr">
        <is>
          <t>Andere</t>
        </is>
      </c>
      <c r="C703" t="inlineStr">
        <is>
          <t>LOST</t>
        </is>
      </c>
      <c r="D703" t="n">
        <v>1082</v>
      </c>
      <c r="E703" t="n">
        <v>0</v>
      </c>
      <c r="F703" t="n">
        <v>1082</v>
      </c>
      <c r="G703" t="n">
        <v>1082</v>
      </c>
    </row>
    <row r="704">
      <c r="A704" t="inlineStr">
        <is>
          <t>202614</t>
        </is>
      </c>
      <c r="B704" t="inlineStr">
        <is>
          <t>Andere</t>
        </is>
      </c>
      <c r="C704" t="inlineStr">
        <is>
          <t>FAHANSENMA</t>
        </is>
      </c>
      <c r="D704" t="n">
        <v>744</v>
      </c>
      <c r="E704" t="n">
        <v>0</v>
      </c>
      <c r="F704" t="n">
        <v>744</v>
      </c>
      <c r="G704" t="n">
        <v>744</v>
      </c>
    </row>
    <row r="705">
      <c r="A705" t="inlineStr">
        <is>
          <t>202614</t>
        </is>
      </c>
      <c r="B705" t="inlineStr">
        <is>
          <t>Andere</t>
        </is>
      </c>
      <c r="C705" t="inlineStr">
        <is>
          <t>FAHABAYEBM</t>
        </is>
      </c>
      <c r="D705" t="n">
        <v>654</v>
      </c>
      <c r="E705" t="n">
        <v>0</v>
      </c>
      <c r="F705" t="n">
        <v>654</v>
      </c>
      <c r="G705" t="n">
        <v>654</v>
      </c>
    </row>
    <row r="706">
      <c r="A706" t="inlineStr">
        <is>
          <t>202614</t>
        </is>
      </c>
      <c r="B706" t="inlineStr">
        <is>
          <t>Andere</t>
        </is>
      </c>
      <c r="C706" t="inlineStr">
        <is>
          <t>A-02-76-2</t>
        </is>
      </c>
      <c r="D706" t="n">
        <v>558</v>
      </c>
      <c r="E706" t="n">
        <v>0</v>
      </c>
      <c r="F706" t="n">
        <v>558</v>
      </c>
      <c r="G706" t="n">
        <v>558</v>
      </c>
    </row>
    <row r="707">
      <c r="A707" t="inlineStr">
        <is>
          <t>202614</t>
        </is>
      </c>
      <c r="B707" t="inlineStr">
        <is>
          <t>Andere</t>
        </is>
      </c>
      <c r="C707" t="inlineStr">
        <is>
          <t>A-01-17-1</t>
        </is>
      </c>
      <c r="D707" t="n">
        <v>500</v>
      </c>
      <c r="E707" t="n">
        <v>0</v>
      </c>
      <c r="F707" t="n">
        <v>500</v>
      </c>
      <c r="G707" t="n">
        <v>500</v>
      </c>
    </row>
    <row r="708">
      <c r="A708" t="inlineStr">
        <is>
          <t>202614</t>
        </is>
      </c>
      <c r="B708" t="inlineStr">
        <is>
          <t>Andere</t>
        </is>
      </c>
      <c r="C708" t="inlineStr">
        <is>
          <t>FZ-01-04-1</t>
        </is>
      </c>
      <c r="D708" t="n">
        <v>468</v>
      </c>
      <c r="E708" t="n">
        <v>0</v>
      </c>
      <c r="F708" t="n">
        <v>468</v>
      </c>
      <c r="G708" t="n">
        <v>468</v>
      </c>
    </row>
    <row r="709">
      <c r="A709" t="inlineStr">
        <is>
          <t>202614</t>
        </is>
      </c>
      <c r="B709" t="inlineStr">
        <is>
          <t>Andere</t>
        </is>
      </c>
      <c r="C709" t="inlineStr">
        <is>
          <t>FZ-01-05-1</t>
        </is>
      </c>
      <c r="D709" t="n">
        <v>468</v>
      </c>
      <c r="E709" t="n">
        <v>0</v>
      </c>
      <c r="F709" t="n">
        <v>468</v>
      </c>
      <c r="G709" t="n">
        <v>468</v>
      </c>
    </row>
    <row r="710">
      <c r="A710" t="inlineStr">
        <is>
          <t>202614</t>
        </is>
      </c>
      <c r="B710" t="inlineStr">
        <is>
          <t>Andere</t>
        </is>
      </c>
      <c r="C710" t="inlineStr">
        <is>
          <t>FZ-01-06-1</t>
        </is>
      </c>
      <c r="D710" t="n">
        <v>468</v>
      </c>
      <c r="E710" t="n">
        <v>0</v>
      </c>
      <c r="F710" t="n">
        <v>468</v>
      </c>
      <c r="G710" t="n">
        <v>468</v>
      </c>
    </row>
    <row r="711">
      <c r="A711" t="inlineStr">
        <is>
          <t>202614</t>
        </is>
      </c>
      <c r="B711" t="inlineStr">
        <is>
          <t>Andere</t>
        </is>
      </c>
      <c r="C711" t="inlineStr">
        <is>
          <t>FZ-01-07-1</t>
        </is>
      </c>
      <c r="D711" t="n">
        <v>468</v>
      </c>
      <c r="E711" t="n">
        <v>0</v>
      </c>
      <c r="F711" t="n">
        <v>468</v>
      </c>
      <c r="G711" t="n">
        <v>468</v>
      </c>
    </row>
    <row r="712">
      <c r="A712" t="inlineStr">
        <is>
          <t>202614</t>
        </is>
      </c>
      <c r="B712" t="inlineStr">
        <is>
          <t>Andere</t>
        </is>
      </c>
      <c r="C712" t="inlineStr">
        <is>
          <t>FZ-01-08-1</t>
        </is>
      </c>
      <c r="D712" t="n">
        <v>468</v>
      </c>
      <c r="E712" t="n">
        <v>0</v>
      </c>
      <c r="F712" t="n">
        <v>468</v>
      </c>
      <c r="G712" t="n">
        <v>468</v>
      </c>
    </row>
    <row r="713">
      <c r="A713" t="inlineStr">
        <is>
          <t>202614</t>
        </is>
      </c>
      <c r="B713" t="inlineStr">
        <is>
          <t>Andere</t>
        </is>
      </c>
      <c r="C713" t="inlineStr">
        <is>
          <t>FZ-01-09-1</t>
        </is>
      </c>
      <c r="D713" t="n">
        <v>468</v>
      </c>
      <c r="E713" t="n">
        <v>0</v>
      </c>
      <c r="F713" t="n">
        <v>468</v>
      </c>
      <c r="G713" t="n">
        <v>468</v>
      </c>
    </row>
    <row r="714">
      <c r="A714" t="inlineStr">
        <is>
          <t>202614</t>
        </is>
      </c>
      <c r="B714" t="inlineStr">
        <is>
          <t>Andere</t>
        </is>
      </c>
      <c r="C714" t="inlineStr">
        <is>
          <t>FZ-01-10-1</t>
        </is>
      </c>
      <c r="D714" t="n">
        <v>468</v>
      </c>
      <c r="E714" t="n">
        <v>0</v>
      </c>
      <c r="F714" t="n">
        <v>468</v>
      </c>
      <c r="G714" t="n">
        <v>468</v>
      </c>
    </row>
    <row r="715">
      <c r="A715" t="inlineStr">
        <is>
          <t>202614</t>
        </is>
      </c>
      <c r="B715" t="inlineStr">
        <is>
          <t>Andere</t>
        </is>
      </c>
      <c r="C715" t="inlineStr">
        <is>
          <t>FZ-01-11-1</t>
        </is>
      </c>
      <c r="D715" t="n">
        <v>468</v>
      </c>
      <c r="E715" t="n">
        <v>0</v>
      </c>
      <c r="F715" t="n">
        <v>468</v>
      </c>
      <c r="G715" t="n">
        <v>468</v>
      </c>
    </row>
    <row r="716">
      <c r="A716" t="inlineStr">
        <is>
          <t>202614</t>
        </is>
      </c>
      <c r="B716" t="inlineStr">
        <is>
          <t>Andere</t>
        </is>
      </c>
      <c r="C716" t="inlineStr">
        <is>
          <t>FZ-01-12-1</t>
        </is>
      </c>
      <c r="D716" t="n">
        <v>468</v>
      </c>
      <c r="E716" t="n">
        <v>0</v>
      </c>
      <c r="F716" t="n">
        <v>468</v>
      </c>
      <c r="G716" t="n">
        <v>468</v>
      </c>
    </row>
    <row r="717">
      <c r="A717" t="inlineStr">
        <is>
          <t>202614</t>
        </is>
      </c>
      <c r="B717" t="inlineStr">
        <is>
          <t>Andere</t>
        </is>
      </c>
      <c r="C717" t="inlineStr">
        <is>
          <t>FZ-02-02-1</t>
        </is>
      </c>
      <c r="D717" t="n">
        <v>468</v>
      </c>
      <c r="E717" t="n">
        <v>0</v>
      </c>
      <c r="F717" t="n">
        <v>468</v>
      </c>
      <c r="G717" t="n">
        <v>468</v>
      </c>
    </row>
    <row r="718">
      <c r="A718" t="inlineStr">
        <is>
          <t>202614</t>
        </is>
      </c>
      <c r="B718" t="inlineStr">
        <is>
          <t>Andere</t>
        </is>
      </c>
      <c r="C718" t="inlineStr">
        <is>
          <t>FZ-02-03-1</t>
        </is>
      </c>
      <c r="D718" t="n">
        <v>468</v>
      </c>
      <c r="E718" t="n">
        <v>0</v>
      </c>
      <c r="F718" t="n">
        <v>468</v>
      </c>
      <c r="G718" t="n">
        <v>468</v>
      </c>
    </row>
    <row r="719">
      <c r="A719" t="inlineStr">
        <is>
          <t>202614</t>
        </is>
      </c>
      <c r="B719" t="inlineStr">
        <is>
          <t>Andere</t>
        </is>
      </c>
      <c r="C719" t="inlineStr">
        <is>
          <t>FZ-02-32-1</t>
        </is>
      </c>
      <c r="D719" t="n">
        <v>468</v>
      </c>
      <c r="E719" t="n">
        <v>0</v>
      </c>
      <c r="F719" t="n">
        <v>468</v>
      </c>
      <c r="G719" t="n">
        <v>468</v>
      </c>
    </row>
    <row r="720">
      <c r="A720" t="inlineStr">
        <is>
          <t>202614</t>
        </is>
      </c>
      <c r="B720" t="inlineStr">
        <is>
          <t>Andere</t>
        </is>
      </c>
      <c r="C720" t="inlineStr">
        <is>
          <t>FZ-02-36-1</t>
        </is>
      </c>
      <c r="D720" t="n">
        <v>468</v>
      </c>
      <c r="E720" t="n">
        <v>0</v>
      </c>
      <c r="F720" t="n">
        <v>468</v>
      </c>
      <c r="G720" t="n">
        <v>468</v>
      </c>
    </row>
    <row r="721">
      <c r="A721" t="inlineStr">
        <is>
          <t>202614</t>
        </is>
      </c>
      <c r="B721" t="inlineStr">
        <is>
          <t>Andere</t>
        </is>
      </c>
      <c r="C721" t="inlineStr">
        <is>
          <t>FZ-02-37-1</t>
        </is>
      </c>
      <c r="D721" t="n">
        <v>468</v>
      </c>
      <c r="E721" t="n">
        <v>0</v>
      </c>
      <c r="F721" t="n">
        <v>468</v>
      </c>
      <c r="G721" t="n">
        <v>468</v>
      </c>
    </row>
    <row r="722">
      <c r="A722" t="inlineStr">
        <is>
          <t>202614</t>
        </is>
      </c>
      <c r="B722" t="inlineStr">
        <is>
          <t>Andere</t>
        </is>
      </c>
      <c r="C722" t="inlineStr">
        <is>
          <t>FZ-02-38-1</t>
        </is>
      </c>
      <c r="D722" t="n">
        <v>468</v>
      </c>
      <c r="E722" t="n">
        <v>0</v>
      </c>
      <c r="F722" t="n">
        <v>468</v>
      </c>
      <c r="G722" t="n">
        <v>468</v>
      </c>
    </row>
    <row r="723">
      <c r="A723" t="inlineStr">
        <is>
          <t>202614</t>
        </is>
      </c>
      <c r="B723" t="inlineStr">
        <is>
          <t>Andere</t>
        </is>
      </c>
      <c r="C723" t="inlineStr">
        <is>
          <t>FZ-02-39-1</t>
        </is>
      </c>
      <c r="D723" t="n">
        <v>468</v>
      </c>
      <c r="E723" t="n">
        <v>0</v>
      </c>
      <c r="F723" t="n">
        <v>468</v>
      </c>
      <c r="G723" t="n">
        <v>468</v>
      </c>
    </row>
    <row r="724">
      <c r="A724" t="inlineStr">
        <is>
          <t>202614</t>
        </is>
      </c>
      <c r="B724" t="inlineStr">
        <is>
          <t>Andere</t>
        </is>
      </c>
      <c r="C724" t="inlineStr">
        <is>
          <t>FZ-02-40-1</t>
        </is>
      </c>
      <c r="D724" t="n">
        <v>468</v>
      </c>
      <c r="E724" t="n">
        <v>0</v>
      </c>
      <c r="F724" t="n">
        <v>468</v>
      </c>
      <c r="G724" t="n">
        <v>468</v>
      </c>
    </row>
    <row r="725">
      <c r="A725" t="inlineStr">
        <is>
          <t>202614</t>
        </is>
      </c>
      <c r="B725" t="inlineStr">
        <is>
          <t>Andere</t>
        </is>
      </c>
      <c r="C725" t="inlineStr">
        <is>
          <t>FZ-02-41-1</t>
        </is>
      </c>
      <c r="D725" t="n">
        <v>468</v>
      </c>
      <c r="E725" t="n">
        <v>0</v>
      </c>
      <c r="F725" t="n">
        <v>468</v>
      </c>
      <c r="G725" t="n">
        <v>468</v>
      </c>
    </row>
    <row r="726">
      <c r="A726" t="inlineStr">
        <is>
          <t>202614</t>
        </is>
      </c>
      <c r="B726" t="inlineStr">
        <is>
          <t>Andere</t>
        </is>
      </c>
      <c r="C726" t="inlineStr">
        <is>
          <t>FZ-02-42-2</t>
        </is>
      </c>
      <c r="D726" t="n">
        <v>468</v>
      </c>
      <c r="E726" t="n">
        <v>0</v>
      </c>
      <c r="F726" t="n">
        <v>468</v>
      </c>
      <c r="G726" t="n">
        <v>468</v>
      </c>
    </row>
    <row r="727">
      <c r="A727" t="inlineStr">
        <is>
          <t>202614</t>
        </is>
      </c>
      <c r="B727" t="inlineStr">
        <is>
          <t>Andere</t>
        </is>
      </c>
      <c r="C727" t="inlineStr">
        <is>
          <t>D-06-11-2</t>
        </is>
      </c>
      <c r="D727" t="n">
        <v>420</v>
      </c>
      <c r="E727" t="n">
        <v>0</v>
      </c>
      <c r="F727" t="n">
        <v>420</v>
      </c>
      <c r="G727" t="n">
        <v>420</v>
      </c>
    </row>
    <row r="728">
      <c r="A728" t="inlineStr">
        <is>
          <t>202614</t>
        </is>
      </c>
      <c r="B728" t="inlineStr">
        <is>
          <t>Andere</t>
        </is>
      </c>
      <c r="C728" t="inlineStr">
        <is>
          <t>A-01-07-3</t>
        </is>
      </c>
      <c r="D728" t="n">
        <v>400</v>
      </c>
      <c r="E728" t="n">
        <v>0</v>
      </c>
      <c r="F728" t="n">
        <v>400</v>
      </c>
      <c r="G728" t="n">
        <v>400</v>
      </c>
    </row>
    <row r="729">
      <c r="A729" t="inlineStr">
        <is>
          <t>202614</t>
        </is>
      </c>
      <c r="B729" t="inlineStr">
        <is>
          <t>Andere</t>
        </is>
      </c>
      <c r="C729" t="inlineStr">
        <is>
          <t>A-01-12-1</t>
        </is>
      </c>
      <c r="D729" t="n">
        <v>400</v>
      </c>
      <c r="E729" t="n">
        <v>0</v>
      </c>
      <c r="F729" t="n">
        <v>400</v>
      </c>
      <c r="G729" t="n">
        <v>400</v>
      </c>
    </row>
    <row r="730">
      <c r="A730" t="inlineStr">
        <is>
          <t>202614</t>
        </is>
      </c>
      <c r="B730" t="inlineStr">
        <is>
          <t>Andere</t>
        </is>
      </c>
      <c r="C730" t="inlineStr">
        <is>
          <t>A-02-36-2</t>
        </is>
      </c>
      <c r="D730" t="n">
        <v>400</v>
      </c>
      <c r="E730" t="n">
        <v>0</v>
      </c>
      <c r="F730" t="n">
        <v>400</v>
      </c>
      <c r="G730" t="n">
        <v>400</v>
      </c>
    </row>
    <row r="731">
      <c r="A731" t="inlineStr">
        <is>
          <t>202614</t>
        </is>
      </c>
      <c r="B731" t="inlineStr">
        <is>
          <t>Andere</t>
        </is>
      </c>
      <c r="C731" t="inlineStr">
        <is>
          <t>A-02-54-1</t>
        </is>
      </c>
      <c r="D731" t="n">
        <v>400</v>
      </c>
      <c r="E731" t="n">
        <v>0</v>
      </c>
      <c r="F731" t="n">
        <v>400</v>
      </c>
      <c r="G731" t="n">
        <v>400</v>
      </c>
    </row>
    <row r="732">
      <c r="A732" t="inlineStr">
        <is>
          <t>202614</t>
        </is>
      </c>
      <c r="B732" t="inlineStr">
        <is>
          <t>Andere</t>
        </is>
      </c>
      <c r="C732" t="inlineStr">
        <is>
          <t>A-02-66-2</t>
        </is>
      </c>
      <c r="D732" t="n">
        <v>400</v>
      </c>
      <c r="E732" t="n">
        <v>0</v>
      </c>
      <c r="F732" t="n">
        <v>400</v>
      </c>
      <c r="G732" t="n">
        <v>400</v>
      </c>
    </row>
    <row r="733">
      <c r="A733" t="inlineStr">
        <is>
          <t>202614</t>
        </is>
      </c>
      <c r="B733" t="inlineStr">
        <is>
          <t>Andere</t>
        </is>
      </c>
      <c r="C733" t="inlineStr">
        <is>
          <t>FASCHRADERS</t>
        </is>
      </c>
      <c r="D733" t="n">
        <v>400</v>
      </c>
      <c r="E733" t="n">
        <v>0</v>
      </c>
      <c r="F733" t="n">
        <v>400</v>
      </c>
      <c r="G733" t="n">
        <v>400</v>
      </c>
    </row>
    <row r="734">
      <c r="A734" t="inlineStr">
        <is>
          <t>202614</t>
        </is>
      </c>
      <c r="B734" t="inlineStr">
        <is>
          <t>Andere</t>
        </is>
      </c>
      <c r="C734" t="inlineStr">
        <is>
          <t>A-02-106-1</t>
        </is>
      </c>
      <c r="D734" t="n">
        <v>372</v>
      </c>
      <c r="E734" t="n">
        <v>0</v>
      </c>
      <c r="F734" t="n">
        <v>372</v>
      </c>
      <c r="G734" t="n">
        <v>372</v>
      </c>
    </row>
    <row r="735">
      <c r="A735" t="inlineStr">
        <is>
          <t>202614</t>
        </is>
      </c>
      <c r="B735" t="inlineStr">
        <is>
          <t>Andere</t>
        </is>
      </c>
      <c r="C735" t="inlineStr">
        <is>
          <t>A-02-114-1</t>
        </is>
      </c>
      <c r="D735" t="n">
        <v>372</v>
      </c>
      <c r="E735" t="n">
        <v>0</v>
      </c>
      <c r="F735" t="n">
        <v>372</v>
      </c>
      <c r="G735" t="n">
        <v>372</v>
      </c>
    </row>
    <row r="736">
      <c r="A736" t="inlineStr">
        <is>
          <t>202614</t>
        </is>
      </c>
      <c r="B736" t="inlineStr">
        <is>
          <t>Andere</t>
        </is>
      </c>
      <c r="C736" t="inlineStr">
        <is>
          <t>A-02-67-1</t>
        </is>
      </c>
      <c r="D736" t="n">
        <v>372</v>
      </c>
      <c r="E736" t="n">
        <v>0</v>
      </c>
      <c r="F736" t="n">
        <v>372</v>
      </c>
      <c r="G736" t="n">
        <v>372</v>
      </c>
    </row>
    <row r="737">
      <c r="A737" t="inlineStr">
        <is>
          <t>202614</t>
        </is>
      </c>
      <c r="B737" t="inlineStr">
        <is>
          <t>Andere</t>
        </is>
      </c>
      <c r="C737" t="inlineStr">
        <is>
          <t>A-02-68-1</t>
        </is>
      </c>
      <c r="D737" t="n">
        <v>372</v>
      </c>
      <c r="E737" t="n">
        <v>0</v>
      </c>
      <c r="F737" t="n">
        <v>372</v>
      </c>
      <c r="G737" t="n">
        <v>372</v>
      </c>
    </row>
    <row r="738">
      <c r="A738" t="inlineStr">
        <is>
          <t>202614</t>
        </is>
      </c>
      <c r="B738" t="inlineStr">
        <is>
          <t>Andere</t>
        </is>
      </c>
      <c r="C738" t="inlineStr">
        <is>
          <t>A-02-69-1</t>
        </is>
      </c>
      <c r="D738" t="n">
        <v>372</v>
      </c>
      <c r="E738" t="n">
        <v>0</v>
      </c>
      <c r="F738" t="n">
        <v>372</v>
      </c>
      <c r="G738" t="n">
        <v>372</v>
      </c>
    </row>
    <row r="739">
      <c r="A739" t="inlineStr">
        <is>
          <t>202614</t>
        </is>
      </c>
      <c r="B739" t="inlineStr">
        <is>
          <t>Andere</t>
        </is>
      </c>
      <c r="C739" t="inlineStr">
        <is>
          <t>A-02-69-2</t>
        </is>
      </c>
      <c r="D739" t="n">
        <v>372</v>
      </c>
      <c r="E739" t="n">
        <v>0</v>
      </c>
      <c r="F739" t="n">
        <v>372</v>
      </c>
      <c r="G739" t="n">
        <v>372</v>
      </c>
    </row>
    <row r="740">
      <c r="A740" t="inlineStr">
        <is>
          <t>202614</t>
        </is>
      </c>
      <c r="B740" t="inlineStr">
        <is>
          <t>Andere</t>
        </is>
      </c>
      <c r="C740" t="inlineStr">
        <is>
          <t>A-02-70-1</t>
        </is>
      </c>
      <c r="D740" t="n">
        <v>372</v>
      </c>
      <c r="E740" t="n">
        <v>0</v>
      </c>
      <c r="F740" t="n">
        <v>372</v>
      </c>
      <c r="G740" t="n">
        <v>372</v>
      </c>
    </row>
    <row r="741">
      <c r="A741" t="inlineStr">
        <is>
          <t>202614</t>
        </is>
      </c>
      <c r="B741" t="inlineStr">
        <is>
          <t>Andere</t>
        </is>
      </c>
      <c r="C741" t="inlineStr">
        <is>
          <t>A-02-71-1</t>
        </is>
      </c>
      <c r="D741" t="n">
        <v>372</v>
      </c>
      <c r="E741" t="n">
        <v>0</v>
      </c>
      <c r="F741" t="n">
        <v>372</v>
      </c>
      <c r="G741" t="n">
        <v>372</v>
      </c>
    </row>
    <row r="742">
      <c r="A742" t="inlineStr">
        <is>
          <t>202614</t>
        </is>
      </c>
      <c r="B742" t="inlineStr">
        <is>
          <t>Andere</t>
        </is>
      </c>
      <c r="C742" t="inlineStr">
        <is>
          <t>A-02-71-3</t>
        </is>
      </c>
      <c r="D742" t="n">
        <v>372</v>
      </c>
      <c r="E742" t="n">
        <v>0</v>
      </c>
      <c r="F742" t="n">
        <v>372</v>
      </c>
      <c r="G742" t="n">
        <v>372</v>
      </c>
    </row>
    <row r="743">
      <c r="A743" t="inlineStr">
        <is>
          <t>202614</t>
        </is>
      </c>
      <c r="B743" t="inlineStr">
        <is>
          <t>Andere</t>
        </is>
      </c>
      <c r="C743" t="inlineStr">
        <is>
          <t>A-02-72-1</t>
        </is>
      </c>
      <c r="D743" t="n">
        <v>372</v>
      </c>
      <c r="E743" t="n">
        <v>0</v>
      </c>
      <c r="F743" t="n">
        <v>372</v>
      </c>
      <c r="G743" t="n">
        <v>372</v>
      </c>
    </row>
    <row r="744">
      <c r="A744" t="inlineStr">
        <is>
          <t>202614</t>
        </is>
      </c>
      <c r="B744" t="inlineStr">
        <is>
          <t>Andere</t>
        </is>
      </c>
      <c r="C744" t="inlineStr">
        <is>
          <t>A-02-73-1</t>
        </is>
      </c>
      <c r="D744" t="n">
        <v>372</v>
      </c>
      <c r="E744" t="n">
        <v>0</v>
      </c>
      <c r="F744" t="n">
        <v>372</v>
      </c>
      <c r="G744" t="n">
        <v>372</v>
      </c>
    </row>
    <row r="745">
      <c r="A745" t="inlineStr">
        <is>
          <t>202614</t>
        </is>
      </c>
      <c r="B745" t="inlineStr">
        <is>
          <t>Andere</t>
        </is>
      </c>
      <c r="C745" t="inlineStr">
        <is>
          <t>A-02-74-1</t>
        </is>
      </c>
      <c r="D745" t="n">
        <v>372</v>
      </c>
      <c r="E745" t="n">
        <v>0</v>
      </c>
      <c r="F745" t="n">
        <v>372</v>
      </c>
      <c r="G745" t="n">
        <v>372</v>
      </c>
    </row>
    <row r="746">
      <c r="A746" t="inlineStr">
        <is>
          <t>202614</t>
        </is>
      </c>
      <c r="B746" t="inlineStr">
        <is>
          <t>Andere</t>
        </is>
      </c>
      <c r="C746" t="inlineStr">
        <is>
          <t>A-02-75-1</t>
        </is>
      </c>
      <c r="D746" t="n">
        <v>372</v>
      </c>
      <c r="E746" t="n">
        <v>0</v>
      </c>
      <c r="F746" t="n">
        <v>372</v>
      </c>
      <c r="G746" t="n">
        <v>372</v>
      </c>
    </row>
    <row r="747">
      <c r="A747" t="inlineStr">
        <is>
          <t>202614</t>
        </is>
      </c>
      <c r="B747" t="inlineStr">
        <is>
          <t>Andere</t>
        </is>
      </c>
      <c r="C747" t="inlineStr">
        <is>
          <t>A-02-76-1</t>
        </is>
      </c>
      <c r="D747" t="n">
        <v>372</v>
      </c>
      <c r="E747" t="n">
        <v>0</v>
      </c>
      <c r="F747" t="n">
        <v>372</v>
      </c>
      <c r="G747" t="n">
        <v>372</v>
      </c>
    </row>
    <row r="748">
      <c r="A748" t="inlineStr">
        <is>
          <t>202614</t>
        </is>
      </c>
      <c r="B748" t="inlineStr">
        <is>
          <t>Andere</t>
        </is>
      </c>
      <c r="C748" t="inlineStr">
        <is>
          <t>A-02-83-1</t>
        </is>
      </c>
      <c r="D748" t="n">
        <v>372</v>
      </c>
      <c r="E748" t="n">
        <v>0</v>
      </c>
      <c r="F748" t="n">
        <v>372</v>
      </c>
      <c r="G748" t="n">
        <v>372</v>
      </c>
    </row>
    <row r="749">
      <c r="A749" t="inlineStr">
        <is>
          <t>202614</t>
        </is>
      </c>
      <c r="B749" t="inlineStr">
        <is>
          <t>Andere</t>
        </is>
      </c>
      <c r="C749" t="inlineStr">
        <is>
          <t>A-02-84-1</t>
        </is>
      </c>
      <c r="D749" t="n">
        <v>372</v>
      </c>
      <c r="E749" t="n">
        <v>0</v>
      </c>
      <c r="F749" t="n">
        <v>372</v>
      </c>
      <c r="G749" t="n">
        <v>372</v>
      </c>
    </row>
    <row r="750">
      <c r="A750" t="inlineStr">
        <is>
          <t>202614</t>
        </is>
      </c>
      <c r="B750" t="inlineStr">
        <is>
          <t>Andere</t>
        </is>
      </c>
      <c r="C750" t="inlineStr">
        <is>
          <t>A-02-86-1</t>
        </is>
      </c>
      <c r="D750" t="n">
        <v>372</v>
      </c>
      <c r="E750" t="n">
        <v>0</v>
      </c>
      <c r="F750" t="n">
        <v>372</v>
      </c>
      <c r="G750" t="n">
        <v>372</v>
      </c>
    </row>
    <row r="751">
      <c r="A751" t="inlineStr">
        <is>
          <t>202614</t>
        </is>
      </c>
      <c r="B751" t="inlineStr">
        <is>
          <t>Andere</t>
        </is>
      </c>
      <c r="C751" t="inlineStr">
        <is>
          <t>A-02-92-1</t>
        </is>
      </c>
      <c r="D751" t="n">
        <v>372</v>
      </c>
      <c r="E751" t="n">
        <v>0</v>
      </c>
      <c r="F751" t="n">
        <v>372</v>
      </c>
      <c r="G751" t="n">
        <v>372</v>
      </c>
    </row>
    <row r="752">
      <c r="A752" t="inlineStr">
        <is>
          <t>202614</t>
        </is>
      </c>
      <c r="B752" t="inlineStr">
        <is>
          <t>Andere</t>
        </is>
      </c>
      <c r="C752" t="inlineStr">
        <is>
          <t>A-02-98-1</t>
        </is>
      </c>
      <c r="D752" t="n">
        <v>372</v>
      </c>
      <c r="E752" t="n">
        <v>0</v>
      </c>
      <c r="F752" t="n">
        <v>372</v>
      </c>
      <c r="G752" t="n">
        <v>372</v>
      </c>
    </row>
    <row r="753">
      <c r="A753" t="inlineStr">
        <is>
          <t>202614</t>
        </is>
      </c>
      <c r="B753" t="inlineStr">
        <is>
          <t>Andere</t>
        </is>
      </c>
      <c r="C753" t="inlineStr">
        <is>
          <t>FAMULLERT</t>
        </is>
      </c>
      <c r="D753" t="n">
        <v>351</v>
      </c>
      <c r="E753" t="n">
        <v>0</v>
      </c>
      <c r="F753" t="n">
        <v>351</v>
      </c>
      <c r="G753" t="n">
        <v>351</v>
      </c>
    </row>
    <row r="754">
      <c r="A754" t="inlineStr">
        <is>
          <t>202614</t>
        </is>
      </c>
      <c r="B754" t="inlineStr">
        <is>
          <t>Andere</t>
        </is>
      </c>
      <c r="C754" t="inlineStr">
        <is>
          <t>A-02-57-1</t>
        </is>
      </c>
      <c r="D754" t="n">
        <v>342</v>
      </c>
      <c r="E754" t="n">
        <v>0</v>
      </c>
      <c r="F754" t="n">
        <v>342</v>
      </c>
      <c r="G754" t="n">
        <v>342</v>
      </c>
    </row>
    <row r="755">
      <c r="A755" t="inlineStr">
        <is>
          <t>202614</t>
        </is>
      </c>
      <c r="B755" t="inlineStr">
        <is>
          <t>Andere</t>
        </is>
      </c>
      <c r="C755" t="inlineStr">
        <is>
          <t>P-04-09-2</t>
        </is>
      </c>
      <c r="D755" t="n">
        <v>308</v>
      </c>
      <c r="E755" t="n">
        <v>0</v>
      </c>
      <c r="F755" t="n">
        <v>308</v>
      </c>
      <c r="G755" t="n">
        <v>308</v>
      </c>
    </row>
    <row r="756">
      <c r="A756" t="inlineStr">
        <is>
          <t>202614</t>
        </is>
      </c>
      <c r="B756" t="inlineStr">
        <is>
          <t>Andere</t>
        </is>
      </c>
      <c r="C756" t="inlineStr">
        <is>
          <t>A-01-11-1</t>
        </is>
      </c>
      <c r="D756" t="n">
        <v>280</v>
      </c>
      <c r="E756" t="n">
        <v>0</v>
      </c>
      <c r="F756" t="n">
        <v>280</v>
      </c>
      <c r="G756" t="n">
        <v>280</v>
      </c>
    </row>
    <row r="757">
      <c r="A757" t="inlineStr">
        <is>
          <t>202614</t>
        </is>
      </c>
      <c r="B757" t="inlineStr">
        <is>
          <t>Andere</t>
        </is>
      </c>
      <c r="C757" t="inlineStr">
        <is>
          <t>FZ-01-32-2</t>
        </is>
      </c>
      <c r="D757" t="n">
        <v>270</v>
      </c>
      <c r="E757" t="n">
        <v>0</v>
      </c>
      <c r="F757" t="n">
        <v>270</v>
      </c>
      <c r="G757" t="n">
        <v>270</v>
      </c>
    </row>
    <row r="758">
      <c r="A758" t="inlineStr">
        <is>
          <t>202614</t>
        </is>
      </c>
      <c r="B758" t="inlineStr">
        <is>
          <t>Andere</t>
        </is>
      </c>
      <c r="C758" t="inlineStr">
        <is>
          <t>A-02-59-1</t>
        </is>
      </c>
      <c r="D758" t="n">
        <v>266</v>
      </c>
      <c r="E758" t="n">
        <v>0</v>
      </c>
      <c r="F758" t="n">
        <v>266</v>
      </c>
      <c r="G758" t="n">
        <v>266</v>
      </c>
    </row>
    <row r="759">
      <c r="A759" t="inlineStr">
        <is>
          <t>202614</t>
        </is>
      </c>
      <c r="B759" t="inlineStr">
        <is>
          <t>Andere</t>
        </is>
      </c>
      <c r="C759" t="inlineStr">
        <is>
          <t>FAMATTICKT</t>
        </is>
      </c>
      <c r="D759" t="n">
        <v>265</v>
      </c>
      <c r="E759" t="n">
        <v>0</v>
      </c>
      <c r="F759" t="n">
        <v>265</v>
      </c>
      <c r="G759" t="n">
        <v>265</v>
      </c>
    </row>
    <row r="760">
      <c r="A760" t="inlineStr">
        <is>
          <t>202614</t>
        </is>
      </c>
      <c r="B760" t="inlineStr">
        <is>
          <t>Andere</t>
        </is>
      </c>
      <c r="C760" t="inlineStr">
        <is>
          <t>A-02-47-1</t>
        </is>
      </c>
      <c r="D760" t="n">
        <v>220</v>
      </c>
      <c r="E760" t="n">
        <v>0</v>
      </c>
      <c r="F760" t="n">
        <v>220</v>
      </c>
      <c r="G760" t="n">
        <v>220</v>
      </c>
    </row>
    <row r="761">
      <c r="A761" t="inlineStr">
        <is>
          <t>202614</t>
        </is>
      </c>
      <c r="B761" t="inlineStr">
        <is>
          <t>Andere</t>
        </is>
      </c>
      <c r="C761" t="inlineStr">
        <is>
          <t>FZ-01-33-2</t>
        </is>
      </c>
      <c r="D761" t="n">
        <v>440</v>
      </c>
      <c r="E761" t="n">
        <v>220</v>
      </c>
      <c r="F761" t="n">
        <v>220</v>
      </c>
      <c r="G761" t="n">
        <v>220</v>
      </c>
    </row>
    <row r="762">
      <c r="A762" t="inlineStr">
        <is>
          <t>202614</t>
        </is>
      </c>
      <c r="B762" t="inlineStr">
        <is>
          <t>Andere</t>
        </is>
      </c>
      <c r="C762" t="inlineStr">
        <is>
          <t>A-02-46-1</t>
        </is>
      </c>
      <c r="D762" t="n">
        <v>200</v>
      </c>
      <c r="E762" t="n">
        <v>0</v>
      </c>
      <c r="F762" t="n">
        <v>200</v>
      </c>
      <c r="G762" t="n">
        <v>200</v>
      </c>
    </row>
    <row r="763">
      <c r="A763" t="inlineStr">
        <is>
          <t>202614</t>
        </is>
      </c>
      <c r="B763" t="inlineStr">
        <is>
          <t>Andere</t>
        </is>
      </c>
      <c r="C763" t="inlineStr">
        <is>
          <t>A-02-65-2</t>
        </is>
      </c>
      <c r="D763" t="n">
        <v>200</v>
      </c>
      <c r="E763" t="n">
        <v>0</v>
      </c>
      <c r="F763" t="n">
        <v>200</v>
      </c>
      <c r="G763" t="n">
        <v>200</v>
      </c>
    </row>
    <row r="764">
      <c r="A764" t="inlineStr">
        <is>
          <t>202614</t>
        </is>
      </c>
      <c r="B764" t="inlineStr">
        <is>
          <t>Andere</t>
        </is>
      </c>
      <c r="C764" t="inlineStr">
        <is>
          <t>A-02-78-1</t>
        </is>
      </c>
      <c r="D764" t="n">
        <v>186</v>
      </c>
      <c r="E764" t="n">
        <v>0</v>
      </c>
      <c r="F764" t="n">
        <v>186</v>
      </c>
      <c r="G764" t="n">
        <v>186</v>
      </c>
    </row>
    <row r="765">
      <c r="A765" t="inlineStr">
        <is>
          <t>202614</t>
        </is>
      </c>
      <c r="B765" t="inlineStr">
        <is>
          <t>Andere</t>
        </is>
      </c>
      <c r="C765" t="inlineStr">
        <is>
          <t>A-02-79-1</t>
        </is>
      </c>
      <c r="D765" t="n">
        <v>186</v>
      </c>
      <c r="E765" t="n">
        <v>0</v>
      </c>
      <c r="F765" t="n">
        <v>186</v>
      </c>
      <c r="G765" t="n">
        <v>186</v>
      </c>
    </row>
    <row r="766">
      <c r="A766" t="inlineStr">
        <is>
          <t>202614</t>
        </is>
      </c>
      <c r="B766" t="inlineStr">
        <is>
          <t>Andere</t>
        </is>
      </c>
      <c r="C766" t="inlineStr">
        <is>
          <t>A-02-48-1</t>
        </is>
      </c>
      <c r="D766" t="n">
        <v>160</v>
      </c>
      <c r="E766" t="n">
        <v>0</v>
      </c>
      <c r="F766" t="n">
        <v>160</v>
      </c>
      <c r="G766" t="n">
        <v>160</v>
      </c>
    </row>
    <row r="767">
      <c r="A767" t="inlineStr">
        <is>
          <t>202614</t>
        </is>
      </c>
      <c r="B767" t="inlineStr">
        <is>
          <t>Andere</t>
        </is>
      </c>
      <c r="C767" t="inlineStr">
        <is>
          <t>A-02-55-1</t>
        </is>
      </c>
      <c r="D767" t="n">
        <v>160</v>
      </c>
      <c r="E767" t="n">
        <v>0</v>
      </c>
      <c r="F767" t="n">
        <v>160</v>
      </c>
      <c r="G767" t="n">
        <v>160</v>
      </c>
    </row>
    <row r="768">
      <c r="A768" t="inlineStr">
        <is>
          <t>202614</t>
        </is>
      </c>
      <c r="B768" t="inlineStr">
        <is>
          <t>Andere</t>
        </is>
      </c>
      <c r="C768" t="inlineStr">
        <is>
          <t>A-01-10-1</t>
        </is>
      </c>
      <c r="D768" t="n">
        <v>150</v>
      </c>
      <c r="E768" t="n">
        <v>0</v>
      </c>
      <c r="F768" t="n">
        <v>150</v>
      </c>
      <c r="G768" t="n">
        <v>150</v>
      </c>
    </row>
    <row r="769">
      <c r="A769" t="inlineStr">
        <is>
          <t>202614</t>
        </is>
      </c>
      <c r="B769" t="inlineStr">
        <is>
          <t>Andere</t>
        </is>
      </c>
      <c r="C769" t="inlineStr">
        <is>
          <t>A-02-53-1</t>
        </is>
      </c>
      <c r="D769" t="n">
        <v>150</v>
      </c>
      <c r="E769" t="n">
        <v>0</v>
      </c>
      <c r="F769" t="n">
        <v>150</v>
      </c>
      <c r="G769" t="n">
        <v>150</v>
      </c>
    </row>
    <row r="770">
      <c r="A770" t="inlineStr">
        <is>
          <t>202614</t>
        </is>
      </c>
      <c r="B770" t="inlineStr">
        <is>
          <t>Andere</t>
        </is>
      </c>
      <c r="C770" t="inlineStr">
        <is>
          <t>A-01-08-1</t>
        </is>
      </c>
      <c r="D770" t="n">
        <v>140</v>
      </c>
      <c r="E770" t="n">
        <v>0</v>
      </c>
      <c r="F770" t="n">
        <v>140</v>
      </c>
      <c r="G770" t="n">
        <v>140</v>
      </c>
    </row>
    <row r="771">
      <c r="A771" t="inlineStr">
        <is>
          <t>202614</t>
        </is>
      </c>
      <c r="B771" t="inlineStr">
        <is>
          <t>Andere</t>
        </is>
      </c>
      <c r="C771" t="inlineStr">
        <is>
          <t>A-01-20-1</t>
        </is>
      </c>
      <c r="D771" t="n">
        <v>120</v>
      </c>
      <c r="E771" t="n">
        <v>0</v>
      </c>
      <c r="F771" t="n">
        <v>120</v>
      </c>
      <c r="G771" t="n">
        <v>120</v>
      </c>
    </row>
    <row r="772">
      <c r="A772" t="inlineStr">
        <is>
          <t>202614</t>
        </is>
      </c>
      <c r="B772" t="inlineStr">
        <is>
          <t>Andere</t>
        </is>
      </c>
      <c r="C772" t="inlineStr">
        <is>
          <t>A-02-56-1</t>
        </is>
      </c>
      <c r="D772" t="n">
        <v>115</v>
      </c>
      <c r="E772" t="n">
        <v>0</v>
      </c>
      <c r="F772" t="n">
        <v>115</v>
      </c>
      <c r="G772" t="n">
        <v>115</v>
      </c>
    </row>
    <row r="773">
      <c r="A773" t="inlineStr">
        <is>
          <t>202614</t>
        </is>
      </c>
      <c r="B773" t="inlineStr">
        <is>
          <t>Andere</t>
        </is>
      </c>
      <c r="C773" t="inlineStr">
        <is>
          <t>P-04-10-2</t>
        </is>
      </c>
      <c r="D773" t="n">
        <v>112</v>
      </c>
      <c r="E773" t="n">
        <v>0</v>
      </c>
      <c r="F773" t="n">
        <v>112</v>
      </c>
      <c r="G773" t="n">
        <v>112</v>
      </c>
    </row>
    <row r="774">
      <c r="A774" t="inlineStr">
        <is>
          <t>202614</t>
        </is>
      </c>
      <c r="B774" t="inlineStr">
        <is>
          <t>Andere</t>
        </is>
      </c>
      <c r="C774" t="inlineStr">
        <is>
          <t>A-01-05-1</t>
        </is>
      </c>
      <c r="D774" t="n">
        <v>100</v>
      </c>
      <c r="E774" t="n">
        <v>0</v>
      </c>
      <c r="F774" t="n">
        <v>100</v>
      </c>
      <c r="G774" t="n">
        <v>100</v>
      </c>
    </row>
    <row r="775">
      <c r="A775" t="inlineStr">
        <is>
          <t>202614</t>
        </is>
      </c>
      <c r="B775" t="inlineStr">
        <is>
          <t>Andere</t>
        </is>
      </c>
      <c r="C775" t="inlineStr">
        <is>
          <t>A-01-19-1</t>
        </is>
      </c>
      <c r="D775" t="n">
        <v>100</v>
      </c>
      <c r="E775" t="n">
        <v>0</v>
      </c>
      <c r="F775" t="n">
        <v>100</v>
      </c>
      <c r="G775" t="n">
        <v>100</v>
      </c>
    </row>
    <row r="776">
      <c r="A776" t="inlineStr">
        <is>
          <t>202614</t>
        </is>
      </c>
      <c r="B776" t="inlineStr">
        <is>
          <t>Andere</t>
        </is>
      </c>
      <c r="C776" t="inlineStr">
        <is>
          <t>A-01-23-2</t>
        </is>
      </c>
      <c r="D776" t="n">
        <v>100</v>
      </c>
      <c r="E776" t="n">
        <v>0</v>
      </c>
      <c r="F776" t="n">
        <v>100</v>
      </c>
      <c r="G776" t="n">
        <v>100</v>
      </c>
    </row>
    <row r="777">
      <c r="A777" t="inlineStr">
        <is>
          <t>202614</t>
        </is>
      </c>
      <c r="B777" t="inlineStr">
        <is>
          <t>Andere</t>
        </is>
      </c>
      <c r="C777" t="inlineStr">
        <is>
          <t>A-02-39-1</t>
        </is>
      </c>
      <c r="D777" t="n">
        <v>100</v>
      </c>
      <c r="E777" t="n">
        <v>0</v>
      </c>
      <c r="F777" t="n">
        <v>100</v>
      </c>
      <c r="G777" t="n">
        <v>100</v>
      </c>
    </row>
    <row r="778">
      <c r="A778" t="inlineStr">
        <is>
          <t>202614</t>
        </is>
      </c>
      <c r="B778" t="inlineStr">
        <is>
          <t>Andere</t>
        </is>
      </c>
      <c r="C778" t="inlineStr">
        <is>
          <t>A-02-41-1</t>
        </is>
      </c>
      <c r="D778" t="n">
        <v>100</v>
      </c>
      <c r="E778" t="n">
        <v>0</v>
      </c>
      <c r="F778" t="n">
        <v>100</v>
      </c>
      <c r="G778" t="n">
        <v>100</v>
      </c>
    </row>
    <row r="779">
      <c r="A779" t="inlineStr">
        <is>
          <t>202614</t>
        </is>
      </c>
      <c r="B779" t="inlineStr">
        <is>
          <t>Andere</t>
        </is>
      </c>
      <c r="C779" t="inlineStr">
        <is>
          <t>P-04-12-3</t>
        </is>
      </c>
      <c r="D779" t="n">
        <v>110</v>
      </c>
      <c r="E779" t="n">
        <v>10</v>
      </c>
      <c r="F779" t="n">
        <v>100</v>
      </c>
      <c r="G779" t="n">
        <v>100</v>
      </c>
    </row>
    <row r="780">
      <c r="A780" t="inlineStr">
        <is>
          <t>202614</t>
        </is>
      </c>
      <c r="B780" t="inlineStr">
        <is>
          <t>Andere</t>
        </is>
      </c>
      <c r="C780" t="inlineStr">
        <is>
          <t>P-04-06-1</t>
        </is>
      </c>
      <c r="D780" t="n">
        <v>90</v>
      </c>
      <c r="E780" t="n">
        <v>0</v>
      </c>
      <c r="F780" t="n">
        <v>90</v>
      </c>
      <c r="G780" t="n">
        <v>90</v>
      </c>
    </row>
    <row r="781">
      <c r="A781" t="inlineStr">
        <is>
          <t>202614</t>
        </is>
      </c>
      <c r="B781" t="inlineStr">
        <is>
          <t>Andere</t>
        </is>
      </c>
      <c r="C781" t="inlineStr">
        <is>
          <t>A-02-37-1</t>
        </is>
      </c>
      <c r="D781" t="n">
        <v>80</v>
      </c>
      <c r="E781" t="n">
        <v>0</v>
      </c>
      <c r="F781" t="n">
        <v>80</v>
      </c>
      <c r="G781" t="n">
        <v>80</v>
      </c>
    </row>
    <row r="782">
      <c r="A782" t="inlineStr">
        <is>
          <t>202614</t>
        </is>
      </c>
      <c r="B782" t="inlineStr">
        <is>
          <t>Andere</t>
        </is>
      </c>
      <c r="C782" t="inlineStr">
        <is>
          <t>A-02-52-2</t>
        </is>
      </c>
      <c r="D782" t="n">
        <v>80</v>
      </c>
      <c r="E782" t="n">
        <v>0</v>
      </c>
      <c r="F782" t="n">
        <v>80</v>
      </c>
      <c r="G782" t="n">
        <v>80</v>
      </c>
    </row>
    <row r="783">
      <c r="A783" t="inlineStr">
        <is>
          <t>202614</t>
        </is>
      </c>
      <c r="B783" t="inlineStr">
        <is>
          <t>Andere</t>
        </is>
      </c>
      <c r="C783" t="inlineStr">
        <is>
          <t>P-04-11-3</t>
        </is>
      </c>
      <c r="D783" t="n">
        <v>90</v>
      </c>
      <c r="E783" t="n">
        <v>10</v>
      </c>
      <c r="F783" t="n">
        <v>80</v>
      </c>
      <c r="G783" t="n">
        <v>80</v>
      </c>
    </row>
    <row r="784">
      <c r="A784" t="inlineStr">
        <is>
          <t>202614</t>
        </is>
      </c>
      <c r="B784" t="inlineStr">
        <is>
          <t>Andere</t>
        </is>
      </c>
      <c r="C784" t="inlineStr">
        <is>
          <t>P-04-14-3</t>
        </is>
      </c>
      <c r="D784" t="n">
        <v>74</v>
      </c>
      <c r="E784" t="n">
        <v>0</v>
      </c>
      <c r="F784" t="n">
        <v>74</v>
      </c>
      <c r="G784" t="n">
        <v>74</v>
      </c>
    </row>
    <row r="785">
      <c r="A785" t="inlineStr">
        <is>
          <t>202614</t>
        </is>
      </c>
      <c r="B785" t="inlineStr">
        <is>
          <t>Andere</t>
        </is>
      </c>
      <c r="C785" t="inlineStr">
        <is>
          <t>A-02-64-1</t>
        </is>
      </c>
      <c r="D785" t="n">
        <v>70</v>
      </c>
      <c r="E785" t="n">
        <v>0</v>
      </c>
      <c r="F785" t="n">
        <v>70</v>
      </c>
      <c r="G785" t="n">
        <v>70</v>
      </c>
    </row>
    <row r="786">
      <c r="A786" t="inlineStr">
        <is>
          <t>202614</t>
        </is>
      </c>
      <c r="B786" t="inlineStr">
        <is>
          <t>Andere</t>
        </is>
      </c>
      <c r="C786" t="inlineStr">
        <is>
          <t>D-06-07-2</t>
        </is>
      </c>
      <c r="D786" t="n">
        <v>66</v>
      </c>
      <c r="E786" t="n">
        <v>0</v>
      </c>
      <c r="F786" t="n">
        <v>66</v>
      </c>
      <c r="G786" t="n">
        <v>66</v>
      </c>
    </row>
    <row r="787">
      <c r="A787" t="inlineStr">
        <is>
          <t>202614</t>
        </is>
      </c>
      <c r="B787" t="inlineStr">
        <is>
          <t>Andere</t>
        </is>
      </c>
      <c r="C787" t="inlineStr">
        <is>
          <t>D-06-57-1</t>
        </is>
      </c>
      <c r="D787" t="n">
        <v>66</v>
      </c>
      <c r="E787" t="n">
        <v>0</v>
      </c>
      <c r="F787" t="n">
        <v>66</v>
      </c>
      <c r="G787" t="n">
        <v>66</v>
      </c>
    </row>
    <row r="788">
      <c r="A788" t="inlineStr">
        <is>
          <t>202614</t>
        </is>
      </c>
      <c r="B788" t="inlineStr">
        <is>
          <t>Andere</t>
        </is>
      </c>
      <c r="C788" t="inlineStr">
        <is>
          <t>A-02-62-1</t>
        </is>
      </c>
      <c r="D788" t="n">
        <v>65</v>
      </c>
      <c r="E788" t="n">
        <v>0</v>
      </c>
      <c r="F788" t="n">
        <v>65</v>
      </c>
      <c r="G788" t="n">
        <v>65</v>
      </c>
    </row>
    <row r="789">
      <c r="A789" t="inlineStr">
        <is>
          <t>202614</t>
        </is>
      </c>
      <c r="B789" t="inlineStr">
        <is>
          <t>Andere</t>
        </is>
      </c>
      <c r="C789" t="inlineStr">
        <is>
          <t>GC-02-05-2</t>
        </is>
      </c>
      <c r="D789" t="n">
        <v>63</v>
      </c>
      <c r="E789" t="n">
        <v>0</v>
      </c>
      <c r="F789" t="n">
        <v>63</v>
      </c>
      <c r="G789" t="n">
        <v>63</v>
      </c>
    </row>
    <row r="790">
      <c r="A790" t="inlineStr">
        <is>
          <t>202614</t>
        </is>
      </c>
      <c r="B790" t="inlineStr">
        <is>
          <t>Andere</t>
        </is>
      </c>
      <c r="C790" t="inlineStr">
        <is>
          <t>A-02-38-1</t>
        </is>
      </c>
      <c r="D790" t="n">
        <v>60</v>
      </c>
      <c r="E790" t="n">
        <v>0</v>
      </c>
      <c r="F790" t="n">
        <v>60</v>
      </c>
      <c r="G790" t="n">
        <v>60</v>
      </c>
    </row>
    <row r="791">
      <c r="A791" t="inlineStr">
        <is>
          <t>202614</t>
        </is>
      </c>
      <c r="B791" t="inlineStr">
        <is>
          <t>Andere</t>
        </is>
      </c>
      <c r="C791" t="inlineStr">
        <is>
          <t>A-02-51-1</t>
        </is>
      </c>
      <c r="D791" t="n">
        <v>60</v>
      </c>
      <c r="E791" t="n">
        <v>0</v>
      </c>
      <c r="F791" t="n">
        <v>60</v>
      </c>
      <c r="G791" t="n">
        <v>60</v>
      </c>
    </row>
    <row r="792">
      <c r="A792" t="inlineStr">
        <is>
          <t>202614</t>
        </is>
      </c>
      <c r="B792" t="inlineStr">
        <is>
          <t>Andere</t>
        </is>
      </c>
      <c r="C792" t="inlineStr">
        <is>
          <t>A-02-40-1</t>
        </is>
      </c>
      <c r="D792" t="n">
        <v>50</v>
      </c>
      <c r="E792" t="n">
        <v>0</v>
      </c>
      <c r="F792" t="n">
        <v>50</v>
      </c>
      <c r="G792" t="n">
        <v>50</v>
      </c>
    </row>
    <row r="793">
      <c r="A793" t="inlineStr">
        <is>
          <t>202614</t>
        </is>
      </c>
      <c r="B793" t="inlineStr">
        <is>
          <t>Andere</t>
        </is>
      </c>
      <c r="C793" t="inlineStr">
        <is>
          <t>A-02-58-1</t>
        </is>
      </c>
      <c r="D793" t="n">
        <v>50</v>
      </c>
      <c r="E793" t="n">
        <v>0</v>
      </c>
      <c r="F793" t="n">
        <v>50</v>
      </c>
      <c r="G793" t="n">
        <v>50</v>
      </c>
    </row>
    <row r="794">
      <c r="A794" t="inlineStr">
        <is>
          <t>202614</t>
        </is>
      </c>
      <c r="B794" t="inlineStr">
        <is>
          <t>Andere</t>
        </is>
      </c>
      <c r="C794" t="inlineStr">
        <is>
          <t>P-04-15-3</t>
        </is>
      </c>
      <c r="D794" t="n">
        <v>43</v>
      </c>
      <c r="E794" t="n">
        <v>0</v>
      </c>
      <c r="F794" t="n">
        <v>43</v>
      </c>
      <c r="G794" t="n">
        <v>43</v>
      </c>
    </row>
    <row r="795">
      <c r="A795" t="inlineStr">
        <is>
          <t>202614</t>
        </is>
      </c>
      <c r="B795" t="inlineStr">
        <is>
          <t>Andere</t>
        </is>
      </c>
      <c r="C795" t="inlineStr">
        <is>
          <t>A-02-66-1</t>
        </is>
      </c>
      <c r="D795" t="n">
        <v>40</v>
      </c>
      <c r="E795" t="n">
        <v>0</v>
      </c>
      <c r="F795" t="n">
        <v>40</v>
      </c>
      <c r="G795" t="n">
        <v>40</v>
      </c>
    </row>
    <row r="796">
      <c r="A796" t="inlineStr">
        <is>
          <t>202614</t>
        </is>
      </c>
      <c r="B796" t="inlineStr">
        <is>
          <t>Andere</t>
        </is>
      </c>
      <c r="C796" t="inlineStr">
        <is>
          <t>A-01-45-1</t>
        </is>
      </c>
      <c r="D796" t="n">
        <v>0</v>
      </c>
      <c r="E796" t="n">
        <v>30</v>
      </c>
      <c r="F796" t="n">
        <v>-30</v>
      </c>
      <c r="G796" t="n">
        <v>-30</v>
      </c>
    </row>
    <row r="797">
      <c r="A797" t="inlineStr">
        <is>
          <t>202614</t>
        </is>
      </c>
      <c r="B797" t="inlineStr">
        <is>
          <t>Andere</t>
        </is>
      </c>
      <c r="C797" t="inlineStr">
        <is>
          <t>D-06-14-2</t>
        </is>
      </c>
      <c r="D797" t="n">
        <v>24</v>
      </c>
      <c r="E797" t="n">
        <v>0</v>
      </c>
      <c r="F797" t="n">
        <v>24</v>
      </c>
      <c r="G797" t="n">
        <v>24</v>
      </c>
    </row>
    <row r="798">
      <c r="A798" t="inlineStr">
        <is>
          <t>202614</t>
        </is>
      </c>
      <c r="B798" t="inlineStr">
        <is>
          <t>Andere</t>
        </is>
      </c>
      <c r="C798" t="inlineStr">
        <is>
          <t>A-02-63-1</t>
        </is>
      </c>
      <c r="D798" t="n">
        <v>20</v>
      </c>
      <c r="E798" t="n">
        <v>0</v>
      </c>
      <c r="F798" t="n">
        <v>20</v>
      </c>
      <c r="G798" t="n">
        <v>20</v>
      </c>
    </row>
    <row r="799">
      <c r="A799" t="inlineStr">
        <is>
          <t>202614</t>
        </is>
      </c>
      <c r="B799" t="inlineStr">
        <is>
          <t>Andere</t>
        </is>
      </c>
      <c r="C799" t="inlineStr">
        <is>
          <t>D-06-06-2</t>
        </is>
      </c>
      <c r="D799" t="n">
        <v>15</v>
      </c>
      <c r="E799" t="n">
        <v>0</v>
      </c>
      <c r="F799" t="n">
        <v>15</v>
      </c>
      <c r="G799" t="n">
        <v>15</v>
      </c>
    </row>
    <row r="800">
      <c r="A800" t="inlineStr">
        <is>
          <t>202614</t>
        </is>
      </c>
      <c r="B800" t="inlineStr">
        <is>
          <t>Andere</t>
        </is>
      </c>
      <c r="C800" t="inlineStr">
        <is>
          <t>FASADEKM</t>
        </is>
      </c>
      <c r="D800" t="n">
        <v>14</v>
      </c>
      <c r="E800" t="n">
        <v>0</v>
      </c>
      <c r="F800" t="n">
        <v>14</v>
      </c>
      <c r="G800" t="n">
        <v>14</v>
      </c>
    </row>
    <row r="801">
      <c r="A801" t="inlineStr">
        <is>
          <t>202614</t>
        </is>
      </c>
      <c r="B801" t="inlineStr">
        <is>
          <t>Andere</t>
        </is>
      </c>
      <c r="C801" t="inlineStr">
        <is>
          <t>P-04-13-2</t>
        </is>
      </c>
      <c r="D801" t="n">
        <v>14</v>
      </c>
      <c r="E801" t="n">
        <v>0</v>
      </c>
      <c r="F801" t="n">
        <v>14</v>
      </c>
      <c r="G801" t="n">
        <v>14</v>
      </c>
    </row>
    <row r="802">
      <c r="A802" t="inlineStr">
        <is>
          <t>202614</t>
        </is>
      </c>
      <c r="B802" t="inlineStr">
        <is>
          <t>Andere</t>
        </is>
      </c>
      <c r="C802" t="inlineStr">
        <is>
          <t>D-06-12-2</t>
        </is>
      </c>
      <c r="D802" t="n">
        <v>3</v>
      </c>
      <c r="E802" t="n">
        <v>0</v>
      </c>
      <c r="F802" t="n">
        <v>3</v>
      </c>
      <c r="G802" t="n">
        <v>3</v>
      </c>
    </row>
    <row r="803">
      <c r="A803" t="inlineStr">
        <is>
          <t>202614</t>
        </is>
      </c>
      <c r="B803" t="inlineStr">
        <is>
          <t>Andere</t>
        </is>
      </c>
      <c r="C803" t="inlineStr">
        <is>
          <t>ADJ LOC</t>
        </is>
      </c>
      <c r="D803" t="n">
        <v>1.1</v>
      </c>
      <c r="E803" t="n">
        <v>0</v>
      </c>
      <c r="F803" t="n">
        <v>1.1</v>
      </c>
      <c r="G803" t="n">
        <v>1.1</v>
      </c>
    </row>
    <row r="804">
      <c r="A804" t="inlineStr">
        <is>
          <t>202614</t>
        </is>
      </c>
      <c r="B804" t="inlineStr">
        <is>
          <t>Andere</t>
        </is>
      </c>
      <c r="C804" t="inlineStr">
        <is>
          <t>FADKLOMP</t>
        </is>
      </c>
      <c r="D804" t="n">
        <v>1.1</v>
      </c>
      <c r="E804" t="n">
        <v>0</v>
      </c>
      <c r="F804" t="n">
        <v>1.1</v>
      </c>
      <c r="G804" t="n">
        <v>1.1</v>
      </c>
    </row>
    <row r="805">
      <c r="A805" t="inlineStr">
        <is>
          <t>202614</t>
        </is>
      </c>
      <c r="B805" t="inlineStr">
        <is>
          <t>Andere</t>
        </is>
      </c>
      <c r="C805" t="inlineStr">
        <is>
          <t>VH-03-01</t>
        </is>
      </c>
      <c r="D805" t="n">
        <v>0.1</v>
      </c>
      <c r="E805" t="n">
        <v>0</v>
      </c>
      <c r="F805" t="n">
        <v>0.1</v>
      </c>
      <c r="G805" t="n">
        <v>0.1</v>
      </c>
    </row>
    <row r="806">
      <c r="A806" t="inlineStr">
        <is>
          <t>202614</t>
        </is>
      </c>
      <c r="B806" t="inlineStr">
        <is>
          <t>Andere</t>
        </is>
      </c>
      <c r="C806" t="inlineStr">
        <is>
          <t>A-01-13-4</t>
        </is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202614</t>
        </is>
      </c>
      <c r="B807" t="inlineStr">
        <is>
          <t>Andere</t>
        </is>
      </c>
      <c r="C807" t="inlineStr">
        <is>
          <t>A-02-28-4</t>
        </is>
      </c>
      <c r="D807" t="n">
        <v>186</v>
      </c>
      <c r="E807" t="n">
        <v>186</v>
      </c>
      <c r="F807" t="n">
        <v>0</v>
      </c>
      <c r="G807" t="n">
        <v>0</v>
      </c>
    </row>
    <row r="808">
      <c r="A808" t="inlineStr">
        <is>
          <t>202614</t>
        </is>
      </c>
      <c r="B808" t="inlineStr">
        <is>
          <t>Andere</t>
        </is>
      </c>
      <c r="C808" t="inlineStr">
        <is>
          <t>D-06-10-2</t>
        </is>
      </c>
      <c r="D808" t="n">
        <v>24</v>
      </c>
      <c r="E808" t="n">
        <v>24</v>
      </c>
      <c r="F808" t="n">
        <v>0</v>
      </c>
      <c r="G808" t="n">
        <v>0</v>
      </c>
    </row>
    <row r="809">
      <c r="A809" t="inlineStr">
        <is>
          <t>202614</t>
        </is>
      </c>
      <c r="B809" t="inlineStr">
        <is>
          <t>Andere</t>
        </is>
      </c>
      <c r="C809" t="inlineStr">
        <is>
          <t>D-06-13-2</t>
        </is>
      </c>
      <c r="D809" t="n">
        <v>6</v>
      </c>
      <c r="E809" t="n">
        <v>6</v>
      </c>
      <c r="F809" t="n">
        <v>0</v>
      </c>
      <c r="G809" t="n">
        <v>0</v>
      </c>
    </row>
    <row r="810">
      <c r="A810" t="inlineStr">
        <is>
          <t>202614</t>
        </is>
      </c>
      <c r="B810" t="inlineStr">
        <is>
          <t>Andere</t>
        </is>
      </c>
      <c r="C810" t="inlineStr">
        <is>
          <t>D-06-15-2</t>
        </is>
      </c>
      <c r="D810" t="n">
        <v>20</v>
      </c>
      <c r="E810" t="n">
        <v>20</v>
      </c>
      <c r="F810" t="n">
        <v>0</v>
      </c>
      <c r="G810" t="n">
        <v>0</v>
      </c>
    </row>
    <row r="811">
      <c r="A811" t="inlineStr">
        <is>
          <t>202614</t>
        </is>
      </c>
      <c r="B811" t="inlineStr">
        <is>
          <t>Andere</t>
        </is>
      </c>
      <c r="C811" t="inlineStr">
        <is>
          <t>GC-02-04-2</t>
        </is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202614</t>
        </is>
      </c>
      <c r="B812" t="inlineStr">
        <is>
          <t>Andere</t>
        </is>
      </c>
      <c r="C812" t="inlineStr">
        <is>
          <t>P-04-10-3</t>
        </is>
      </c>
      <c r="D812" t="n">
        <v>449</v>
      </c>
      <c r="E812" t="n">
        <v>449</v>
      </c>
      <c r="F812" t="n">
        <v>0</v>
      </c>
      <c r="G812" t="n">
        <v>0</v>
      </c>
    </row>
    <row r="813">
      <c r="A813" t="inlineStr">
        <is>
          <t>202614</t>
        </is>
      </c>
      <c r="B813" t="inlineStr">
        <is>
          <t>Andere</t>
        </is>
      </c>
      <c r="C813" t="inlineStr">
        <is>
          <t>P-04-13-3</t>
        </is>
      </c>
      <c r="D813" t="n">
        <v>586</v>
      </c>
      <c r="E813" t="n">
        <v>586</v>
      </c>
      <c r="F813" t="n">
        <v>0</v>
      </c>
      <c r="G813" t="n">
        <v>0</v>
      </c>
    </row>
    <row r="814">
      <c r="A814" t="inlineStr">
        <is>
          <t>202614</t>
        </is>
      </c>
      <c r="B814" t="inlineStr">
        <is>
          <t>Andere</t>
        </is>
      </c>
      <c r="C814" t="inlineStr">
        <is>
          <t>PH-02-08</t>
        </is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202614</t>
        </is>
      </c>
      <c r="B815" t="inlineStr">
        <is>
          <t>Fulfillment</t>
        </is>
      </c>
      <c r="C815" t="inlineStr">
        <is>
          <t>FABURAUK</t>
        </is>
      </c>
      <c r="D815" t="n">
        <v>468</v>
      </c>
      <c r="E815" t="n">
        <v>0</v>
      </c>
      <c r="F815" t="n">
        <v>468</v>
      </c>
      <c r="G815" t="n">
        <v>468</v>
      </c>
    </row>
    <row r="816">
      <c r="A816" t="inlineStr">
        <is>
          <t>202614</t>
        </is>
      </c>
      <c r="B816" t="inlineStr">
        <is>
          <t>Lager</t>
        </is>
      </c>
      <c r="C816" t="inlineStr">
        <is>
          <t>STGDR-85</t>
        </is>
      </c>
      <c r="D816" t="n">
        <v>5468</v>
      </c>
      <c r="E816" t="n">
        <v>0</v>
      </c>
      <c r="F816" t="n">
        <v>5468</v>
      </c>
      <c r="G816" t="n">
        <v>5468</v>
      </c>
    </row>
    <row r="817">
      <c r="A817" t="inlineStr">
        <is>
          <t>202614</t>
        </is>
      </c>
      <c r="B817" t="inlineStr">
        <is>
          <t>Lager</t>
        </is>
      </c>
      <c r="C817" t="inlineStr">
        <is>
          <t>STGDR-27</t>
        </is>
      </c>
      <c r="D817" t="n">
        <v>87</v>
      </c>
      <c r="E817" t="n">
        <v>0</v>
      </c>
      <c r="F817" t="n">
        <v>87</v>
      </c>
      <c r="G817" t="n">
        <v>87</v>
      </c>
    </row>
    <row r="818">
      <c r="A818" t="inlineStr">
        <is>
          <t>202614</t>
        </is>
      </c>
      <c r="B818" t="inlineStr">
        <is>
          <t>Prep/Plating</t>
        </is>
      </c>
      <c r="C818" t="inlineStr">
        <is>
          <t>DEBOXWIP</t>
        </is>
      </c>
      <c r="D818" t="n">
        <v>0.04</v>
      </c>
      <c r="E818" t="n">
        <v>0</v>
      </c>
      <c r="F818" t="n">
        <v>0.04</v>
      </c>
      <c r="G818" t="n">
        <v>0.04</v>
      </c>
    </row>
    <row r="819">
      <c r="A819" t="inlineStr">
        <is>
          <t>202614</t>
        </is>
      </c>
      <c r="B819" t="inlineStr">
        <is>
          <t>Prep/Plating</t>
        </is>
      </c>
      <c r="C819" t="inlineStr">
        <is>
          <t>Sleeving</t>
        </is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202615</t>
        </is>
      </c>
      <c r="B820" t="inlineStr">
        <is>
          <t>Andere</t>
        </is>
      </c>
      <c r="C820" t="inlineStr">
        <is>
          <t>UNBEKANNT</t>
        </is>
      </c>
      <c r="D820" t="n">
        <v>510539</v>
      </c>
      <c r="E820" t="n">
        <v>0</v>
      </c>
      <c r="F820" t="n">
        <v>510539</v>
      </c>
      <c r="G820" t="n">
        <v>510539</v>
      </c>
    </row>
    <row r="821">
      <c r="A821" t="inlineStr">
        <is>
          <t>202615</t>
        </is>
      </c>
      <c r="B821" t="inlineStr">
        <is>
          <t>Andere</t>
        </is>
      </c>
      <c r="C821" t="inlineStr">
        <is>
          <t>FALEHMANNM</t>
        </is>
      </c>
      <c r="D821" t="n">
        <v>448348</v>
      </c>
      <c r="E821" t="n">
        <v>0</v>
      </c>
      <c r="F821" t="n">
        <v>448348</v>
      </c>
      <c r="G821" t="n">
        <v>448348</v>
      </c>
    </row>
    <row r="822">
      <c r="A822" t="inlineStr">
        <is>
          <t>202615</t>
        </is>
      </c>
      <c r="B822" t="inlineStr">
        <is>
          <t>Andere</t>
        </is>
      </c>
      <c r="C822" t="inlineStr">
        <is>
          <t>FAHANSENMA</t>
        </is>
      </c>
      <c r="D822" t="n">
        <v>79888</v>
      </c>
      <c r="E822" t="n">
        <v>0</v>
      </c>
      <c r="F822" t="n">
        <v>79888</v>
      </c>
      <c r="G822" t="n">
        <v>79888</v>
      </c>
    </row>
    <row r="823">
      <c r="A823" t="inlineStr">
        <is>
          <t>202615</t>
        </is>
      </c>
      <c r="B823" t="inlineStr">
        <is>
          <t>Andere</t>
        </is>
      </c>
      <c r="C823" t="inlineStr">
        <is>
          <t>PRODUCTION</t>
        </is>
      </c>
      <c r="D823" t="n">
        <v>44825</v>
      </c>
      <c r="E823" t="n">
        <v>0</v>
      </c>
      <c r="F823" t="n">
        <v>44825</v>
      </c>
      <c r="G823" t="n">
        <v>44825</v>
      </c>
    </row>
    <row r="824">
      <c r="A824" t="inlineStr">
        <is>
          <t>202615</t>
        </is>
      </c>
      <c r="B824" t="inlineStr">
        <is>
          <t>Andere</t>
        </is>
      </c>
      <c r="C824" t="inlineStr">
        <is>
          <t>FAWIEGHOLDD</t>
        </is>
      </c>
      <c r="D824" t="n">
        <v>42130</v>
      </c>
      <c r="E824" t="n">
        <v>0</v>
      </c>
      <c r="F824" t="n">
        <v>42130</v>
      </c>
      <c r="G824" t="n">
        <v>42130</v>
      </c>
    </row>
    <row r="825">
      <c r="A825" t="inlineStr">
        <is>
          <t>202615</t>
        </is>
      </c>
      <c r="B825" t="inlineStr">
        <is>
          <t>Andere</t>
        </is>
      </c>
      <c r="C825" t="inlineStr">
        <is>
          <t>A-02-123-1</t>
        </is>
      </c>
      <c r="D825" t="n">
        <v>19880</v>
      </c>
      <c r="E825" t="n">
        <v>0</v>
      </c>
      <c r="F825" t="n">
        <v>19880</v>
      </c>
      <c r="G825" t="n">
        <v>19880</v>
      </c>
    </row>
    <row r="826">
      <c r="A826" t="inlineStr">
        <is>
          <t>202615</t>
        </is>
      </c>
      <c r="B826" t="inlineStr">
        <is>
          <t>Andere</t>
        </is>
      </c>
      <c r="C826" t="inlineStr">
        <is>
          <t>A-02-120-3</t>
        </is>
      </c>
      <c r="D826" t="n">
        <v>11760</v>
      </c>
      <c r="E826" t="n">
        <v>0</v>
      </c>
      <c r="F826" t="n">
        <v>11760</v>
      </c>
      <c r="G826" t="n">
        <v>11760</v>
      </c>
    </row>
    <row r="827">
      <c r="A827" t="inlineStr">
        <is>
          <t>202615</t>
        </is>
      </c>
      <c r="B827" t="inlineStr">
        <is>
          <t>Andere</t>
        </is>
      </c>
      <c r="C827" t="inlineStr">
        <is>
          <t>A-02-122-1</t>
        </is>
      </c>
      <c r="D827" t="n">
        <v>11760</v>
      </c>
      <c r="E827" t="n">
        <v>0</v>
      </c>
      <c r="F827" t="n">
        <v>11760</v>
      </c>
      <c r="G827" t="n">
        <v>11760</v>
      </c>
    </row>
    <row r="828">
      <c r="A828" t="inlineStr">
        <is>
          <t>202615</t>
        </is>
      </c>
      <c r="B828" t="inlineStr">
        <is>
          <t>Andere</t>
        </is>
      </c>
      <c r="C828" t="inlineStr">
        <is>
          <t>FAMULLERT</t>
        </is>
      </c>
      <c r="D828" t="n">
        <v>8755</v>
      </c>
      <c r="E828" t="n">
        <v>0</v>
      </c>
      <c r="F828" t="n">
        <v>8755</v>
      </c>
      <c r="G828" t="n">
        <v>8755</v>
      </c>
    </row>
    <row r="829">
      <c r="A829" t="inlineStr">
        <is>
          <t>202615</t>
        </is>
      </c>
      <c r="B829" t="inlineStr">
        <is>
          <t>Andere</t>
        </is>
      </c>
      <c r="C829" t="inlineStr">
        <is>
          <t>FATRAOREDA</t>
        </is>
      </c>
      <c r="D829" t="n">
        <v>7296</v>
      </c>
      <c r="E829" t="n">
        <v>0</v>
      </c>
      <c r="F829" t="n">
        <v>7296</v>
      </c>
      <c r="G829" t="n">
        <v>7296</v>
      </c>
    </row>
    <row r="830">
      <c r="A830" t="inlineStr">
        <is>
          <t>202615</t>
        </is>
      </c>
      <c r="B830" t="inlineStr">
        <is>
          <t>Andere</t>
        </is>
      </c>
      <c r="C830" t="inlineStr">
        <is>
          <t>GERMANY</t>
        </is>
      </c>
      <c r="D830" t="n">
        <v>7225</v>
      </c>
      <c r="E830" t="n">
        <v>0</v>
      </c>
      <c r="F830" t="n">
        <v>7225</v>
      </c>
      <c r="G830" t="n">
        <v>7225</v>
      </c>
    </row>
    <row r="831">
      <c r="A831" t="inlineStr">
        <is>
          <t>202615</t>
        </is>
      </c>
      <c r="B831" t="inlineStr">
        <is>
          <t>Andere</t>
        </is>
      </c>
      <c r="C831" t="inlineStr">
        <is>
          <t>A-01-57-2</t>
        </is>
      </c>
      <c r="D831" t="n">
        <v>7000</v>
      </c>
      <c r="E831" t="n">
        <v>0</v>
      </c>
      <c r="F831" t="n">
        <v>7000</v>
      </c>
      <c r="G831" t="n">
        <v>7000</v>
      </c>
    </row>
    <row r="832">
      <c r="A832" t="inlineStr">
        <is>
          <t>202615</t>
        </is>
      </c>
      <c r="B832" t="inlineStr">
        <is>
          <t>Andere</t>
        </is>
      </c>
      <c r="C832" t="inlineStr">
        <is>
          <t>A-01-64-1</t>
        </is>
      </c>
      <c r="D832" t="n">
        <v>7000</v>
      </c>
      <c r="E832" t="n">
        <v>0</v>
      </c>
      <c r="F832" t="n">
        <v>7000</v>
      </c>
      <c r="G832" t="n">
        <v>7000</v>
      </c>
    </row>
    <row r="833">
      <c r="A833" t="inlineStr">
        <is>
          <t>202615</t>
        </is>
      </c>
      <c r="B833" t="inlineStr">
        <is>
          <t>Andere</t>
        </is>
      </c>
      <c r="C833" t="inlineStr">
        <is>
          <t>A-02-127-1</t>
        </is>
      </c>
      <c r="D833" t="n">
        <v>7000</v>
      </c>
      <c r="E833" t="n">
        <v>0</v>
      </c>
      <c r="F833" t="n">
        <v>7000</v>
      </c>
      <c r="G833" t="n">
        <v>7000</v>
      </c>
    </row>
    <row r="834">
      <c r="A834" t="inlineStr">
        <is>
          <t>202615</t>
        </is>
      </c>
      <c r="B834" t="inlineStr">
        <is>
          <t>Andere</t>
        </is>
      </c>
      <c r="C834" t="inlineStr">
        <is>
          <t>A-01-15-3</t>
        </is>
      </c>
      <c r="D834" t="n">
        <v>6856</v>
      </c>
      <c r="E834" t="n">
        <v>856</v>
      </c>
      <c r="F834" t="n">
        <v>6000</v>
      </c>
      <c r="G834" t="n">
        <v>6000</v>
      </c>
    </row>
    <row r="835">
      <c r="A835" t="inlineStr">
        <is>
          <t>202615</t>
        </is>
      </c>
      <c r="B835" t="inlineStr">
        <is>
          <t>Andere</t>
        </is>
      </c>
      <c r="C835" t="inlineStr">
        <is>
          <t>A-01-58-2</t>
        </is>
      </c>
      <c r="D835" t="n">
        <v>5880</v>
      </c>
      <c r="E835" t="n">
        <v>0</v>
      </c>
      <c r="F835" t="n">
        <v>5880</v>
      </c>
      <c r="G835" t="n">
        <v>5880</v>
      </c>
    </row>
    <row r="836">
      <c r="A836" t="inlineStr">
        <is>
          <t>202615</t>
        </is>
      </c>
      <c r="B836" t="inlineStr">
        <is>
          <t>Andere</t>
        </is>
      </c>
      <c r="C836" t="inlineStr">
        <is>
          <t>A-01-62-1</t>
        </is>
      </c>
      <c r="D836" t="n">
        <v>5880</v>
      </c>
      <c r="E836" t="n">
        <v>0</v>
      </c>
      <c r="F836" t="n">
        <v>5880</v>
      </c>
      <c r="G836" t="n">
        <v>5880</v>
      </c>
    </row>
    <row r="837">
      <c r="A837" t="inlineStr">
        <is>
          <t>202615</t>
        </is>
      </c>
      <c r="B837" t="inlineStr">
        <is>
          <t>Andere</t>
        </is>
      </c>
      <c r="C837" t="inlineStr">
        <is>
          <t>FAKUPERWO</t>
        </is>
      </c>
      <c r="D837" t="n">
        <v>3840</v>
      </c>
      <c r="E837" t="n">
        <v>0</v>
      </c>
      <c r="F837" t="n">
        <v>3840</v>
      </c>
      <c r="G837" t="n">
        <v>3840</v>
      </c>
    </row>
    <row r="838">
      <c r="A838" t="inlineStr">
        <is>
          <t>202615</t>
        </is>
      </c>
      <c r="B838" t="inlineStr">
        <is>
          <t>Andere</t>
        </is>
      </c>
      <c r="C838" t="inlineStr">
        <is>
          <t>PH-03-28</t>
        </is>
      </c>
      <c r="D838" t="n">
        <v>1536</v>
      </c>
      <c r="E838" t="n">
        <v>0</v>
      </c>
      <c r="F838" t="n">
        <v>1536</v>
      </c>
      <c r="G838" t="n">
        <v>1536</v>
      </c>
    </row>
    <row r="839">
      <c r="A839" t="inlineStr">
        <is>
          <t>202615</t>
        </is>
      </c>
      <c r="B839" t="inlineStr">
        <is>
          <t>Andere</t>
        </is>
      </c>
      <c r="C839" t="inlineStr">
        <is>
          <t>PROD RTN</t>
        </is>
      </c>
      <c r="D839" t="n">
        <v>1450</v>
      </c>
      <c r="E839" t="n">
        <v>0</v>
      </c>
      <c r="F839" t="n">
        <v>1450</v>
      </c>
      <c r="G839" t="n">
        <v>1450</v>
      </c>
    </row>
    <row r="840">
      <c r="A840" t="inlineStr">
        <is>
          <t>202615</t>
        </is>
      </c>
      <c r="B840" t="inlineStr">
        <is>
          <t>Andere</t>
        </is>
      </c>
      <c r="C840" t="inlineStr">
        <is>
          <t>A-01-15-1</t>
        </is>
      </c>
      <c r="D840" t="n">
        <v>1000</v>
      </c>
      <c r="E840" t="n">
        <v>0</v>
      </c>
      <c r="F840" t="n">
        <v>1000</v>
      </c>
      <c r="G840" t="n">
        <v>1000</v>
      </c>
    </row>
    <row r="841">
      <c r="A841" t="inlineStr">
        <is>
          <t>202615</t>
        </is>
      </c>
      <c r="B841" t="inlineStr">
        <is>
          <t>Andere</t>
        </is>
      </c>
      <c r="C841" t="inlineStr">
        <is>
          <t>FAENDERST</t>
        </is>
      </c>
      <c r="D841" t="n">
        <v>1000</v>
      </c>
      <c r="E841" t="n">
        <v>0</v>
      </c>
      <c r="F841" t="n">
        <v>1000</v>
      </c>
      <c r="G841" t="n">
        <v>1000</v>
      </c>
    </row>
    <row r="842">
      <c r="A842" t="inlineStr">
        <is>
          <t>202615</t>
        </is>
      </c>
      <c r="B842" t="inlineStr">
        <is>
          <t>Andere</t>
        </is>
      </c>
      <c r="C842" t="inlineStr">
        <is>
          <t>A-02-51-1</t>
        </is>
      </c>
      <c r="D842" t="n">
        <v>800</v>
      </c>
      <c r="E842" t="n">
        <v>0</v>
      </c>
      <c r="F842" t="n">
        <v>800</v>
      </c>
      <c r="G842" t="n">
        <v>800</v>
      </c>
    </row>
    <row r="843">
      <c r="A843" t="inlineStr">
        <is>
          <t>202615</t>
        </is>
      </c>
      <c r="B843" t="inlineStr">
        <is>
          <t>Andere</t>
        </is>
      </c>
      <c r="C843" t="inlineStr">
        <is>
          <t>PH-02-02</t>
        </is>
      </c>
      <c r="D843" t="n">
        <v>768</v>
      </c>
      <c r="E843" t="n">
        <v>0</v>
      </c>
      <c r="F843" t="n">
        <v>768</v>
      </c>
      <c r="G843" t="n">
        <v>768</v>
      </c>
    </row>
    <row r="844">
      <c r="A844" t="inlineStr">
        <is>
          <t>202615</t>
        </is>
      </c>
      <c r="B844" t="inlineStr">
        <is>
          <t>Andere</t>
        </is>
      </c>
      <c r="C844" t="inlineStr">
        <is>
          <t>PH-02-03</t>
        </is>
      </c>
      <c r="D844" t="n">
        <v>768</v>
      </c>
      <c r="E844" t="n">
        <v>0</v>
      </c>
      <c r="F844" t="n">
        <v>768</v>
      </c>
      <c r="G844" t="n">
        <v>768</v>
      </c>
    </row>
    <row r="845">
      <c r="A845" t="inlineStr">
        <is>
          <t>202615</t>
        </is>
      </c>
      <c r="B845" t="inlineStr">
        <is>
          <t>Andere</t>
        </is>
      </c>
      <c r="C845" t="inlineStr">
        <is>
          <t>PH-02-04</t>
        </is>
      </c>
      <c r="D845" t="n">
        <v>768</v>
      </c>
      <c r="E845" t="n">
        <v>0</v>
      </c>
      <c r="F845" t="n">
        <v>768</v>
      </c>
      <c r="G845" t="n">
        <v>768</v>
      </c>
    </row>
    <row r="846">
      <c r="A846" t="inlineStr">
        <is>
          <t>202615</t>
        </is>
      </c>
      <c r="B846" t="inlineStr">
        <is>
          <t>Andere</t>
        </is>
      </c>
      <c r="C846" t="inlineStr">
        <is>
          <t>PH-02-10</t>
        </is>
      </c>
      <c r="D846" t="n">
        <v>768</v>
      </c>
      <c r="E846" t="n">
        <v>0</v>
      </c>
      <c r="F846" t="n">
        <v>768</v>
      </c>
      <c r="G846" t="n">
        <v>768</v>
      </c>
    </row>
    <row r="847">
      <c r="A847" t="inlineStr">
        <is>
          <t>202615</t>
        </is>
      </c>
      <c r="B847" t="inlineStr">
        <is>
          <t>Andere</t>
        </is>
      </c>
      <c r="C847" t="inlineStr">
        <is>
          <t>PH-03-01</t>
        </is>
      </c>
      <c r="D847" t="n">
        <v>768</v>
      </c>
      <c r="E847" t="n">
        <v>0</v>
      </c>
      <c r="F847" t="n">
        <v>768</v>
      </c>
      <c r="G847" t="n">
        <v>768</v>
      </c>
    </row>
    <row r="848">
      <c r="A848" t="inlineStr">
        <is>
          <t>202615</t>
        </is>
      </c>
      <c r="B848" t="inlineStr">
        <is>
          <t>Andere</t>
        </is>
      </c>
      <c r="C848" t="inlineStr">
        <is>
          <t>PH-03-19</t>
        </is>
      </c>
      <c r="D848" t="n">
        <v>768</v>
      </c>
      <c r="E848" t="n">
        <v>0</v>
      </c>
      <c r="F848" t="n">
        <v>768</v>
      </c>
      <c r="G848" t="n">
        <v>768</v>
      </c>
    </row>
    <row r="849">
      <c r="A849" t="inlineStr">
        <is>
          <t>202615</t>
        </is>
      </c>
      <c r="B849" t="inlineStr">
        <is>
          <t>Andere</t>
        </is>
      </c>
      <c r="C849" t="inlineStr">
        <is>
          <t>PH-03-20</t>
        </is>
      </c>
      <c r="D849" t="n">
        <v>768</v>
      </c>
      <c r="E849" t="n">
        <v>0</v>
      </c>
      <c r="F849" t="n">
        <v>768</v>
      </c>
      <c r="G849" t="n">
        <v>768</v>
      </c>
    </row>
    <row r="850">
      <c r="A850" t="inlineStr">
        <is>
          <t>202615</t>
        </is>
      </c>
      <c r="B850" t="inlineStr">
        <is>
          <t>Andere</t>
        </is>
      </c>
      <c r="C850" t="inlineStr">
        <is>
          <t>PH-03-21</t>
        </is>
      </c>
      <c r="D850" t="n">
        <v>768</v>
      </c>
      <c r="E850" t="n">
        <v>0</v>
      </c>
      <c r="F850" t="n">
        <v>768</v>
      </c>
      <c r="G850" t="n">
        <v>768</v>
      </c>
    </row>
    <row r="851">
      <c r="A851" t="inlineStr">
        <is>
          <t>202615</t>
        </is>
      </c>
      <c r="B851" t="inlineStr">
        <is>
          <t>Andere</t>
        </is>
      </c>
      <c r="C851" t="inlineStr">
        <is>
          <t>PH-02-06</t>
        </is>
      </c>
      <c r="D851" t="n">
        <v>768</v>
      </c>
      <c r="E851" t="n">
        <v>12</v>
      </c>
      <c r="F851" t="n">
        <v>756</v>
      </c>
      <c r="G851" t="n">
        <v>756</v>
      </c>
    </row>
    <row r="852">
      <c r="A852" t="inlineStr">
        <is>
          <t>202615</t>
        </is>
      </c>
      <c r="B852" t="inlineStr">
        <is>
          <t>Andere</t>
        </is>
      </c>
      <c r="C852" t="inlineStr">
        <is>
          <t>PH-02-11</t>
        </is>
      </c>
      <c r="D852" t="n">
        <v>768</v>
      </c>
      <c r="E852" t="n">
        <v>64</v>
      </c>
      <c r="F852" t="n">
        <v>704</v>
      </c>
      <c r="G852" t="n">
        <v>704</v>
      </c>
    </row>
    <row r="853">
      <c r="A853" t="inlineStr">
        <is>
          <t>202615</t>
        </is>
      </c>
      <c r="B853" t="inlineStr">
        <is>
          <t>Andere</t>
        </is>
      </c>
      <c r="C853" t="inlineStr">
        <is>
          <t>PH-02-07</t>
        </is>
      </c>
      <c r="D853" t="n">
        <v>768</v>
      </c>
      <c r="E853" t="n">
        <v>100</v>
      </c>
      <c r="F853" t="n">
        <v>668</v>
      </c>
      <c r="G853" t="n">
        <v>668</v>
      </c>
    </row>
    <row r="854">
      <c r="A854" t="inlineStr">
        <is>
          <t>202615</t>
        </is>
      </c>
      <c r="B854" t="inlineStr">
        <is>
          <t>Andere</t>
        </is>
      </c>
      <c r="C854" t="inlineStr">
        <is>
          <t>PH-02-09</t>
        </is>
      </c>
      <c r="D854" t="n">
        <v>768</v>
      </c>
      <c r="E854" t="n">
        <v>101</v>
      </c>
      <c r="F854" t="n">
        <v>667</v>
      </c>
      <c r="G854" t="n">
        <v>667</v>
      </c>
    </row>
    <row r="855">
      <c r="A855" t="inlineStr">
        <is>
          <t>202615</t>
        </is>
      </c>
      <c r="B855" t="inlineStr">
        <is>
          <t>Andere</t>
        </is>
      </c>
      <c r="C855" t="inlineStr">
        <is>
          <t>LOST</t>
        </is>
      </c>
      <c r="D855" t="n">
        <v>403</v>
      </c>
      <c r="E855" t="n">
        <v>0</v>
      </c>
      <c r="F855" t="n">
        <v>403</v>
      </c>
      <c r="G855" t="n">
        <v>403</v>
      </c>
    </row>
    <row r="856">
      <c r="A856" t="inlineStr">
        <is>
          <t>202615</t>
        </is>
      </c>
      <c r="B856" t="inlineStr">
        <is>
          <t>Andere</t>
        </is>
      </c>
      <c r="C856" t="inlineStr">
        <is>
          <t>D-06-36-2</t>
        </is>
      </c>
      <c r="D856" t="n">
        <v>400</v>
      </c>
      <c r="E856" t="n">
        <v>0</v>
      </c>
      <c r="F856" t="n">
        <v>400</v>
      </c>
      <c r="G856" t="n">
        <v>400</v>
      </c>
    </row>
    <row r="857">
      <c r="A857" t="inlineStr">
        <is>
          <t>202615</t>
        </is>
      </c>
      <c r="B857" t="inlineStr">
        <is>
          <t>Andere</t>
        </is>
      </c>
      <c r="C857" t="inlineStr">
        <is>
          <t>FAMATTICKT</t>
        </is>
      </c>
      <c r="D857" t="n">
        <v>400</v>
      </c>
      <c r="E857" t="n">
        <v>0</v>
      </c>
      <c r="F857" t="n">
        <v>400</v>
      </c>
      <c r="G857" t="n">
        <v>400</v>
      </c>
    </row>
    <row r="858">
      <c r="A858" t="inlineStr">
        <is>
          <t>202615</t>
        </is>
      </c>
      <c r="B858" t="inlineStr">
        <is>
          <t>Andere</t>
        </is>
      </c>
      <c r="C858" t="inlineStr">
        <is>
          <t>NORDICS</t>
        </is>
      </c>
      <c r="D858" t="n">
        <v>384</v>
      </c>
      <c r="E858" t="n">
        <v>0</v>
      </c>
      <c r="F858" t="n">
        <v>384</v>
      </c>
      <c r="G858" t="n">
        <v>384</v>
      </c>
    </row>
    <row r="859">
      <c r="A859" t="inlineStr">
        <is>
          <t>202615</t>
        </is>
      </c>
      <c r="B859" t="inlineStr">
        <is>
          <t>Andere</t>
        </is>
      </c>
      <c r="C859" t="inlineStr">
        <is>
          <t>PH-02-12</t>
        </is>
      </c>
      <c r="D859" t="n">
        <v>384</v>
      </c>
      <c r="E859" t="n">
        <v>25</v>
      </c>
      <c r="F859" t="n">
        <v>359</v>
      </c>
      <c r="G859" t="n">
        <v>359</v>
      </c>
    </row>
    <row r="860">
      <c r="A860" t="inlineStr">
        <is>
          <t>202615</t>
        </is>
      </c>
      <c r="B860" t="inlineStr">
        <is>
          <t>Andere</t>
        </is>
      </c>
      <c r="C860" t="inlineStr">
        <is>
          <t>PH-02-08</t>
        </is>
      </c>
      <c r="D860" t="n">
        <v>0</v>
      </c>
      <c r="E860" t="n">
        <v>346</v>
      </c>
      <c r="F860" t="n">
        <v>-346</v>
      </c>
      <c r="G860" t="n">
        <v>-346</v>
      </c>
    </row>
    <row r="861">
      <c r="A861" t="inlineStr">
        <is>
          <t>202615</t>
        </is>
      </c>
      <c r="B861" t="inlineStr">
        <is>
          <t>Andere</t>
        </is>
      </c>
      <c r="C861" t="inlineStr">
        <is>
          <t>P-04-02-2</t>
        </is>
      </c>
      <c r="D861" t="n">
        <v>273</v>
      </c>
      <c r="E861" t="n">
        <v>0</v>
      </c>
      <c r="F861" t="n">
        <v>273</v>
      </c>
      <c r="G861" t="n">
        <v>273</v>
      </c>
    </row>
    <row r="862">
      <c r="A862" t="inlineStr">
        <is>
          <t>202615</t>
        </is>
      </c>
      <c r="B862" t="inlineStr">
        <is>
          <t>Andere</t>
        </is>
      </c>
      <c r="C862" t="inlineStr">
        <is>
          <t>GC-02-07-2</t>
        </is>
      </c>
      <c r="D862" t="n">
        <v>260</v>
      </c>
      <c r="E862" t="n">
        <v>0</v>
      </c>
      <c r="F862" t="n">
        <v>260</v>
      </c>
      <c r="G862" t="n">
        <v>260</v>
      </c>
    </row>
    <row r="863">
      <c r="A863" t="inlineStr">
        <is>
          <t>202615</t>
        </is>
      </c>
      <c r="B863" t="inlineStr">
        <is>
          <t>Andere</t>
        </is>
      </c>
      <c r="C863" t="inlineStr">
        <is>
          <t>P-04-07-2</t>
        </is>
      </c>
      <c r="D863" t="n">
        <v>214</v>
      </c>
      <c r="E863" t="n">
        <v>0</v>
      </c>
      <c r="F863" t="n">
        <v>214</v>
      </c>
      <c r="G863" t="n">
        <v>214</v>
      </c>
    </row>
    <row r="864">
      <c r="A864" t="inlineStr">
        <is>
          <t>202615</t>
        </is>
      </c>
      <c r="B864" t="inlineStr">
        <is>
          <t>Andere</t>
        </is>
      </c>
      <c r="C864" t="inlineStr">
        <is>
          <t>GC-02-09-2</t>
        </is>
      </c>
      <c r="D864" t="n">
        <v>0</v>
      </c>
      <c r="E864" t="n">
        <v>200</v>
      </c>
      <c r="F864" t="n">
        <v>-200</v>
      </c>
      <c r="G864" t="n">
        <v>-200</v>
      </c>
    </row>
    <row r="865">
      <c r="A865" t="inlineStr">
        <is>
          <t>202615</t>
        </is>
      </c>
      <c r="B865" t="inlineStr">
        <is>
          <t>Andere</t>
        </is>
      </c>
      <c r="C865" t="inlineStr">
        <is>
          <t>PH-02-21</t>
        </is>
      </c>
      <c r="D865" t="n">
        <v>0</v>
      </c>
      <c r="E865" t="n">
        <v>183</v>
      </c>
      <c r="F865" t="n">
        <v>-183</v>
      </c>
      <c r="G865" t="n">
        <v>-183</v>
      </c>
    </row>
    <row r="866">
      <c r="A866" t="inlineStr">
        <is>
          <t>202615</t>
        </is>
      </c>
      <c r="B866" t="inlineStr">
        <is>
          <t>Andere</t>
        </is>
      </c>
      <c r="C866" t="inlineStr">
        <is>
          <t>A-02-52-1</t>
        </is>
      </c>
      <c r="D866" t="n">
        <v>150</v>
      </c>
      <c r="E866" t="n">
        <v>0</v>
      </c>
      <c r="F866" t="n">
        <v>150</v>
      </c>
      <c r="G866" t="n">
        <v>150</v>
      </c>
    </row>
    <row r="867">
      <c r="A867" t="inlineStr">
        <is>
          <t>202615</t>
        </is>
      </c>
      <c r="B867" t="inlineStr">
        <is>
          <t>Andere</t>
        </is>
      </c>
      <c r="C867" t="inlineStr">
        <is>
          <t>A-02-58-1</t>
        </is>
      </c>
      <c r="D867" t="n">
        <v>150</v>
      </c>
      <c r="E867" t="n">
        <v>0</v>
      </c>
      <c r="F867" t="n">
        <v>150</v>
      </c>
      <c r="G867" t="n">
        <v>150</v>
      </c>
    </row>
    <row r="868">
      <c r="A868" t="inlineStr">
        <is>
          <t>202615</t>
        </is>
      </c>
      <c r="B868" t="inlineStr">
        <is>
          <t>Andere</t>
        </is>
      </c>
      <c r="C868" t="inlineStr">
        <is>
          <t>P-04-08-2</t>
        </is>
      </c>
      <c r="D868" t="n">
        <v>73</v>
      </c>
      <c r="E868" t="n">
        <v>0</v>
      </c>
      <c r="F868" t="n">
        <v>73</v>
      </c>
      <c r="G868" t="n">
        <v>73</v>
      </c>
    </row>
    <row r="869">
      <c r="A869" t="inlineStr">
        <is>
          <t>202615</t>
        </is>
      </c>
      <c r="B869" t="inlineStr">
        <is>
          <t>Andere</t>
        </is>
      </c>
      <c r="C869" t="inlineStr">
        <is>
          <t>FAALIZADEHA</t>
        </is>
      </c>
      <c r="D869" t="n">
        <v>70</v>
      </c>
      <c r="E869" t="n">
        <v>0</v>
      </c>
      <c r="F869" t="n">
        <v>70</v>
      </c>
      <c r="G869" t="n">
        <v>70</v>
      </c>
    </row>
    <row r="870">
      <c r="A870" t="inlineStr">
        <is>
          <t>202615</t>
        </is>
      </c>
      <c r="B870" t="inlineStr">
        <is>
          <t>Andere</t>
        </is>
      </c>
      <c r="C870" t="inlineStr">
        <is>
          <t>PH-02-20</t>
        </is>
      </c>
      <c r="D870" t="n">
        <v>0</v>
      </c>
      <c r="E870" t="n">
        <v>48</v>
      </c>
      <c r="F870" t="n">
        <v>-48</v>
      </c>
      <c r="G870" t="n">
        <v>-48</v>
      </c>
    </row>
    <row r="871">
      <c r="A871" t="inlineStr">
        <is>
          <t>202615</t>
        </is>
      </c>
      <c r="B871" t="inlineStr">
        <is>
          <t>Andere</t>
        </is>
      </c>
      <c r="C871" t="inlineStr">
        <is>
          <t>FADKLOMP</t>
        </is>
      </c>
      <c r="D871" t="n">
        <v>16</v>
      </c>
      <c r="E871" t="n">
        <v>0</v>
      </c>
      <c r="F871" t="n">
        <v>16</v>
      </c>
      <c r="G871" t="n">
        <v>16</v>
      </c>
    </row>
    <row r="872">
      <c r="A872" t="inlineStr">
        <is>
          <t>202615</t>
        </is>
      </c>
      <c r="B872" t="inlineStr">
        <is>
          <t>Andere</t>
        </is>
      </c>
      <c r="C872" t="inlineStr">
        <is>
          <t>GC-02-09-1</t>
        </is>
      </c>
      <c r="D872" t="n">
        <v>16</v>
      </c>
      <c r="E872" t="n">
        <v>0</v>
      </c>
      <c r="F872" t="n">
        <v>16</v>
      </c>
      <c r="G872" t="n">
        <v>16</v>
      </c>
    </row>
    <row r="873">
      <c r="A873" t="inlineStr">
        <is>
          <t>202615</t>
        </is>
      </c>
      <c r="B873" t="inlineStr">
        <is>
          <t>Andere</t>
        </is>
      </c>
      <c r="C873" t="inlineStr">
        <is>
          <t>FZ-01-18-2</t>
        </is>
      </c>
      <c r="D873" t="n">
        <v>14</v>
      </c>
      <c r="E873" t="n">
        <v>0</v>
      </c>
      <c r="F873" t="n">
        <v>14</v>
      </c>
      <c r="G873" t="n">
        <v>14</v>
      </c>
    </row>
    <row r="874">
      <c r="A874" t="inlineStr">
        <is>
          <t>202615</t>
        </is>
      </c>
      <c r="B874" t="inlineStr">
        <is>
          <t>Andere</t>
        </is>
      </c>
      <c r="C874" t="inlineStr">
        <is>
          <t>PH-02-19</t>
        </is>
      </c>
      <c r="D874" t="n">
        <v>0</v>
      </c>
      <c r="E874" t="n">
        <v>6</v>
      </c>
      <c r="F874" t="n">
        <v>-6</v>
      </c>
      <c r="G874" t="n">
        <v>-6</v>
      </c>
    </row>
    <row r="875">
      <c r="A875" t="inlineStr">
        <is>
          <t>202615</t>
        </is>
      </c>
      <c r="B875" t="inlineStr">
        <is>
          <t>Andere</t>
        </is>
      </c>
      <c r="C875" t="inlineStr">
        <is>
          <t>P-04-10-2</t>
        </is>
      </c>
      <c r="D875" t="n">
        <v>5</v>
      </c>
      <c r="E875" t="n">
        <v>0</v>
      </c>
      <c r="F875" t="n">
        <v>5</v>
      </c>
      <c r="G875" t="n">
        <v>5</v>
      </c>
    </row>
    <row r="876">
      <c r="A876" t="inlineStr">
        <is>
          <t>202615</t>
        </is>
      </c>
      <c r="B876" t="inlineStr">
        <is>
          <t>Andere</t>
        </is>
      </c>
      <c r="C876" t="inlineStr">
        <is>
          <t>ADJ LOC</t>
        </is>
      </c>
      <c r="D876" t="n">
        <v>2</v>
      </c>
      <c r="E876" t="n">
        <v>0</v>
      </c>
      <c r="F876" t="n">
        <v>2</v>
      </c>
      <c r="G876" t="n">
        <v>2</v>
      </c>
    </row>
    <row r="877">
      <c r="A877" t="inlineStr">
        <is>
          <t>202615</t>
        </is>
      </c>
      <c r="B877" t="inlineStr">
        <is>
          <t>Andere</t>
        </is>
      </c>
      <c r="C877" t="inlineStr">
        <is>
          <t>D-06-01-2</t>
        </is>
      </c>
      <c r="D877" t="n">
        <v>1</v>
      </c>
      <c r="E877" t="n">
        <v>0</v>
      </c>
      <c r="F877" t="n">
        <v>1</v>
      </c>
      <c r="G877" t="n">
        <v>1</v>
      </c>
    </row>
    <row r="878">
      <c r="A878" t="inlineStr">
        <is>
          <t>202615</t>
        </is>
      </c>
      <c r="B878" t="inlineStr">
        <is>
          <t>Andere</t>
        </is>
      </c>
      <c r="C878" t="inlineStr">
        <is>
          <t>A-01-01-1</t>
        </is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202615</t>
        </is>
      </c>
      <c r="B879" t="inlineStr">
        <is>
          <t>Andere</t>
        </is>
      </c>
      <c r="C879" t="inlineStr">
        <is>
          <t>A-01-04-4</t>
        </is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202615</t>
        </is>
      </c>
      <c r="B880" t="inlineStr">
        <is>
          <t>Andere</t>
        </is>
      </c>
      <c r="C880" t="inlineStr">
        <is>
          <t>A-02-50-1</t>
        </is>
      </c>
      <c r="D880" t="n">
        <v>280</v>
      </c>
      <c r="E880" t="n">
        <v>280</v>
      </c>
      <c r="F880" t="n">
        <v>0</v>
      </c>
      <c r="G880" t="n">
        <v>0</v>
      </c>
    </row>
    <row r="881">
      <c r="A881" t="inlineStr">
        <is>
          <t>202615</t>
        </is>
      </c>
      <c r="B881" t="inlineStr">
        <is>
          <t>Andere</t>
        </is>
      </c>
      <c r="C881" t="inlineStr">
        <is>
          <t>A-02-68-1</t>
        </is>
      </c>
      <c r="D881" t="n">
        <v>352</v>
      </c>
      <c r="E881" t="n">
        <v>352</v>
      </c>
      <c r="F881" t="n">
        <v>0</v>
      </c>
      <c r="G881" t="n">
        <v>0</v>
      </c>
    </row>
    <row r="882">
      <c r="A882" t="inlineStr">
        <is>
          <t>202615</t>
        </is>
      </c>
      <c r="B882" t="inlineStr">
        <is>
          <t>Andere</t>
        </is>
      </c>
      <c r="C882" t="inlineStr">
        <is>
          <t>FZ-01-04-1</t>
        </is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202615</t>
        </is>
      </c>
      <c r="B883" t="inlineStr">
        <is>
          <t>Andere</t>
        </is>
      </c>
      <c r="C883" t="inlineStr">
        <is>
          <t>FZ-01-05-1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202615</t>
        </is>
      </c>
      <c r="B884" t="inlineStr">
        <is>
          <t>Andere</t>
        </is>
      </c>
      <c r="C884" t="inlineStr">
        <is>
          <t>FZ-01-06-1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202615</t>
        </is>
      </c>
      <c r="B885" t="inlineStr">
        <is>
          <t>Andere</t>
        </is>
      </c>
      <c r="C885" t="inlineStr">
        <is>
          <t>FZ-01-07-1</t>
        </is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202615</t>
        </is>
      </c>
      <c r="B886" t="inlineStr">
        <is>
          <t>Andere</t>
        </is>
      </c>
      <c r="C886" t="inlineStr">
        <is>
          <t>FZ-01-17-2</t>
        </is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202615</t>
        </is>
      </c>
      <c r="B887" t="inlineStr">
        <is>
          <t>Andere</t>
        </is>
      </c>
      <c r="C887" t="inlineStr">
        <is>
          <t>FZ-01-19-2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202615</t>
        </is>
      </c>
      <c r="B888" t="inlineStr">
        <is>
          <t>Andere</t>
        </is>
      </c>
      <c r="C888" t="inlineStr">
        <is>
          <t>FZ-01-27-2</t>
        </is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202615</t>
        </is>
      </c>
      <c r="B889" t="inlineStr">
        <is>
          <t>Andere</t>
        </is>
      </c>
      <c r="C889" t="inlineStr">
        <is>
          <t>FZ-01-28-2</t>
        </is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202615</t>
        </is>
      </c>
      <c r="B890" t="inlineStr">
        <is>
          <t>Andere</t>
        </is>
      </c>
      <c r="C890" t="inlineStr">
        <is>
          <t>FZ-01-32-2</t>
        </is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202615</t>
        </is>
      </c>
      <c r="B891" t="inlineStr">
        <is>
          <t>Andere</t>
        </is>
      </c>
      <c r="C891" t="inlineStr">
        <is>
          <t>FZ-02-02-2</t>
        </is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202615</t>
        </is>
      </c>
      <c r="B892" t="inlineStr">
        <is>
          <t>Andere</t>
        </is>
      </c>
      <c r="C892" t="inlineStr">
        <is>
          <t>FZ-02-03-2</t>
        </is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202615</t>
        </is>
      </c>
      <c r="B893" t="inlineStr">
        <is>
          <t>Andere</t>
        </is>
      </c>
      <c r="C893" t="inlineStr">
        <is>
          <t>GC-02-08-2</t>
        </is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202615</t>
        </is>
      </c>
      <c r="B894" t="inlineStr">
        <is>
          <t>Fulfillment</t>
        </is>
      </c>
      <c r="C894" t="inlineStr">
        <is>
          <t>FABURAUK</t>
        </is>
      </c>
      <c r="D894" t="n">
        <v>4</v>
      </c>
      <c r="E894" t="n">
        <v>0</v>
      </c>
      <c r="F894" t="n">
        <v>4</v>
      </c>
      <c r="G894" t="n">
        <v>4</v>
      </c>
    </row>
    <row r="895">
      <c r="A895" t="inlineStr">
        <is>
          <t>202615</t>
        </is>
      </c>
      <c r="B895" t="inlineStr">
        <is>
          <t>Lager</t>
        </is>
      </c>
      <c r="C895" t="inlineStr">
        <is>
          <t>STGDR-85</t>
        </is>
      </c>
      <c r="D895" t="n">
        <v>419818</v>
      </c>
      <c r="E895" t="n">
        <v>0</v>
      </c>
      <c r="F895" t="n">
        <v>419818</v>
      </c>
      <c r="G895" t="n">
        <v>419818</v>
      </c>
    </row>
    <row r="896">
      <c r="A896" t="inlineStr">
        <is>
          <t>202615</t>
        </is>
      </c>
      <c r="B896" t="inlineStr">
        <is>
          <t>Lager</t>
        </is>
      </c>
      <c r="C896" t="inlineStr">
        <is>
          <t>STGDR-27</t>
        </is>
      </c>
      <c r="D896" t="n">
        <v>45328</v>
      </c>
      <c r="E896" t="n">
        <v>0</v>
      </c>
      <c r="F896" t="n">
        <v>45328</v>
      </c>
      <c r="G896" t="n">
        <v>45328</v>
      </c>
    </row>
    <row r="897">
      <c r="A897" t="inlineStr">
        <is>
          <t>202615</t>
        </is>
      </c>
      <c r="B897" t="inlineStr">
        <is>
          <t>Lager</t>
        </is>
      </c>
      <c r="C897" t="inlineStr">
        <is>
          <t>STGDR-29</t>
        </is>
      </c>
      <c r="D897" t="n">
        <v>6620</v>
      </c>
      <c r="E897" t="n">
        <v>0</v>
      </c>
      <c r="F897" t="n">
        <v>6620</v>
      </c>
      <c r="G897" t="n">
        <v>6620</v>
      </c>
    </row>
    <row r="898">
      <c r="A898" t="inlineStr">
        <is>
          <t>202615</t>
        </is>
      </c>
      <c r="B898" t="inlineStr">
        <is>
          <t>Lager</t>
        </is>
      </c>
      <c r="C898" t="inlineStr">
        <is>
          <t>STGDR-28</t>
        </is>
      </c>
      <c r="D898" t="n">
        <v>520</v>
      </c>
      <c r="E898" t="n">
        <v>0</v>
      </c>
      <c r="F898" t="n">
        <v>520</v>
      </c>
      <c r="G898" t="n">
        <v>520</v>
      </c>
    </row>
    <row r="899">
      <c r="A899" t="inlineStr">
        <is>
          <t>202615</t>
        </is>
      </c>
      <c r="B899" t="inlineStr">
        <is>
          <t>Lager</t>
        </is>
      </c>
      <c r="C899" t="inlineStr">
        <is>
          <t>SPERRLAGER P</t>
        </is>
      </c>
      <c r="D899" t="n">
        <v>192</v>
      </c>
      <c r="E899" t="n">
        <v>176</v>
      </c>
      <c r="F899" t="n">
        <v>16</v>
      </c>
      <c r="G899" t="n">
        <v>16</v>
      </c>
    </row>
    <row r="900">
      <c r="A900" t="inlineStr">
        <is>
          <t>202615</t>
        </is>
      </c>
      <c r="B900" t="inlineStr">
        <is>
          <t>Prep/Plating</t>
        </is>
      </c>
      <c r="C900" t="inlineStr">
        <is>
          <t>SLEEVING</t>
        </is>
      </c>
      <c r="D900" t="n">
        <v>20336</v>
      </c>
      <c r="E900" t="n">
        <v>0</v>
      </c>
      <c r="F900" t="n">
        <v>20336</v>
      </c>
      <c r="G900" t="n">
        <v>20336</v>
      </c>
    </row>
    <row r="901">
      <c r="A901" t="inlineStr">
        <is>
          <t>202616</t>
        </is>
      </c>
      <c r="B901" t="inlineStr">
        <is>
          <t>Andere</t>
        </is>
      </c>
      <c r="C901" t="inlineStr">
        <is>
          <t>UNBEKANNT</t>
        </is>
      </c>
      <c r="D901" t="n">
        <v>40492.93</v>
      </c>
      <c r="E901" t="n">
        <v>0</v>
      </c>
      <c r="F901" t="n">
        <v>40492.93</v>
      </c>
      <c r="G901" t="n">
        <v>40492.93</v>
      </c>
    </row>
    <row r="902">
      <c r="A902" t="inlineStr">
        <is>
          <t>202616</t>
        </is>
      </c>
      <c r="B902" t="inlineStr">
        <is>
          <t>Andere</t>
        </is>
      </c>
      <c r="C902" t="inlineStr">
        <is>
          <t>FAGROTHEERF</t>
        </is>
      </c>
      <c r="D902" t="n">
        <v>15027.49</v>
      </c>
      <c r="E902" t="n">
        <v>0</v>
      </c>
      <c r="F902" t="n">
        <v>15027.49</v>
      </c>
      <c r="G902" t="n">
        <v>15027.49</v>
      </c>
    </row>
    <row r="903">
      <c r="A903" t="inlineStr">
        <is>
          <t>202616</t>
        </is>
      </c>
      <c r="B903" t="inlineStr">
        <is>
          <t>Andere</t>
        </is>
      </c>
      <c r="C903" t="inlineStr">
        <is>
          <t>D-01-01-1</t>
        </is>
      </c>
      <c r="D903" t="n">
        <v>13128.18</v>
      </c>
      <c r="E903" t="n">
        <v>0</v>
      </c>
      <c r="F903" t="n">
        <v>13128.18</v>
      </c>
      <c r="G903" t="n">
        <v>13128.18</v>
      </c>
    </row>
    <row r="904">
      <c r="A904" t="inlineStr">
        <is>
          <t>202616</t>
        </is>
      </c>
      <c r="B904" t="inlineStr">
        <is>
          <t>Andere</t>
        </is>
      </c>
      <c r="C904" t="inlineStr">
        <is>
          <t>ADJ LOC</t>
        </is>
      </c>
      <c r="D904" t="n">
        <v>12932.92</v>
      </c>
      <c r="E904" t="n">
        <v>0</v>
      </c>
      <c r="F904" t="n">
        <v>12932.92</v>
      </c>
      <c r="G904" t="n">
        <v>12932.92</v>
      </c>
    </row>
    <row r="905">
      <c r="A905" t="inlineStr">
        <is>
          <t>202616</t>
        </is>
      </c>
      <c r="B905" t="inlineStr">
        <is>
          <t>Andere</t>
        </is>
      </c>
      <c r="C905" t="inlineStr">
        <is>
          <t>FAHANSENMA</t>
        </is>
      </c>
      <c r="D905" t="n">
        <v>8518</v>
      </c>
      <c r="E905" t="n">
        <v>0</v>
      </c>
      <c r="F905" t="n">
        <v>8518</v>
      </c>
      <c r="G905" t="n">
        <v>8518</v>
      </c>
    </row>
    <row r="906">
      <c r="A906" t="inlineStr">
        <is>
          <t>202616</t>
        </is>
      </c>
      <c r="B906" t="inlineStr">
        <is>
          <t>Andere</t>
        </is>
      </c>
      <c r="C906" t="inlineStr">
        <is>
          <t>FAALIZADEHA</t>
        </is>
      </c>
      <c r="D906" t="n">
        <v>8436</v>
      </c>
      <c r="E906" t="n">
        <v>0</v>
      </c>
      <c r="F906" t="n">
        <v>8436</v>
      </c>
      <c r="G906" t="n">
        <v>8436</v>
      </c>
    </row>
    <row r="907">
      <c r="A907" t="inlineStr">
        <is>
          <t>202616</t>
        </is>
      </c>
      <c r="B907" t="inlineStr">
        <is>
          <t>Andere</t>
        </is>
      </c>
      <c r="C907" t="inlineStr">
        <is>
          <t>FALEHMANNM</t>
        </is>
      </c>
      <c r="D907" t="n">
        <v>7612</v>
      </c>
      <c r="E907" t="n">
        <v>0</v>
      </c>
      <c r="F907" t="n">
        <v>7612</v>
      </c>
      <c r="G907" t="n">
        <v>7612</v>
      </c>
    </row>
    <row r="908">
      <c r="A908" t="inlineStr">
        <is>
          <t>202616</t>
        </is>
      </c>
      <c r="B908" t="inlineStr">
        <is>
          <t>Andere</t>
        </is>
      </c>
      <c r="C908" t="inlineStr">
        <is>
          <t>P-04-05-1</t>
        </is>
      </c>
      <c r="D908" t="n">
        <v>12641.1</v>
      </c>
      <c r="E908" t="n">
        <v>6296.7</v>
      </c>
      <c r="F908" t="n">
        <v>6344.4</v>
      </c>
      <c r="G908" t="n">
        <v>6344.4</v>
      </c>
    </row>
    <row r="909">
      <c r="A909" t="inlineStr">
        <is>
          <t>202616</t>
        </is>
      </c>
      <c r="B909" t="inlineStr">
        <is>
          <t>Andere</t>
        </is>
      </c>
      <c r="C909" t="inlineStr">
        <is>
          <t>FZ-01-17-1</t>
        </is>
      </c>
      <c r="D909" t="n">
        <v>12475</v>
      </c>
      <c r="E909" t="n">
        <v>6225</v>
      </c>
      <c r="F909" t="n">
        <v>6250</v>
      </c>
      <c r="G909" t="n">
        <v>6250</v>
      </c>
    </row>
    <row r="910">
      <c r="A910" t="inlineStr">
        <is>
          <t>202616</t>
        </is>
      </c>
      <c r="B910" t="inlineStr">
        <is>
          <t>Andere</t>
        </is>
      </c>
      <c r="C910" t="inlineStr">
        <is>
          <t>LOST</t>
        </is>
      </c>
      <c r="D910" t="n">
        <v>6296.7</v>
      </c>
      <c r="E910" t="n">
        <v>400</v>
      </c>
      <c r="F910" t="n">
        <v>5896.7</v>
      </c>
      <c r="G910" t="n">
        <v>5896.7</v>
      </c>
    </row>
    <row r="911">
      <c r="A911" t="inlineStr">
        <is>
          <t>202616</t>
        </is>
      </c>
      <c r="B911" t="inlineStr">
        <is>
          <t>Andere</t>
        </is>
      </c>
      <c r="C911" t="inlineStr">
        <is>
          <t>FAMULLERT</t>
        </is>
      </c>
      <c r="D911" t="n">
        <v>5507</v>
      </c>
      <c r="E911" t="n">
        <v>0</v>
      </c>
      <c r="F911" t="n">
        <v>5507</v>
      </c>
      <c r="G911" t="n">
        <v>5507</v>
      </c>
    </row>
    <row r="912">
      <c r="A912" t="inlineStr">
        <is>
          <t>202616</t>
        </is>
      </c>
      <c r="B912" t="inlineStr">
        <is>
          <t>Andere</t>
        </is>
      </c>
      <c r="C912" t="inlineStr">
        <is>
          <t>FASCHRADERS</t>
        </is>
      </c>
      <c r="D912" t="n">
        <v>4836</v>
      </c>
      <c r="E912" t="n">
        <v>0</v>
      </c>
      <c r="F912" t="n">
        <v>4836</v>
      </c>
      <c r="G912" t="n">
        <v>4836</v>
      </c>
    </row>
    <row r="913">
      <c r="A913" t="inlineStr">
        <is>
          <t>202616</t>
        </is>
      </c>
      <c r="B913" t="inlineStr">
        <is>
          <t>Andere</t>
        </is>
      </c>
      <c r="C913" t="inlineStr">
        <is>
          <t>PROD RTN</t>
        </is>
      </c>
      <c r="D913" t="n">
        <v>3805</v>
      </c>
      <c r="E913" t="n">
        <v>0</v>
      </c>
      <c r="F913" t="n">
        <v>3805</v>
      </c>
      <c r="G913" t="n">
        <v>3805</v>
      </c>
    </row>
    <row r="914">
      <c r="A914" t="inlineStr">
        <is>
          <t>202616</t>
        </is>
      </c>
      <c r="B914" t="inlineStr">
        <is>
          <t>Andere</t>
        </is>
      </c>
      <c r="C914" t="inlineStr">
        <is>
          <t>PRODUCTION</t>
        </is>
      </c>
      <c r="D914" t="n">
        <v>2832</v>
      </c>
      <c r="E914" t="n">
        <v>0</v>
      </c>
      <c r="F914" t="n">
        <v>2832</v>
      </c>
      <c r="G914" t="n">
        <v>2832</v>
      </c>
    </row>
    <row r="915">
      <c r="A915" t="inlineStr">
        <is>
          <t>202616</t>
        </is>
      </c>
      <c r="B915" t="inlineStr">
        <is>
          <t>Andere</t>
        </is>
      </c>
      <c r="C915" t="inlineStr">
        <is>
          <t>FASADEKM</t>
        </is>
      </c>
      <c r="D915" t="n">
        <v>1860</v>
      </c>
      <c r="E915" t="n">
        <v>0</v>
      </c>
      <c r="F915" t="n">
        <v>1860</v>
      </c>
      <c r="G915" t="n">
        <v>1860</v>
      </c>
    </row>
    <row r="916">
      <c r="A916" t="inlineStr">
        <is>
          <t>202616</t>
        </is>
      </c>
      <c r="B916" t="inlineStr">
        <is>
          <t>Andere</t>
        </is>
      </c>
      <c r="C916" t="inlineStr">
        <is>
          <t>FAWIEGHOLDD</t>
        </is>
      </c>
      <c r="D916" t="n">
        <v>987</v>
      </c>
      <c r="E916" t="n">
        <v>0</v>
      </c>
      <c r="F916" t="n">
        <v>987</v>
      </c>
      <c r="G916" t="n">
        <v>987</v>
      </c>
    </row>
    <row r="917">
      <c r="A917" t="inlineStr">
        <is>
          <t>202616</t>
        </is>
      </c>
      <c r="B917" t="inlineStr">
        <is>
          <t>Andere</t>
        </is>
      </c>
      <c r="C917" t="inlineStr">
        <is>
          <t>D-06-33-1</t>
        </is>
      </c>
      <c r="D917" t="n">
        <v>742.5</v>
      </c>
      <c r="E917" t="n">
        <v>0</v>
      </c>
      <c r="F917" t="n">
        <v>742.5</v>
      </c>
      <c r="G917" t="n">
        <v>742.5</v>
      </c>
    </row>
    <row r="918">
      <c r="A918" t="inlineStr">
        <is>
          <t>202616</t>
        </is>
      </c>
      <c r="B918" t="inlineStr">
        <is>
          <t>Andere</t>
        </is>
      </c>
      <c r="C918" t="inlineStr">
        <is>
          <t>GC-02-12-1</t>
        </is>
      </c>
      <c r="D918" t="n">
        <v>1000</v>
      </c>
      <c r="E918" t="n">
        <v>400</v>
      </c>
      <c r="F918" t="n">
        <v>600</v>
      </c>
      <c r="G918" t="n">
        <v>600</v>
      </c>
    </row>
    <row r="919">
      <c r="A919" t="inlineStr">
        <is>
          <t>202616</t>
        </is>
      </c>
      <c r="B919" t="inlineStr">
        <is>
          <t>Andere</t>
        </is>
      </c>
      <c r="C919" t="inlineStr">
        <is>
          <t>GC-02-18-1</t>
        </is>
      </c>
      <c r="D919" t="n">
        <v>600</v>
      </c>
      <c r="E919" t="n">
        <v>35</v>
      </c>
      <c r="F919" t="n">
        <v>565</v>
      </c>
      <c r="G919" t="n">
        <v>565</v>
      </c>
    </row>
    <row r="920">
      <c r="A920" t="inlineStr">
        <is>
          <t>202616</t>
        </is>
      </c>
      <c r="B920" t="inlineStr">
        <is>
          <t>Andere</t>
        </is>
      </c>
      <c r="C920" t="inlineStr">
        <is>
          <t>GC-02-13-1</t>
        </is>
      </c>
      <c r="D920" t="n">
        <v>560</v>
      </c>
      <c r="E920" t="n">
        <v>0</v>
      </c>
      <c r="F920" t="n">
        <v>560</v>
      </c>
      <c r="G920" t="n">
        <v>560</v>
      </c>
    </row>
    <row r="921">
      <c r="A921" t="inlineStr">
        <is>
          <t>202616</t>
        </is>
      </c>
      <c r="B921" t="inlineStr">
        <is>
          <t>Andere</t>
        </is>
      </c>
      <c r="C921" t="inlineStr">
        <is>
          <t>GC-02-14-1</t>
        </is>
      </c>
      <c r="D921" t="n">
        <v>560</v>
      </c>
      <c r="E921" t="n">
        <v>0</v>
      </c>
      <c r="F921" t="n">
        <v>560</v>
      </c>
      <c r="G921" t="n">
        <v>560</v>
      </c>
    </row>
    <row r="922">
      <c r="A922" t="inlineStr">
        <is>
          <t>202616</t>
        </is>
      </c>
      <c r="B922" t="inlineStr">
        <is>
          <t>Andere</t>
        </is>
      </c>
      <c r="C922" t="inlineStr">
        <is>
          <t>GC-02-15-1</t>
        </is>
      </c>
      <c r="D922" t="n">
        <v>560</v>
      </c>
      <c r="E922" t="n">
        <v>0</v>
      </c>
      <c r="F922" t="n">
        <v>560</v>
      </c>
      <c r="G922" t="n">
        <v>560</v>
      </c>
    </row>
    <row r="923">
      <c r="A923" t="inlineStr">
        <is>
          <t>202616</t>
        </is>
      </c>
      <c r="B923" t="inlineStr">
        <is>
          <t>Andere</t>
        </is>
      </c>
      <c r="C923" t="inlineStr">
        <is>
          <t>GC-02-10-2</t>
        </is>
      </c>
      <c r="D923" t="n">
        <v>420</v>
      </c>
      <c r="E923" t="n">
        <v>0</v>
      </c>
      <c r="F923" t="n">
        <v>420</v>
      </c>
      <c r="G923" t="n">
        <v>420</v>
      </c>
    </row>
    <row r="924">
      <c r="A924" t="inlineStr">
        <is>
          <t>202616</t>
        </is>
      </c>
      <c r="B924" t="inlineStr">
        <is>
          <t>Andere</t>
        </is>
      </c>
      <c r="C924" t="inlineStr">
        <is>
          <t>A-02-47-1</t>
        </is>
      </c>
      <c r="D924" t="n">
        <v>400</v>
      </c>
      <c r="E924" t="n">
        <v>0</v>
      </c>
      <c r="F924" t="n">
        <v>400</v>
      </c>
      <c r="G924" t="n">
        <v>400</v>
      </c>
    </row>
    <row r="925">
      <c r="A925" t="inlineStr">
        <is>
          <t>202616</t>
        </is>
      </c>
      <c r="B925" t="inlineStr">
        <is>
          <t>Andere</t>
        </is>
      </c>
      <c r="C925" t="inlineStr">
        <is>
          <t>GC-02-19-1</t>
        </is>
      </c>
      <c r="D925" t="n">
        <v>400</v>
      </c>
      <c r="E925" t="n">
        <v>10</v>
      </c>
      <c r="F925" t="n">
        <v>390</v>
      </c>
      <c r="G925" t="n">
        <v>390</v>
      </c>
    </row>
    <row r="926">
      <c r="A926" t="inlineStr">
        <is>
          <t>202616</t>
        </is>
      </c>
      <c r="B926" t="inlineStr">
        <is>
          <t>Andere</t>
        </is>
      </c>
      <c r="C926" t="inlineStr">
        <is>
          <t>A-02-69-2</t>
        </is>
      </c>
      <c r="D926" t="n">
        <v>372</v>
      </c>
      <c r="E926" t="n">
        <v>0</v>
      </c>
      <c r="F926" t="n">
        <v>372</v>
      </c>
      <c r="G926" t="n">
        <v>372</v>
      </c>
    </row>
    <row r="927">
      <c r="A927" t="inlineStr">
        <is>
          <t>202616</t>
        </is>
      </c>
      <c r="B927" t="inlineStr">
        <is>
          <t>Andere</t>
        </is>
      </c>
      <c r="C927" t="inlineStr">
        <is>
          <t>A-02-70-1</t>
        </is>
      </c>
      <c r="D927" t="n">
        <v>372</v>
      </c>
      <c r="E927" t="n">
        <v>0</v>
      </c>
      <c r="F927" t="n">
        <v>372</v>
      </c>
      <c r="G927" t="n">
        <v>372</v>
      </c>
    </row>
    <row r="928">
      <c r="A928" t="inlineStr">
        <is>
          <t>202616</t>
        </is>
      </c>
      <c r="B928" t="inlineStr">
        <is>
          <t>Andere</t>
        </is>
      </c>
      <c r="C928" t="inlineStr">
        <is>
          <t>A-02-71-1</t>
        </is>
      </c>
      <c r="D928" t="n">
        <v>372</v>
      </c>
      <c r="E928" t="n">
        <v>0</v>
      </c>
      <c r="F928" t="n">
        <v>372</v>
      </c>
      <c r="G928" t="n">
        <v>372</v>
      </c>
    </row>
    <row r="929">
      <c r="A929" t="inlineStr">
        <is>
          <t>202616</t>
        </is>
      </c>
      <c r="B929" t="inlineStr">
        <is>
          <t>Andere</t>
        </is>
      </c>
      <c r="C929" t="inlineStr">
        <is>
          <t>A-02-73-1</t>
        </is>
      </c>
      <c r="D929" t="n">
        <v>372</v>
      </c>
      <c r="E929" t="n">
        <v>0</v>
      </c>
      <c r="F929" t="n">
        <v>372</v>
      </c>
      <c r="G929" t="n">
        <v>372</v>
      </c>
    </row>
    <row r="930">
      <c r="A930" t="inlineStr">
        <is>
          <t>202616</t>
        </is>
      </c>
      <c r="B930" t="inlineStr">
        <is>
          <t>Andere</t>
        </is>
      </c>
      <c r="C930" t="inlineStr">
        <is>
          <t>A-02-74-1</t>
        </is>
      </c>
      <c r="D930" t="n">
        <v>372</v>
      </c>
      <c r="E930" t="n">
        <v>0</v>
      </c>
      <c r="F930" t="n">
        <v>372</v>
      </c>
      <c r="G930" t="n">
        <v>372</v>
      </c>
    </row>
    <row r="931">
      <c r="A931" t="inlineStr">
        <is>
          <t>202616</t>
        </is>
      </c>
      <c r="B931" t="inlineStr">
        <is>
          <t>Andere</t>
        </is>
      </c>
      <c r="C931" t="inlineStr">
        <is>
          <t>A-02-75-1</t>
        </is>
      </c>
      <c r="D931" t="n">
        <v>372</v>
      </c>
      <c r="E931" t="n">
        <v>0</v>
      </c>
      <c r="F931" t="n">
        <v>372</v>
      </c>
      <c r="G931" t="n">
        <v>372</v>
      </c>
    </row>
    <row r="932">
      <c r="A932" t="inlineStr">
        <is>
          <t>202616</t>
        </is>
      </c>
      <c r="B932" t="inlineStr">
        <is>
          <t>Andere</t>
        </is>
      </c>
      <c r="C932" t="inlineStr">
        <is>
          <t>A-02-76-1</t>
        </is>
      </c>
      <c r="D932" t="n">
        <v>372</v>
      </c>
      <c r="E932" t="n">
        <v>0</v>
      </c>
      <c r="F932" t="n">
        <v>372</v>
      </c>
      <c r="G932" t="n">
        <v>372</v>
      </c>
    </row>
    <row r="933">
      <c r="A933" t="inlineStr">
        <is>
          <t>202616</t>
        </is>
      </c>
      <c r="B933" t="inlineStr">
        <is>
          <t>Andere</t>
        </is>
      </c>
      <c r="C933" t="inlineStr">
        <is>
          <t>A-02-77-1</t>
        </is>
      </c>
      <c r="D933" t="n">
        <v>372</v>
      </c>
      <c r="E933" t="n">
        <v>0</v>
      </c>
      <c r="F933" t="n">
        <v>372</v>
      </c>
      <c r="G933" t="n">
        <v>372</v>
      </c>
    </row>
    <row r="934">
      <c r="A934" t="inlineStr">
        <is>
          <t>202616</t>
        </is>
      </c>
      <c r="B934" t="inlineStr">
        <is>
          <t>Andere</t>
        </is>
      </c>
      <c r="C934" t="inlineStr">
        <is>
          <t>A-02-78-1</t>
        </is>
      </c>
      <c r="D934" t="n">
        <v>372</v>
      </c>
      <c r="E934" t="n">
        <v>0</v>
      </c>
      <c r="F934" t="n">
        <v>372</v>
      </c>
      <c r="G934" t="n">
        <v>372</v>
      </c>
    </row>
    <row r="935">
      <c r="A935" t="inlineStr">
        <is>
          <t>202616</t>
        </is>
      </c>
      <c r="B935" t="inlineStr">
        <is>
          <t>Andere</t>
        </is>
      </c>
      <c r="C935" t="inlineStr">
        <is>
          <t>A-02-79-1</t>
        </is>
      </c>
      <c r="D935" t="n">
        <v>372</v>
      </c>
      <c r="E935" t="n">
        <v>0</v>
      </c>
      <c r="F935" t="n">
        <v>372</v>
      </c>
      <c r="G935" t="n">
        <v>372</v>
      </c>
    </row>
    <row r="936">
      <c r="A936" t="inlineStr">
        <is>
          <t>202616</t>
        </is>
      </c>
      <c r="B936" t="inlineStr">
        <is>
          <t>Andere</t>
        </is>
      </c>
      <c r="C936" t="inlineStr">
        <is>
          <t>A-02-80-1</t>
        </is>
      </c>
      <c r="D936" t="n">
        <v>372</v>
      </c>
      <c r="E936" t="n">
        <v>0</v>
      </c>
      <c r="F936" t="n">
        <v>372</v>
      </c>
      <c r="G936" t="n">
        <v>372</v>
      </c>
    </row>
    <row r="937">
      <c r="A937" t="inlineStr">
        <is>
          <t>202616</t>
        </is>
      </c>
      <c r="B937" t="inlineStr">
        <is>
          <t>Andere</t>
        </is>
      </c>
      <c r="C937" t="inlineStr">
        <is>
          <t>A-02-81-1</t>
        </is>
      </c>
      <c r="D937" t="n">
        <v>372</v>
      </c>
      <c r="E937" t="n">
        <v>0</v>
      </c>
      <c r="F937" t="n">
        <v>372</v>
      </c>
      <c r="G937" t="n">
        <v>372</v>
      </c>
    </row>
    <row r="938">
      <c r="A938" t="inlineStr">
        <is>
          <t>202616</t>
        </is>
      </c>
      <c r="B938" t="inlineStr">
        <is>
          <t>Andere</t>
        </is>
      </c>
      <c r="C938" t="inlineStr">
        <is>
          <t>A-02-82-1</t>
        </is>
      </c>
      <c r="D938" t="n">
        <v>372</v>
      </c>
      <c r="E938" t="n">
        <v>0</v>
      </c>
      <c r="F938" t="n">
        <v>372</v>
      </c>
      <c r="G938" t="n">
        <v>372</v>
      </c>
    </row>
    <row r="939">
      <c r="A939" t="inlineStr">
        <is>
          <t>202616</t>
        </is>
      </c>
      <c r="B939" t="inlineStr">
        <is>
          <t>Andere</t>
        </is>
      </c>
      <c r="C939" t="inlineStr">
        <is>
          <t>A-02-83-1</t>
        </is>
      </c>
      <c r="D939" t="n">
        <v>372</v>
      </c>
      <c r="E939" t="n">
        <v>0</v>
      </c>
      <c r="F939" t="n">
        <v>372</v>
      </c>
      <c r="G939" t="n">
        <v>372</v>
      </c>
    </row>
    <row r="940">
      <c r="A940" t="inlineStr">
        <is>
          <t>202616</t>
        </is>
      </c>
      <c r="B940" t="inlineStr">
        <is>
          <t>Andere</t>
        </is>
      </c>
      <c r="C940" t="inlineStr">
        <is>
          <t>A-02-84-1</t>
        </is>
      </c>
      <c r="D940" t="n">
        <v>372</v>
      </c>
      <c r="E940" t="n">
        <v>0</v>
      </c>
      <c r="F940" t="n">
        <v>372</v>
      </c>
      <c r="G940" t="n">
        <v>372</v>
      </c>
    </row>
    <row r="941">
      <c r="A941" t="inlineStr">
        <is>
          <t>202616</t>
        </is>
      </c>
      <c r="B941" t="inlineStr">
        <is>
          <t>Andere</t>
        </is>
      </c>
      <c r="C941" t="inlineStr">
        <is>
          <t>A-02-86-1</t>
        </is>
      </c>
      <c r="D941" t="n">
        <v>372</v>
      </c>
      <c r="E941" t="n">
        <v>0</v>
      </c>
      <c r="F941" t="n">
        <v>372</v>
      </c>
      <c r="G941" t="n">
        <v>372</v>
      </c>
    </row>
    <row r="942">
      <c r="A942" t="inlineStr">
        <is>
          <t>202616</t>
        </is>
      </c>
      <c r="B942" t="inlineStr">
        <is>
          <t>Andere</t>
        </is>
      </c>
      <c r="C942" t="inlineStr">
        <is>
          <t>A-02-90-1</t>
        </is>
      </c>
      <c r="D942" t="n">
        <v>372</v>
      </c>
      <c r="E942" t="n">
        <v>0</v>
      </c>
      <c r="F942" t="n">
        <v>372</v>
      </c>
      <c r="G942" t="n">
        <v>372</v>
      </c>
    </row>
    <row r="943">
      <c r="A943" t="inlineStr">
        <is>
          <t>202616</t>
        </is>
      </c>
      <c r="B943" t="inlineStr">
        <is>
          <t>Andere</t>
        </is>
      </c>
      <c r="C943" t="inlineStr">
        <is>
          <t>GC-02-16-1</t>
        </is>
      </c>
      <c r="D943" t="n">
        <v>370</v>
      </c>
      <c r="E943" t="n">
        <v>0</v>
      </c>
      <c r="F943" t="n">
        <v>370</v>
      </c>
      <c r="G943" t="n">
        <v>370</v>
      </c>
    </row>
    <row r="944">
      <c r="A944" t="inlineStr">
        <is>
          <t>202616</t>
        </is>
      </c>
      <c r="B944" t="inlineStr">
        <is>
          <t>Andere</t>
        </is>
      </c>
      <c r="C944" t="inlineStr">
        <is>
          <t>GC-02-10-1</t>
        </is>
      </c>
      <c r="D944" t="n">
        <v>330</v>
      </c>
      <c r="E944" t="n">
        <v>0</v>
      </c>
      <c r="F944" t="n">
        <v>330</v>
      </c>
      <c r="G944" t="n">
        <v>330</v>
      </c>
    </row>
    <row r="945">
      <c r="A945" t="inlineStr">
        <is>
          <t>202616</t>
        </is>
      </c>
      <c r="B945" t="inlineStr">
        <is>
          <t>Andere</t>
        </is>
      </c>
      <c r="C945" t="inlineStr">
        <is>
          <t>GC-02-17-2</t>
        </is>
      </c>
      <c r="D945" t="n">
        <v>315</v>
      </c>
      <c r="E945" t="n">
        <v>0</v>
      </c>
      <c r="F945" t="n">
        <v>315</v>
      </c>
      <c r="G945" t="n">
        <v>315</v>
      </c>
    </row>
    <row r="946">
      <c r="A946" t="inlineStr">
        <is>
          <t>202616</t>
        </is>
      </c>
      <c r="B946" t="inlineStr">
        <is>
          <t>Andere</t>
        </is>
      </c>
      <c r="C946" t="inlineStr">
        <is>
          <t>P-04-02-2</t>
        </is>
      </c>
      <c r="D946" t="n">
        <v>308</v>
      </c>
      <c r="E946" t="n">
        <v>0</v>
      </c>
      <c r="F946" t="n">
        <v>308</v>
      </c>
      <c r="G946" t="n">
        <v>308</v>
      </c>
    </row>
    <row r="947">
      <c r="A947" t="inlineStr">
        <is>
          <t>202616</t>
        </is>
      </c>
      <c r="B947" t="inlineStr">
        <is>
          <t>Andere</t>
        </is>
      </c>
      <c r="C947" t="inlineStr">
        <is>
          <t>GC-02-20-2</t>
        </is>
      </c>
      <c r="D947" t="n">
        <v>285.16</v>
      </c>
      <c r="E947" t="n">
        <v>0</v>
      </c>
      <c r="F947" t="n">
        <v>285.16</v>
      </c>
      <c r="G947" t="n">
        <v>285.16</v>
      </c>
    </row>
    <row r="948">
      <c r="A948" t="inlineStr">
        <is>
          <t>202616</t>
        </is>
      </c>
      <c r="B948" t="inlineStr">
        <is>
          <t>Andere</t>
        </is>
      </c>
      <c r="C948" t="inlineStr">
        <is>
          <t>GC-02-15-2</t>
        </is>
      </c>
      <c r="D948" t="n">
        <v>290</v>
      </c>
      <c r="E948" t="n">
        <v>15</v>
      </c>
      <c r="F948" t="n">
        <v>275</v>
      </c>
      <c r="G948" t="n">
        <v>275</v>
      </c>
    </row>
    <row r="949">
      <c r="A949" t="inlineStr">
        <is>
          <t>202616</t>
        </is>
      </c>
      <c r="B949" t="inlineStr">
        <is>
          <t>Andere</t>
        </is>
      </c>
      <c r="C949" t="inlineStr">
        <is>
          <t>PH-01-12</t>
        </is>
      </c>
      <c r="D949" t="n">
        <v>0</v>
      </c>
      <c r="E949" t="n">
        <v>269</v>
      </c>
      <c r="F949" t="n">
        <v>-269</v>
      </c>
      <c r="G949" t="n">
        <v>-269</v>
      </c>
    </row>
    <row r="950">
      <c r="A950" t="inlineStr">
        <is>
          <t>202616</t>
        </is>
      </c>
      <c r="B950" t="inlineStr">
        <is>
          <t>Andere</t>
        </is>
      </c>
      <c r="C950" t="inlineStr">
        <is>
          <t>PH-01-14</t>
        </is>
      </c>
      <c r="D950" t="n">
        <v>0</v>
      </c>
      <c r="E950" t="n">
        <v>248</v>
      </c>
      <c r="F950" t="n">
        <v>-248</v>
      </c>
      <c r="G950" t="n">
        <v>-248</v>
      </c>
    </row>
    <row r="951">
      <c r="A951" t="inlineStr">
        <is>
          <t>202616</t>
        </is>
      </c>
      <c r="B951" t="inlineStr">
        <is>
          <t>Andere</t>
        </is>
      </c>
      <c r="C951" t="inlineStr">
        <is>
          <t>GC-02-11-1</t>
        </is>
      </c>
      <c r="D951" t="n">
        <v>247.5</v>
      </c>
      <c r="E951" t="n">
        <v>0</v>
      </c>
      <c r="F951" t="n">
        <v>247.5</v>
      </c>
      <c r="G951" t="n">
        <v>247.5</v>
      </c>
    </row>
    <row r="952">
      <c r="A952" t="inlineStr">
        <is>
          <t>202616</t>
        </is>
      </c>
      <c r="B952" t="inlineStr">
        <is>
          <t>Andere</t>
        </is>
      </c>
      <c r="C952" t="inlineStr">
        <is>
          <t>PH-01-13</t>
        </is>
      </c>
      <c r="D952" t="n">
        <v>0</v>
      </c>
      <c r="E952" t="n">
        <v>222</v>
      </c>
      <c r="F952" t="n">
        <v>-222</v>
      </c>
      <c r="G952" t="n">
        <v>-222</v>
      </c>
    </row>
    <row r="953">
      <c r="A953" t="inlineStr">
        <is>
          <t>202616</t>
        </is>
      </c>
      <c r="B953" t="inlineStr">
        <is>
          <t>Andere</t>
        </is>
      </c>
      <c r="C953" t="inlineStr">
        <is>
          <t>GC-02-17-1</t>
        </is>
      </c>
      <c r="D953" t="n">
        <v>400</v>
      </c>
      <c r="E953" t="n">
        <v>180</v>
      </c>
      <c r="F953" t="n">
        <v>220</v>
      </c>
      <c r="G953" t="n">
        <v>220</v>
      </c>
    </row>
    <row r="954">
      <c r="A954" t="inlineStr">
        <is>
          <t>202616</t>
        </is>
      </c>
      <c r="B954" t="inlineStr">
        <is>
          <t>Andere</t>
        </is>
      </c>
      <c r="C954" t="inlineStr">
        <is>
          <t>A-01-09-1</t>
        </is>
      </c>
      <c r="D954" t="n">
        <v>200</v>
      </c>
      <c r="E954" t="n">
        <v>0</v>
      </c>
      <c r="F954" t="n">
        <v>200</v>
      </c>
      <c r="G954" t="n">
        <v>200</v>
      </c>
    </row>
    <row r="955">
      <c r="A955" t="inlineStr">
        <is>
          <t>202616</t>
        </is>
      </c>
      <c r="B955" t="inlineStr">
        <is>
          <t>Andere</t>
        </is>
      </c>
      <c r="C955" t="inlineStr">
        <is>
          <t>GC-02-06-2</t>
        </is>
      </c>
      <c r="D955" t="n">
        <v>200</v>
      </c>
      <c r="E955" t="n">
        <v>0</v>
      </c>
      <c r="F955" t="n">
        <v>200</v>
      </c>
      <c r="G955" t="n">
        <v>200</v>
      </c>
    </row>
    <row r="956">
      <c r="A956" t="inlineStr">
        <is>
          <t>202616</t>
        </is>
      </c>
      <c r="B956" t="inlineStr">
        <is>
          <t>Andere</t>
        </is>
      </c>
      <c r="C956" t="inlineStr">
        <is>
          <t>GC-02-23-1</t>
        </is>
      </c>
      <c r="D956" t="n">
        <v>200</v>
      </c>
      <c r="E956" t="n">
        <v>5</v>
      </c>
      <c r="F956" t="n">
        <v>195</v>
      </c>
      <c r="G956" t="n">
        <v>195</v>
      </c>
    </row>
    <row r="957">
      <c r="A957" t="inlineStr">
        <is>
          <t>202616</t>
        </is>
      </c>
      <c r="B957" t="inlineStr">
        <is>
          <t>Andere</t>
        </is>
      </c>
      <c r="C957" t="inlineStr">
        <is>
          <t>A-02-96-1</t>
        </is>
      </c>
      <c r="D957" t="n">
        <v>186</v>
      </c>
      <c r="E957" t="n">
        <v>0</v>
      </c>
      <c r="F957" t="n">
        <v>186</v>
      </c>
      <c r="G957" t="n">
        <v>186</v>
      </c>
    </row>
    <row r="958">
      <c r="A958" t="inlineStr">
        <is>
          <t>202616</t>
        </is>
      </c>
      <c r="B958" t="inlineStr">
        <is>
          <t>Andere</t>
        </is>
      </c>
      <c r="C958" t="inlineStr">
        <is>
          <t>GERMANY</t>
        </is>
      </c>
      <c r="D958" t="n">
        <v>186</v>
      </c>
      <c r="E958" t="n">
        <v>0</v>
      </c>
      <c r="F958" t="n">
        <v>186</v>
      </c>
      <c r="G958" t="n">
        <v>186</v>
      </c>
    </row>
    <row r="959">
      <c r="A959" t="inlineStr">
        <is>
          <t>202616</t>
        </is>
      </c>
      <c r="B959" t="inlineStr">
        <is>
          <t>Andere</t>
        </is>
      </c>
      <c r="C959" t="inlineStr">
        <is>
          <t>PH-01-11</t>
        </is>
      </c>
      <c r="D959" t="n">
        <v>0</v>
      </c>
      <c r="E959" t="n">
        <v>176</v>
      </c>
      <c r="F959" t="n">
        <v>-176</v>
      </c>
      <c r="G959" t="n">
        <v>-176</v>
      </c>
    </row>
    <row r="960">
      <c r="A960" t="inlineStr">
        <is>
          <t>202616</t>
        </is>
      </c>
      <c r="B960" t="inlineStr">
        <is>
          <t>Andere</t>
        </is>
      </c>
      <c r="C960" t="inlineStr">
        <is>
          <t>A-02-42-1</t>
        </is>
      </c>
      <c r="D960" t="n">
        <v>168</v>
      </c>
      <c r="E960" t="n">
        <v>0</v>
      </c>
      <c r="F960" t="n">
        <v>168</v>
      </c>
      <c r="G960" t="n">
        <v>168</v>
      </c>
    </row>
    <row r="961">
      <c r="A961" t="inlineStr">
        <is>
          <t>202616</t>
        </is>
      </c>
      <c r="B961" t="inlineStr">
        <is>
          <t>Andere</t>
        </is>
      </c>
      <c r="C961" t="inlineStr">
        <is>
          <t>A-01-13-1</t>
        </is>
      </c>
      <c r="D961" t="n">
        <v>160</v>
      </c>
      <c r="E961" t="n">
        <v>0</v>
      </c>
      <c r="F961" t="n">
        <v>160</v>
      </c>
      <c r="G961" t="n">
        <v>160</v>
      </c>
    </row>
    <row r="962">
      <c r="A962" t="inlineStr">
        <is>
          <t>202616</t>
        </is>
      </c>
      <c r="B962" t="inlineStr">
        <is>
          <t>Andere</t>
        </is>
      </c>
      <c r="C962" t="inlineStr">
        <is>
          <t>P-04-08-2</t>
        </is>
      </c>
      <c r="D962" t="n">
        <v>154</v>
      </c>
      <c r="E962" t="n">
        <v>0</v>
      </c>
      <c r="F962" t="n">
        <v>154</v>
      </c>
      <c r="G962" t="n">
        <v>154</v>
      </c>
    </row>
    <row r="963">
      <c r="A963" t="inlineStr">
        <is>
          <t>202616</t>
        </is>
      </c>
      <c r="B963" t="inlineStr">
        <is>
          <t>Andere</t>
        </is>
      </c>
      <c r="C963" t="inlineStr">
        <is>
          <t>A-02-45-1</t>
        </is>
      </c>
      <c r="D963" t="n">
        <v>150</v>
      </c>
      <c r="E963" t="n">
        <v>0</v>
      </c>
      <c r="F963" t="n">
        <v>150</v>
      </c>
      <c r="G963" t="n">
        <v>150</v>
      </c>
    </row>
    <row r="964">
      <c r="A964" t="inlineStr">
        <is>
          <t>202616</t>
        </is>
      </c>
      <c r="B964" t="inlineStr">
        <is>
          <t>Andere</t>
        </is>
      </c>
      <c r="C964" t="inlineStr">
        <is>
          <t>GC-02-04-3</t>
        </is>
      </c>
      <c r="D964" t="n">
        <v>150</v>
      </c>
      <c r="E964" t="n">
        <v>0</v>
      </c>
      <c r="F964" t="n">
        <v>150</v>
      </c>
      <c r="G964" t="n">
        <v>150</v>
      </c>
    </row>
    <row r="965">
      <c r="A965" t="inlineStr">
        <is>
          <t>202616</t>
        </is>
      </c>
      <c r="B965" t="inlineStr">
        <is>
          <t>Andere</t>
        </is>
      </c>
      <c r="C965" t="inlineStr">
        <is>
          <t>GC-02-19-2</t>
        </is>
      </c>
      <c r="D965" t="n">
        <v>150</v>
      </c>
      <c r="E965" t="n">
        <v>0</v>
      </c>
      <c r="F965" t="n">
        <v>150</v>
      </c>
      <c r="G965" t="n">
        <v>150</v>
      </c>
    </row>
    <row r="966">
      <c r="A966" t="inlineStr">
        <is>
          <t>202616</t>
        </is>
      </c>
      <c r="B966" t="inlineStr">
        <is>
          <t>Andere</t>
        </is>
      </c>
      <c r="C966" t="inlineStr">
        <is>
          <t>P-04-07-2</t>
        </is>
      </c>
      <c r="D966" t="n">
        <v>146</v>
      </c>
      <c r="E966" t="n">
        <v>0</v>
      </c>
      <c r="F966" t="n">
        <v>146</v>
      </c>
      <c r="G966" t="n">
        <v>146</v>
      </c>
    </row>
    <row r="967">
      <c r="A967" t="inlineStr">
        <is>
          <t>202616</t>
        </is>
      </c>
      <c r="B967" t="inlineStr">
        <is>
          <t>Andere</t>
        </is>
      </c>
      <c r="C967" t="inlineStr">
        <is>
          <t>A-02-49-1</t>
        </is>
      </c>
      <c r="D967" t="n">
        <v>140</v>
      </c>
      <c r="E967" t="n">
        <v>0</v>
      </c>
      <c r="F967" t="n">
        <v>140</v>
      </c>
      <c r="G967" t="n">
        <v>140</v>
      </c>
    </row>
    <row r="968">
      <c r="A968" t="inlineStr">
        <is>
          <t>202616</t>
        </is>
      </c>
      <c r="B968" t="inlineStr">
        <is>
          <t>Andere</t>
        </is>
      </c>
      <c r="C968" t="inlineStr">
        <is>
          <t>A-02-39-1</t>
        </is>
      </c>
      <c r="D968" t="n">
        <v>132</v>
      </c>
      <c r="E968" t="n">
        <v>0</v>
      </c>
      <c r="F968" t="n">
        <v>132</v>
      </c>
      <c r="G968" t="n">
        <v>132</v>
      </c>
    </row>
    <row r="969">
      <c r="A969" t="inlineStr">
        <is>
          <t>202616</t>
        </is>
      </c>
      <c r="B969" t="inlineStr">
        <is>
          <t>Andere</t>
        </is>
      </c>
      <c r="C969" t="inlineStr">
        <is>
          <t>A-02-41-1</t>
        </is>
      </c>
      <c r="D969" t="n">
        <v>132</v>
      </c>
      <c r="E969" t="n">
        <v>0</v>
      </c>
      <c r="F969" t="n">
        <v>132</v>
      </c>
      <c r="G969" t="n">
        <v>132</v>
      </c>
    </row>
    <row r="970">
      <c r="A970" t="inlineStr">
        <is>
          <t>202616</t>
        </is>
      </c>
      <c r="B970" t="inlineStr">
        <is>
          <t>Andere</t>
        </is>
      </c>
      <c r="C970" t="inlineStr">
        <is>
          <t>GC-02-14-2</t>
        </is>
      </c>
      <c r="D970" t="n">
        <v>120</v>
      </c>
      <c r="E970" t="n">
        <v>16</v>
      </c>
      <c r="F970" t="n">
        <v>104</v>
      </c>
      <c r="G970" t="n">
        <v>104</v>
      </c>
    </row>
    <row r="971">
      <c r="A971" t="inlineStr">
        <is>
          <t>202616</t>
        </is>
      </c>
      <c r="B971" t="inlineStr">
        <is>
          <t>Andere</t>
        </is>
      </c>
      <c r="C971" t="inlineStr">
        <is>
          <t>A-01-08-1</t>
        </is>
      </c>
      <c r="D971" t="n">
        <v>100</v>
      </c>
      <c r="E971" t="n">
        <v>0</v>
      </c>
      <c r="F971" t="n">
        <v>100</v>
      </c>
      <c r="G971" t="n">
        <v>100</v>
      </c>
    </row>
    <row r="972">
      <c r="A972" t="inlineStr">
        <is>
          <t>202616</t>
        </is>
      </c>
      <c r="B972" t="inlineStr">
        <is>
          <t>Andere</t>
        </is>
      </c>
      <c r="C972" t="inlineStr">
        <is>
          <t>A-01-14-1</t>
        </is>
      </c>
      <c r="D972" t="n">
        <v>100</v>
      </c>
      <c r="E972" t="n">
        <v>0</v>
      </c>
      <c r="F972" t="n">
        <v>100</v>
      </c>
      <c r="G972" t="n">
        <v>100</v>
      </c>
    </row>
    <row r="973">
      <c r="A973" t="inlineStr">
        <is>
          <t>202616</t>
        </is>
      </c>
      <c r="B973" t="inlineStr">
        <is>
          <t>Andere</t>
        </is>
      </c>
      <c r="C973" t="inlineStr">
        <is>
          <t>A-02-48-1</t>
        </is>
      </c>
      <c r="D973" t="n">
        <v>100</v>
      </c>
      <c r="E973" t="n">
        <v>0</v>
      </c>
      <c r="F973" t="n">
        <v>100</v>
      </c>
      <c r="G973" t="n">
        <v>100</v>
      </c>
    </row>
    <row r="974">
      <c r="A974" t="inlineStr">
        <is>
          <t>202616</t>
        </is>
      </c>
      <c r="B974" t="inlineStr">
        <is>
          <t>Andere</t>
        </is>
      </c>
      <c r="C974" t="inlineStr">
        <is>
          <t>GC-02-22-2</t>
        </is>
      </c>
      <c r="D974" t="n">
        <v>180</v>
      </c>
      <c r="E974" t="n">
        <v>80</v>
      </c>
      <c r="F974" t="n">
        <v>100</v>
      </c>
      <c r="G974" t="n">
        <v>100</v>
      </c>
    </row>
    <row r="975">
      <c r="A975" t="inlineStr">
        <is>
          <t>202616</t>
        </is>
      </c>
      <c r="B975" t="inlineStr">
        <is>
          <t>Andere</t>
        </is>
      </c>
      <c r="C975" t="inlineStr">
        <is>
          <t>A-02-72-1</t>
        </is>
      </c>
      <c r="D975" t="n">
        <v>96</v>
      </c>
      <c r="E975" t="n">
        <v>0</v>
      </c>
      <c r="F975" t="n">
        <v>96</v>
      </c>
      <c r="G975" t="n">
        <v>96</v>
      </c>
    </row>
    <row r="976">
      <c r="A976" t="inlineStr">
        <is>
          <t>202616</t>
        </is>
      </c>
      <c r="B976" t="inlineStr">
        <is>
          <t>Andere</t>
        </is>
      </c>
      <c r="C976" t="inlineStr">
        <is>
          <t>FAGEVERSF</t>
        </is>
      </c>
      <c r="D976" t="n">
        <v>96</v>
      </c>
      <c r="E976" t="n">
        <v>0</v>
      </c>
      <c r="F976" t="n">
        <v>96</v>
      </c>
      <c r="G976" t="n">
        <v>96</v>
      </c>
    </row>
    <row r="977">
      <c r="A977" t="inlineStr">
        <is>
          <t>202616</t>
        </is>
      </c>
      <c r="B977" t="inlineStr">
        <is>
          <t>Andere</t>
        </is>
      </c>
      <c r="C977" t="inlineStr">
        <is>
          <t>FAKOCHMAT</t>
        </is>
      </c>
      <c r="D977" t="n">
        <v>86.5</v>
      </c>
      <c r="E977" t="n">
        <v>0</v>
      </c>
      <c r="F977" t="n">
        <v>86.5</v>
      </c>
      <c r="G977" t="n">
        <v>86.5</v>
      </c>
    </row>
    <row r="978">
      <c r="A978" t="inlineStr">
        <is>
          <t>202616</t>
        </is>
      </c>
      <c r="B978" t="inlineStr">
        <is>
          <t>Andere</t>
        </is>
      </c>
      <c r="C978" t="inlineStr">
        <is>
          <t>A-02-43-1</t>
        </is>
      </c>
      <c r="D978" t="n">
        <v>80</v>
      </c>
      <c r="E978" t="n">
        <v>0</v>
      </c>
      <c r="F978" t="n">
        <v>80</v>
      </c>
      <c r="G978" t="n">
        <v>80</v>
      </c>
    </row>
    <row r="979">
      <c r="A979" t="inlineStr">
        <is>
          <t>202616</t>
        </is>
      </c>
      <c r="B979" t="inlineStr">
        <is>
          <t>Andere</t>
        </is>
      </c>
      <c r="C979" t="inlineStr">
        <is>
          <t>A-02-44-1</t>
        </is>
      </c>
      <c r="D979" t="n">
        <v>80</v>
      </c>
      <c r="E979" t="n">
        <v>0</v>
      </c>
      <c r="F979" t="n">
        <v>80</v>
      </c>
      <c r="G979" t="n">
        <v>80</v>
      </c>
    </row>
    <row r="980">
      <c r="A980" t="inlineStr">
        <is>
          <t>202616</t>
        </is>
      </c>
      <c r="B980" t="inlineStr">
        <is>
          <t>Andere</t>
        </is>
      </c>
      <c r="C980" t="inlineStr">
        <is>
          <t>FAPETERJ</t>
        </is>
      </c>
      <c r="D980" t="n">
        <v>62.61</v>
      </c>
      <c r="E980" t="n">
        <v>0</v>
      </c>
      <c r="F980" t="n">
        <v>62.61</v>
      </c>
      <c r="G980" t="n">
        <v>62.61</v>
      </c>
    </row>
    <row r="981">
      <c r="A981" t="inlineStr">
        <is>
          <t>202616</t>
        </is>
      </c>
      <c r="B981" t="inlineStr">
        <is>
          <t>Andere</t>
        </is>
      </c>
      <c r="C981" t="inlineStr">
        <is>
          <t>GC-02-16-2</t>
        </is>
      </c>
      <c r="D981" t="n">
        <v>60</v>
      </c>
      <c r="E981" t="n">
        <v>0</v>
      </c>
      <c r="F981" t="n">
        <v>60</v>
      </c>
      <c r="G981" t="n">
        <v>60</v>
      </c>
    </row>
    <row r="982">
      <c r="A982" t="inlineStr">
        <is>
          <t>202616</t>
        </is>
      </c>
      <c r="B982" t="inlineStr">
        <is>
          <t>Andere</t>
        </is>
      </c>
      <c r="C982" t="inlineStr">
        <is>
          <t>FAMYTKOVF1</t>
        </is>
      </c>
      <c r="D982" t="n">
        <v>52</v>
      </c>
      <c r="E982" t="n">
        <v>0</v>
      </c>
      <c r="F982" t="n">
        <v>52</v>
      </c>
      <c r="G982" t="n">
        <v>52</v>
      </c>
    </row>
    <row r="983">
      <c r="A983" t="inlineStr">
        <is>
          <t>202616</t>
        </is>
      </c>
      <c r="B983" t="inlineStr">
        <is>
          <t>Andere</t>
        </is>
      </c>
      <c r="C983" t="inlineStr">
        <is>
          <t>GC-02-24-2</t>
        </is>
      </c>
      <c r="D983" t="n">
        <v>50</v>
      </c>
      <c r="E983" t="n">
        <v>0</v>
      </c>
      <c r="F983" t="n">
        <v>50</v>
      </c>
      <c r="G983" t="n">
        <v>50</v>
      </c>
    </row>
    <row r="984">
      <c r="A984" t="inlineStr">
        <is>
          <t>202616</t>
        </is>
      </c>
      <c r="B984" t="inlineStr">
        <is>
          <t>Andere</t>
        </is>
      </c>
      <c r="C984" t="inlineStr">
        <is>
          <t>GC-02-20-1</t>
        </is>
      </c>
      <c r="D984" t="n">
        <v>52</v>
      </c>
      <c r="E984" t="n">
        <v>12</v>
      </c>
      <c r="F984" t="n">
        <v>40</v>
      </c>
      <c r="G984" t="n">
        <v>40</v>
      </c>
    </row>
    <row r="985">
      <c r="A985" t="inlineStr">
        <is>
          <t>202616</t>
        </is>
      </c>
      <c r="B985" t="inlineStr">
        <is>
          <t>Andere</t>
        </is>
      </c>
      <c r="C985" t="inlineStr">
        <is>
          <t>GC-02-11-2</t>
        </is>
      </c>
      <c r="D985" t="n">
        <v>555.47</v>
      </c>
      <c r="E985" t="n">
        <v>520</v>
      </c>
      <c r="F985" t="n">
        <v>35.47</v>
      </c>
      <c r="G985" t="n">
        <v>35.47</v>
      </c>
    </row>
    <row r="986">
      <c r="A986" t="inlineStr">
        <is>
          <t>202616</t>
        </is>
      </c>
      <c r="B986" t="inlineStr">
        <is>
          <t>Andere</t>
        </is>
      </c>
      <c r="C986" t="inlineStr">
        <is>
          <t>A-02-60-1</t>
        </is>
      </c>
      <c r="D986" t="n">
        <v>30</v>
      </c>
      <c r="E986" t="n">
        <v>0</v>
      </c>
      <c r="F986" t="n">
        <v>30</v>
      </c>
      <c r="G986" t="n">
        <v>30</v>
      </c>
    </row>
    <row r="987">
      <c r="A987" t="inlineStr">
        <is>
          <t>202616</t>
        </is>
      </c>
      <c r="B987" t="inlineStr">
        <is>
          <t>Andere</t>
        </is>
      </c>
      <c r="C987" t="inlineStr">
        <is>
          <t>GC-02-12-2</t>
        </is>
      </c>
      <c r="D987" t="n">
        <v>40</v>
      </c>
      <c r="E987" t="n">
        <v>10</v>
      </c>
      <c r="F987" t="n">
        <v>30</v>
      </c>
      <c r="G987" t="n">
        <v>30</v>
      </c>
    </row>
    <row r="988">
      <c r="A988" t="inlineStr">
        <is>
          <t>202616</t>
        </is>
      </c>
      <c r="B988" t="inlineStr">
        <is>
          <t>Andere</t>
        </is>
      </c>
      <c r="C988" t="inlineStr">
        <is>
          <t>FADIKELISA</t>
        </is>
      </c>
      <c r="D988" t="n">
        <v>29.23</v>
      </c>
      <c r="E988" t="n">
        <v>0</v>
      </c>
      <c r="F988" t="n">
        <v>29.23</v>
      </c>
      <c r="G988" t="n">
        <v>29.23</v>
      </c>
    </row>
    <row r="989">
      <c r="A989" t="inlineStr">
        <is>
          <t>202616</t>
        </is>
      </c>
      <c r="B989" t="inlineStr">
        <is>
          <t>Andere</t>
        </is>
      </c>
      <c r="C989" t="inlineStr">
        <is>
          <t>A-02-46-1</t>
        </is>
      </c>
      <c r="D989" t="n">
        <v>20</v>
      </c>
      <c r="E989" t="n">
        <v>0</v>
      </c>
      <c r="F989" t="n">
        <v>20</v>
      </c>
      <c r="G989" t="n">
        <v>20</v>
      </c>
    </row>
    <row r="990">
      <c r="A990" t="inlineStr">
        <is>
          <t>202616</t>
        </is>
      </c>
      <c r="B990" t="inlineStr">
        <is>
          <t>Andere</t>
        </is>
      </c>
      <c r="C990" t="inlineStr">
        <is>
          <t>A-02-54-1</t>
        </is>
      </c>
      <c r="D990" t="n">
        <v>20</v>
      </c>
      <c r="E990" t="n">
        <v>0</v>
      </c>
      <c r="F990" t="n">
        <v>20</v>
      </c>
      <c r="G990" t="n">
        <v>20</v>
      </c>
    </row>
    <row r="991">
      <c r="A991" t="inlineStr">
        <is>
          <t>202616</t>
        </is>
      </c>
      <c r="B991" t="inlineStr">
        <is>
          <t>Andere</t>
        </is>
      </c>
      <c r="C991" t="inlineStr">
        <is>
          <t>P-04-03-2</t>
        </is>
      </c>
      <c r="D991" t="n">
        <v>17</v>
      </c>
      <c r="E991" t="n">
        <v>0</v>
      </c>
      <c r="F991" t="n">
        <v>17</v>
      </c>
      <c r="G991" t="n">
        <v>17</v>
      </c>
    </row>
    <row r="992">
      <c r="A992" t="inlineStr">
        <is>
          <t>202616</t>
        </is>
      </c>
      <c r="B992" t="inlineStr">
        <is>
          <t>Andere</t>
        </is>
      </c>
      <c r="C992" t="inlineStr">
        <is>
          <t>GC-02-18-2</t>
        </is>
      </c>
      <c r="D992" t="n">
        <v>15</v>
      </c>
      <c r="E992" t="n">
        <v>0</v>
      </c>
      <c r="F992" t="n">
        <v>15</v>
      </c>
      <c r="G992" t="n">
        <v>15</v>
      </c>
    </row>
    <row r="993">
      <c r="A993" t="inlineStr">
        <is>
          <t>202616</t>
        </is>
      </c>
      <c r="B993" t="inlineStr">
        <is>
          <t>Andere</t>
        </is>
      </c>
      <c r="C993" t="inlineStr">
        <is>
          <t>D-06-28-1</t>
        </is>
      </c>
      <c r="D993" t="n">
        <v>13.5</v>
      </c>
      <c r="E993" t="n">
        <v>0</v>
      </c>
      <c r="F993" t="n">
        <v>13.5</v>
      </c>
      <c r="G993" t="n">
        <v>13.5</v>
      </c>
    </row>
    <row r="994">
      <c r="A994" t="inlineStr">
        <is>
          <t>202616</t>
        </is>
      </c>
      <c r="B994" t="inlineStr">
        <is>
          <t>Andere</t>
        </is>
      </c>
      <c r="C994" t="inlineStr">
        <is>
          <t>P-04-04-1</t>
        </is>
      </c>
      <c r="D994" t="n">
        <v>11.5</v>
      </c>
      <c r="E994" t="n">
        <v>0</v>
      </c>
      <c r="F994" t="n">
        <v>11.5</v>
      </c>
      <c r="G994" t="n">
        <v>11.5</v>
      </c>
    </row>
    <row r="995">
      <c r="A995" t="inlineStr">
        <is>
          <t>202616</t>
        </is>
      </c>
      <c r="B995" t="inlineStr">
        <is>
          <t>Andere</t>
        </is>
      </c>
      <c r="C995" t="inlineStr">
        <is>
          <t>GC-02-21-2</t>
        </is>
      </c>
      <c r="D995" t="n">
        <v>10</v>
      </c>
      <c r="E995" t="n">
        <v>0</v>
      </c>
      <c r="F995" t="n">
        <v>10</v>
      </c>
      <c r="G995" t="n">
        <v>10</v>
      </c>
    </row>
    <row r="996">
      <c r="A996" t="inlineStr">
        <is>
          <t>202616</t>
        </is>
      </c>
      <c r="B996" t="inlineStr">
        <is>
          <t>Andere</t>
        </is>
      </c>
      <c r="C996" t="inlineStr">
        <is>
          <t>GC-02-23-2</t>
        </is>
      </c>
      <c r="D996" t="n">
        <v>100</v>
      </c>
      <c r="E996" t="n">
        <v>90</v>
      </c>
      <c r="F996" t="n">
        <v>10</v>
      </c>
      <c r="G996" t="n">
        <v>10</v>
      </c>
    </row>
    <row r="997">
      <c r="A997" t="inlineStr">
        <is>
          <t>202616</t>
        </is>
      </c>
      <c r="B997" t="inlineStr">
        <is>
          <t>Andere</t>
        </is>
      </c>
      <c r="C997" t="inlineStr">
        <is>
          <t>D-01-02-1</t>
        </is>
      </c>
      <c r="D997" t="n">
        <v>9.1</v>
      </c>
      <c r="E997" t="n">
        <v>0</v>
      </c>
      <c r="F997" t="n">
        <v>9.1</v>
      </c>
      <c r="G997" t="n">
        <v>9.1</v>
      </c>
    </row>
    <row r="998">
      <c r="A998" t="inlineStr">
        <is>
          <t>202616</t>
        </is>
      </c>
      <c r="B998" t="inlineStr">
        <is>
          <t>Andere</t>
        </is>
      </c>
      <c r="C998" t="inlineStr">
        <is>
          <t>FAENDERST</t>
        </is>
      </c>
      <c r="D998" t="n">
        <v>8</v>
      </c>
      <c r="E998" t="n">
        <v>0</v>
      </c>
      <c r="F998" t="n">
        <v>8</v>
      </c>
      <c r="G998" t="n">
        <v>8</v>
      </c>
    </row>
    <row r="999">
      <c r="A999" t="inlineStr">
        <is>
          <t>202616</t>
        </is>
      </c>
      <c r="B999" t="inlineStr">
        <is>
          <t>Andere</t>
        </is>
      </c>
      <c r="C999" t="inlineStr">
        <is>
          <t>P-04-10-2</t>
        </is>
      </c>
      <c r="D999" t="n">
        <v>8</v>
      </c>
      <c r="E999" t="n">
        <v>0</v>
      </c>
      <c r="F999" t="n">
        <v>8</v>
      </c>
      <c r="G999" t="n">
        <v>8</v>
      </c>
    </row>
    <row r="1000">
      <c r="A1000" t="inlineStr">
        <is>
          <t>202616</t>
        </is>
      </c>
      <c r="B1000" t="inlineStr">
        <is>
          <t>Andere</t>
        </is>
      </c>
      <c r="C1000" t="inlineStr">
        <is>
          <t>D-06-35-2</t>
        </is>
      </c>
      <c r="D1000" t="n">
        <v>7.5</v>
      </c>
      <c r="E1000" t="n">
        <v>0</v>
      </c>
      <c r="F1000" t="n">
        <v>7.5</v>
      </c>
      <c r="G1000" t="n">
        <v>7.5</v>
      </c>
    </row>
    <row r="1001">
      <c r="A1001" t="inlineStr">
        <is>
          <t>202616</t>
        </is>
      </c>
      <c r="B1001" t="inlineStr">
        <is>
          <t>Andere</t>
        </is>
      </c>
      <c r="C1001" t="inlineStr">
        <is>
          <t>P-04-06-1</t>
        </is>
      </c>
      <c r="D1001" t="n">
        <v>7.1</v>
      </c>
      <c r="E1001" t="n">
        <v>0</v>
      </c>
      <c r="F1001" t="n">
        <v>7.1</v>
      </c>
      <c r="G1001" t="n">
        <v>7.1</v>
      </c>
    </row>
    <row r="1002">
      <c r="A1002" t="inlineStr">
        <is>
          <t>202616</t>
        </is>
      </c>
      <c r="B1002" t="inlineStr">
        <is>
          <t>Andere</t>
        </is>
      </c>
      <c r="C1002" t="inlineStr">
        <is>
          <t>GC-02-22-1</t>
        </is>
      </c>
      <c r="D1002" t="n">
        <v>13</v>
      </c>
      <c r="E1002" t="n">
        <v>6</v>
      </c>
      <c r="F1002" t="n">
        <v>7</v>
      </c>
      <c r="G1002" t="n">
        <v>7</v>
      </c>
    </row>
    <row r="1003">
      <c r="A1003" t="inlineStr">
        <is>
          <t>202616</t>
        </is>
      </c>
      <c r="B1003" t="inlineStr">
        <is>
          <t>Andere</t>
        </is>
      </c>
      <c r="C1003" t="inlineStr">
        <is>
          <t>D-06-44-2</t>
        </is>
      </c>
      <c r="D1003" t="n">
        <v>5</v>
      </c>
      <c r="E1003" t="n">
        <v>0</v>
      </c>
      <c r="F1003" t="n">
        <v>5</v>
      </c>
      <c r="G1003" t="n">
        <v>5</v>
      </c>
    </row>
    <row r="1004">
      <c r="A1004" t="inlineStr">
        <is>
          <t>202616</t>
        </is>
      </c>
      <c r="B1004" t="inlineStr">
        <is>
          <t>Andere</t>
        </is>
      </c>
      <c r="C1004" t="inlineStr">
        <is>
          <t>FAMATTICKT</t>
        </is>
      </c>
      <c r="D1004" t="n">
        <v>5</v>
      </c>
      <c r="E1004" t="n">
        <v>0</v>
      </c>
      <c r="F1004" t="n">
        <v>5</v>
      </c>
      <c r="G1004" t="n">
        <v>5</v>
      </c>
    </row>
    <row r="1005">
      <c r="A1005" t="inlineStr">
        <is>
          <t>202616</t>
        </is>
      </c>
      <c r="B1005" t="inlineStr">
        <is>
          <t>Andere</t>
        </is>
      </c>
      <c r="C1005" t="inlineStr">
        <is>
          <t>D-06-07-2</t>
        </is>
      </c>
      <c r="D1005" t="n">
        <v>4.2</v>
      </c>
      <c r="E1005" t="n">
        <v>0</v>
      </c>
      <c r="F1005" t="n">
        <v>4.2</v>
      </c>
      <c r="G1005" t="n">
        <v>4.2</v>
      </c>
    </row>
    <row r="1006">
      <c r="A1006" t="inlineStr">
        <is>
          <t>202616</t>
        </is>
      </c>
      <c r="B1006" t="inlineStr">
        <is>
          <t>Andere</t>
        </is>
      </c>
      <c r="C1006" t="inlineStr">
        <is>
          <t>FADKLOMP</t>
        </is>
      </c>
      <c r="D1006" t="n">
        <v>1</v>
      </c>
      <c r="E1006" t="n">
        <v>0</v>
      </c>
      <c r="F1006" t="n">
        <v>1</v>
      </c>
      <c r="G1006" t="n">
        <v>1</v>
      </c>
    </row>
    <row r="1007">
      <c r="A1007" t="inlineStr">
        <is>
          <t>202616</t>
        </is>
      </c>
      <c r="B1007" t="inlineStr">
        <is>
          <t>Andere</t>
        </is>
      </c>
      <c r="C1007" t="inlineStr">
        <is>
          <t>FAVOSSPAS</t>
        </is>
      </c>
      <c r="D1007" t="n">
        <v>1</v>
      </c>
      <c r="E1007" t="n">
        <v>0</v>
      </c>
      <c r="F1007" t="n">
        <v>1</v>
      </c>
      <c r="G1007" t="n">
        <v>1</v>
      </c>
    </row>
    <row r="1008">
      <c r="A1008" t="inlineStr">
        <is>
          <t>202616</t>
        </is>
      </c>
      <c r="B1008" t="inlineStr">
        <is>
          <t>Andere</t>
        </is>
      </c>
      <c r="C1008" t="inlineStr">
        <is>
          <t>D-06-29-1</t>
        </is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202616</t>
        </is>
      </c>
      <c r="B1009" t="inlineStr">
        <is>
          <t>Andere</t>
        </is>
      </c>
      <c r="C1009" t="inlineStr">
        <is>
          <t>PH-02-03</t>
        </is>
      </c>
      <c r="D1009" t="n">
        <v>8</v>
      </c>
      <c r="E1009" t="n">
        <v>8</v>
      </c>
      <c r="F1009" t="n">
        <v>0</v>
      </c>
      <c r="G1009" t="n">
        <v>0</v>
      </c>
    </row>
    <row r="1010">
      <c r="A1010" t="inlineStr">
        <is>
          <t>202616</t>
        </is>
      </c>
      <c r="B1010" t="inlineStr">
        <is>
          <t>Fulfillment</t>
        </is>
      </c>
      <c r="C1010" t="inlineStr">
        <is>
          <t>PLH-01-09</t>
        </is>
      </c>
      <c r="D1010" t="n">
        <v>60</v>
      </c>
      <c r="E1010" t="n">
        <v>0</v>
      </c>
      <c r="F1010" t="n">
        <v>60</v>
      </c>
      <c r="G1010" t="n">
        <v>60</v>
      </c>
    </row>
    <row r="1011">
      <c r="A1011" t="inlineStr">
        <is>
          <t>202616</t>
        </is>
      </c>
      <c r="B1011" t="inlineStr">
        <is>
          <t>Fulfillment</t>
        </is>
      </c>
      <c r="C1011" t="inlineStr">
        <is>
          <t>PLH-01-03</t>
        </is>
      </c>
      <c r="D1011" t="n">
        <v>5.22</v>
      </c>
      <c r="E1011" t="n">
        <v>2.61</v>
      </c>
      <c r="F1011" t="n">
        <v>2.61</v>
      </c>
      <c r="G1011" t="n">
        <v>2.61</v>
      </c>
    </row>
    <row r="1012">
      <c r="A1012" t="inlineStr">
        <is>
          <t>202616</t>
        </is>
      </c>
      <c r="B1012" t="inlineStr">
        <is>
          <t>Fulfillment</t>
        </is>
      </c>
      <c r="C1012" t="inlineStr">
        <is>
          <t>PLH-01-10</t>
        </is>
      </c>
      <c r="D1012" t="n">
        <v>60</v>
      </c>
      <c r="E1012" t="n">
        <v>60</v>
      </c>
      <c r="F1012" t="n">
        <v>0</v>
      </c>
      <c r="G1012" t="n">
        <v>0</v>
      </c>
    </row>
    <row r="1013">
      <c r="A1013" t="inlineStr">
        <is>
          <t>202616</t>
        </is>
      </c>
      <c r="B1013" t="inlineStr">
        <is>
          <t>Lager</t>
        </is>
      </c>
      <c r="C1013" t="inlineStr">
        <is>
          <t>STGDR-85</t>
        </is>
      </c>
      <c r="D1013" t="n">
        <v>12276</v>
      </c>
      <c r="E1013" t="n">
        <v>0</v>
      </c>
      <c r="F1013" t="n">
        <v>12276</v>
      </c>
      <c r="G1013" t="n">
        <v>12276</v>
      </c>
    </row>
    <row r="1014">
      <c r="A1014" t="inlineStr">
        <is>
          <t>202616</t>
        </is>
      </c>
      <c r="B1014" t="inlineStr">
        <is>
          <t>Lager</t>
        </is>
      </c>
      <c r="C1014" t="inlineStr">
        <is>
          <t>STGDR-27</t>
        </is>
      </c>
      <c r="D1014" t="n">
        <v>6751</v>
      </c>
      <c r="E1014" t="n">
        <v>0</v>
      </c>
      <c r="F1014" t="n">
        <v>6751</v>
      </c>
      <c r="G1014" t="n">
        <v>6751</v>
      </c>
    </row>
    <row r="1015">
      <c r="A1015" t="inlineStr">
        <is>
          <t>202616</t>
        </is>
      </c>
      <c r="B1015" t="inlineStr">
        <is>
          <t>Lager</t>
        </is>
      </c>
      <c r="C1015" t="inlineStr">
        <is>
          <t>STGDR-29</t>
        </is>
      </c>
      <c r="D1015" t="n">
        <v>3610</v>
      </c>
      <c r="E1015" t="n">
        <v>0</v>
      </c>
      <c r="F1015" t="n">
        <v>3610</v>
      </c>
      <c r="G1015" t="n">
        <v>3610</v>
      </c>
    </row>
    <row r="1016">
      <c r="A1016" t="inlineStr">
        <is>
          <t>202616</t>
        </is>
      </c>
      <c r="B1016" t="inlineStr">
        <is>
          <t>Lager</t>
        </is>
      </c>
      <c r="C1016" t="inlineStr">
        <is>
          <t>STGDR-28</t>
        </is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202616</t>
        </is>
      </c>
      <c r="B1017" t="inlineStr">
        <is>
          <t>Prep/Plating</t>
        </is>
      </c>
      <c r="C1017" t="inlineStr">
        <is>
          <t>SLEEVING</t>
        </is>
      </c>
      <c r="D1017" t="n">
        <v>1746</v>
      </c>
      <c r="E1017" t="n">
        <v>0</v>
      </c>
      <c r="F1017" t="n">
        <v>1746</v>
      </c>
      <c r="G1017" t="n">
        <v>1746</v>
      </c>
    </row>
    <row r="1018">
      <c r="A1018" t="inlineStr">
        <is>
          <t>202616</t>
        </is>
      </c>
      <c r="B1018" t="inlineStr">
        <is>
          <t>Prep/Plating</t>
        </is>
      </c>
      <c r="C1018" t="inlineStr">
        <is>
          <t>PREB-01</t>
        </is>
      </c>
      <c r="D1018" t="n">
        <v>476.69</v>
      </c>
      <c r="E1018" t="n">
        <v>19.94</v>
      </c>
      <c r="F1018" t="n">
        <v>456.75</v>
      </c>
      <c r="G1018" t="n">
        <v>456.75</v>
      </c>
    </row>
    <row r="1019">
      <c r="A1019" t="inlineStr">
        <is>
          <t>202616</t>
        </is>
      </c>
      <c r="B1019" t="inlineStr">
        <is>
          <t>Prep/Plating</t>
        </is>
      </c>
      <c r="C1019" t="inlineStr">
        <is>
          <t>PostB-01</t>
        </is>
      </c>
      <c r="D1019" t="n">
        <v>62.61</v>
      </c>
      <c r="E1019" t="n">
        <v>0</v>
      </c>
      <c r="F1019" t="n">
        <v>62.61</v>
      </c>
      <c r="G1019" t="n">
        <v>62.61</v>
      </c>
    </row>
    <row r="1020">
      <c r="A1020" t="inlineStr">
        <is>
          <t>202616</t>
        </is>
      </c>
      <c r="B1020" t="inlineStr">
        <is>
          <t>Prep/Plating</t>
        </is>
      </c>
      <c r="C1020" t="inlineStr">
        <is>
          <t>DEBOXWIP</t>
        </is>
      </c>
      <c r="D1020" t="n">
        <v>8</v>
      </c>
      <c r="E1020" t="n">
        <v>1.81</v>
      </c>
      <c r="F1020" t="n">
        <v>6.19</v>
      </c>
      <c r="G1020" t="n">
        <v>6.19</v>
      </c>
    </row>
    <row r="1021">
      <c r="A1021" t="inlineStr">
        <is>
          <t>202617</t>
        </is>
      </c>
      <c r="B1021" t="inlineStr">
        <is>
          <t>Andere</t>
        </is>
      </c>
      <c r="C1021" t="inlineStr">
        <is>
          <t>FAMOHAMMADA</t>
        </is>
      </c>
      <c r="D1021" t="n">
        <v>309244</v>
      </c>
      <c r="E1021" t="n">
        <v>0</v>
      </c>
      <c r="F1021" t="n">
        <v>309244</v>
      </c>
      <c r="G1021" t="n">
        <v>309244</v>
      </c>
    </row>
    <row r="1022">
      <c r="A1022" t="inlineStr">
        <is>
          <t>202617</t>
        </is>
      </c>
      <c r="B1022" t="inlineStr">
        <is>
          <t>Andere</t>
        </is>
      </c>
      <c r="C1022" t="inlineStr">
        <is>
          <t>FASAUERJAN</t>
        </is>
      </c>
      <c r="D1022" t="n">
        <v>154861.07</v>
      </c>
      <c r="E1022" t="n">
        <v>0</v>
      </c>
      <c r="F1022" t="n">
        <v>154861.07</v>
      </c>
      <c r="G1022" t="n">
        <v>154861.07</v>
      </c>
    </row>
    <row r="1023">
      <c r="A1023" t="inlineStr">
        <is>
          <t>202617</t>
        </is>
      </c>
      <c r="B1023" t="inlineStr">
        <is>
          <t>Andere</t>
        </is>
      </c>
      <c r="C1023" t="inlineStr">
        <is>
          <t>UNBEKANNT</t>
        </is>
      </c>
      <c r="D1023" t="n">
        <v>97899.45</v>
      </c>
      <c r="E1023" t="n">
        <v>0</v>
      </c>
      <c r="F1023" t="n">
        <v>97899.45</v>
      </c>
      <c r="G1023" t="n">
        <v>97899.45</v>
      </c>
    </row>
    <row r="1024">
      <c r="A1024" t="inlineStr">
        <is>
          <t>202617</t>
        </is>
      </c>
      <c r="B1024" t="inlineStr">
        <is>
          <t>Andere</t>
        </is>
      </c>
      <c r="C1024" t="inlineStr">
        <is>
          <t>FAHANSENMA</t>
        </is>
      </c>
      <c r="D1024" t="n">
        <v>66619.19</v>
      </c>
      <c r="E1024" t="n">
        <v>0</v>
      </c>
      <c r="F1024" t="n">
        <v>66619.19</v>
      </c>
      <c r="G1024" t="n">
        <v>66619.19</v>
      </c>
    </row>
    <row r="1025">
      <c r="A1025" t="inlineStr">
        <is>
          <t>202617</t>
        </is>
      </c>
      <c r="B1025" t="inlineStr">
        <is>
          <t>Andere</t>
        </is>
      </c>
      <c r="C1025" t="inlineStr">
        <is>
          <t>PRODUCTION</t>
        </is>
      </c>
      <c r="D1025" t="n">
        <v>33312</v>
      </c>
      <c r="E1025" t="n">
        <v>0</v>
      </c>
      <c r="F1025" t="n">
        <v>33312</v>
      </c>
      <c r="G1025" t="n">
        <v>33312</v>
      </c>
    </row>
    <row r="1026">
      <c r="A1026" t="inlineStr">
        <is>
          <t>202617</t>
        </is>
      </c>
      <c r="B1026" t="inlineStr">
        <is>
          <t>Andere</t>
        </is>
      </c>
      <c r="C1026" t="inlineStr">
        <is>
          <t>PROD RTN</t>
        </is>
      </c>
      <c r="D1026" t="n">
        <v>23244.01</v>
      </c>
      <c r="E1026" t="n">
        <v>0</v>
      </c>
      <c r="F1026" t="n">
        <v>23244.01</v>
      </c>
      <c r="G1026" t="n">
        <v>23244.01</v>
      </c>
    </row>
    <row r="1027">
      <c r="A1027" t="inlineStr">
        <is>
          <t>202617</t>
        </is>
      </c>
      <c r="B1027" t="inlineStr">
        <is>
          <t>Andere</t>
        </is>
      </c>
      <c r="C1027" t="inlineStr">
        <is>
          <t>FAWIEGHOLDD</t>
        </is>
      </c>
      <c r="D1027" t="n">
        <v>17318</v>
      </c>
      <c r="E1027" t="n">
        <v>0</v>
      </c>
      <c r="F1027" t="n">
        <v>17318</v>
      </c>
      <c r="G1027" t="n">
        <v>17318</v>
      </c>
    </row>
    <row r="1028">
      <c r="A1028" t="inlineStr">
        <is>
          <t>202617</t>
        </is>
      </c>
      <c r="B1028" t="inlineStr">
        <is>
          <t>Andere</t>
        </is>
      </c>
      <c r="C1028" t="inlineStr">
        <is>
          <t>FALEHMANNM</t>
        </is>
      </c>
      <c r="D1028" t="n">
        <v>14165.4</v>
      </c>
      <c r="E1028" t="n">
        <v>0</v>
      </c>
      <c r="F1028" t="n">
        <v>14165.4</v>
      </c>
      <c r="G1028" t="n">
        <v>14165.4</v>
      </c>
    </row>
    <row r="1029">
      <c r="A1029" t="inlineStr">
        <is>
          <t>202617</t>
        </is>
      </c>
      <c r="B1029" t="inlineStr">
        <is>
          <t>Andere</t>
        </is>
      </c>
      <c r="C1029" t="inlineStr">
        <is>
          <t>FAMULLERT</t>
        </is>
      </c>
      <c r="D1029" t="n">
        <v>11449</v>
      </c>
      <c r="E1029" t="n">
        <v>0</v>
      </c>
      <c r="F1029" t="n">
        <v>11449</v>
      </c>
      <c r="G1029" t="n">
        <v>11449</v>
      </c>
    </row>
    <row r="1030">
      <c r="A1030" t="inlineStr">
        <is>
          <t>202617</t>
        </is>
      </c>
      <c r="B1030" t="inlineStr">
        <is>
          <t>Andere</t>
        </is>
      </c>
      <c r="C1030" t="inlineStr">
        <is>
          <t>FAGEVERSF</t>
        </is>
      </c>
      <c r="D1030" t="n">
        <v>9661</v>
      </c>
      <c r="E1030" t="n">
        <v>0</v>
      </c>
      <c r="F1030" t="n">
        <v>9661</v>
      </c>
      <c r="G1030" t="n">
        <v>9661</v>
      </c>
    </row>
    <row r="1031">
      <c r="A1031" t="inlineStr">
        <is>
          <t>202617</t>
        </is>
      </c>
      <c r="B1031" t="inlineStr">
        <is>
          <t>Andere</t>
        </is>
      </c>
      <c r="C1031" t="inlineStr">
        <is>
          <t>FAENDERST</t>
        </is>
      </c>
      <c r="D1031" t="n">
        <v>6779.7</v>
      </c>
      <c r="E1031" t="n">
        <v>0</v>
      </c>
      <c r="F1031" t="n">
        <v>6779.7</v>
      </c>
      <c r="G1031" t="n">
        <v>6779.7</v>
      </c>
    </row>
    <row r="1032">
      <c r="A1032" t="inlineStr">
        <is>
          <t>202617</t>
        </is>
      </c>
      <c r="B1032" t="inlineStr">
        <is>
          <t>Andere</t>
        </is>
      </c>
      <c r="C1032" t="inlineStr">
        <is>
          <t>ADJ LOC</t>
        </is>
      </c>
      <c r="D1032" t="n">
        <v>5914.48</v>
      </c>
      <c r="E1032" t="n">
        <v>0</v>
      </c>
      <c r="F1032" t="n">
        <v>5914.48</v>
      </c>
      <c r="G1032" t="n">
        <v>5914.48</v>
      </c>
    </row>
    <row r="1033">
      <c r="A1033" t="inlineStr">
        <is>
          <t>202617</t>
        </is>
      </c>
      <c r="B1033" t="inlineStr">
        <is>
          <t>Andere</t>
        </is>
      </c>
      <c r="C1033" t="inlineStr">
        <is>
          <t>FAHABAYEBM</t>
        </is>
      </c>
      <c r="D1033" t="n">
        <v>2854</v>
      </c>
      <c r="E1033" t="n">
        <v>0</v>
      </c>
      <c r="F1033" t="n">
        <v>2854</v>
      </c>
      <c r="G1033" t="n">
        <v>2854</v>
      </c>
    </row>
    <row r="1034">
      <c r="A1034" t="inlineStr">
        <is>
          <t>202617</t>
        </is>
      </c>
      <c r="B1034" t="inlineStr">
        <is>
          <t>Andere</t>
        </is>
      </c>
      <c r="C1034" t="inlineStr">
        <is>
          <t>FAGROTHEERF</t>
        </is>
      </c>
      <c r="D1034" t="n">
        <v>1570</v>
      </c>
      <c r="E1034" t="n">
        <v>0</v>
      </c>
      <c r="F1034" t="n">
        <v>1570</v>
      </c>
      <c r="G1034" t="n">
        <v>1570</v>
      </c>
    </row>
    <row r="1035">
      <c r="A1035" t="inlineStr">
        <is>
          <t>202617</t>
        </is>
      </c>
      <c r="B1035" t="inlineStr">
        <is>
          <t>Andere</t>
        </is>
      </c>
      <c r="C1035" t="inlineStr">
        <is>
          <t>VFBIN-LINE-01</t>
        </is>
      </c>
      <c r="D1035" t="n">
        <v>1520</v>
      </c>
      <c r="E1035" t="n">
        <v>0</v>
      </c>
      <c r="F1035" t="n">
        <v>1520</v>
      </c>
      <c r="G1035" t="n">
        <v>1520</v>
      </c>
    </row>
    <row r="1036">
      <c r="A1036" t="inlineStr">
        <is>
          <t>202617</t>
        </is>
      </c>
      <c r="B1036" t="inlineStr">
        <is>
          <t>Andere</t>
        </is>
      </c>
      <c r="C1036" t="inlineStr">
        <is>
          <t>PH-03-15</t>
        </is>
      </c>
      <c r="D1036" t="n">
        <v>1376</v>
      </c>
      <c r="E1036" t="n">
        <v>0</v>
      </c>
      <c r="F1036" t="n">
        <v>1376</v>
      </c>
      <c r="G1036" t="n">
        <v>1376</v>
      </c>
    </row>
    <row r="1037">
      <c r="A1037" t="inlineStr">
        <is>
          <t>202617</t>
        </is>
      </c>
      <c r="B1037" t="inlineStr">
        <is>
          <t>Andere</t>
        </is>
      </c>
      <c r="C1037" t="inlineStr">
        <is>
          <t>LOST</t>
        </is>
      </c>
      <c r="D1037" t="n">
        <v>1357.33</v>
      </c>
      <c r="E1037" t="n">
        <v>10</v>
      </c>
      <c r="F1037" t="n">
        <v>1347.33</v>
      </c>
      <c r="G1037" t="n">
        <v>1347.33</v>
      </c>
    </row>
    <row r="1038">
      <c r="A1038" t="inlineStr">
        <is>
          <t>202617</t>
        </is>
      </c>
      <c r="B1038" t="inlineStr">
        <is>
          <t>Andere</t>
        </is>
      </c>
      <c r="C1038" t="inlineStr">
        <is>
          <t>FASADEKM</t>
        </is>
      </c>
      <c r="D1038" t="n">
        <v>1232</v>
      </c>
      <c r="E1038" t="n">
        <v>0</v>
      </c>
      <c r="F1038" t="n">
        <v>1232</v>
      </c>
      <c r="G1038" t="n">
        <v>1232</v>
      </c>
    </row>
    <row r="1039">
      <c r="A1039" t="inlineStr">
        <is>
          <t>202617</t>
        </is>
      </c>
      <c r="B1039" t="inlineStr">
        <is>
          <t>Andere</t>
        </is>
      </c>
      <c r="C1039" t="inlineStr">
        <is>
          <t>PH-03-28</t>
        </is>
      </c>
      <c r="D1039" t="n">
        <v>1152</v>
      </c>
      <c r="E1039" t="n">
        <v>0</v>
      </c>
      <c r="F1039" t="n">
        <v>1152</v>
      </c>
      <c r="G1039" t="n">
        <v>1152</v>
      </c>
    </row>
    <row r="1040">
      <c r="A1040" t="inlineStr">
        <is>
          <t>202617</t>
        </is>
      </c>
      <c r="B1040" t="inlineStr">
        <is>
          <t>Andere</t>
        </is>
      </c>
      <c r="C1040" t="inlineStr">
        <is>
          <t>P-04-03-2</t>
        </is>
      </c>
      <c r="D1040" t="n">
        <v>1000</v>
      </c>
      <c r="E1040" t="n">
        <v>0</v>
      </c>
      <c r="F1040" t="n">
        <v>1000</v>
      </c>
      <c r="G1040" t="n">
        <v>1000</v>
      </c>
    </row>
    <row r="1041">
      <c r="A1041" t="inlineStr">
        <is>
          <t>202617</t>
        </is>
      </c>
      <c r="B1041" t="inlineStr">
        <is>
          <t>Andere</t>
        </is>
      </c>
      <c r="C1041" t="inlineStr">
        <is>
          <t>FASAADIB</t>
        </is>
      </c>
      <c r="D1041" t="n">
        <v>883.11</v>
      </c>
      <c r="E1041" t="n">
        <v>0</v>
      </c>
      <c r="F1041" t="n">
        <v>883.11</v>
      </c>
      <c r="G1041" t="n">
        <v>883.11</v>
      </c>
    </row>
    <row r="1042">
      <c r="A1042" t="inlineStr">
        <is>
          <t>202617</t>
        </is>
      </c>
      <c r="B1042" t="inlineStr">
        <is>
          <t>Andere</t>
        </is>
      </c>
      <c r="C1042" t="inlineStr">
        <is>
          <t>P-04-03-1</t>
        </is>
      </c>
      <c r="D1042" t="n">
        <v>824</v>
      </c>
      <c r="E1042" t="n">
        <v>0</v>
      </c>
      <c r="F1042" t="n">
        <v>824</v>
      </c>
      <c r="G1042" t="n">
        <v>824</v>
      </c>
    </row>
    <row r="1043">
      <c r="A1043" t="inlineStr">
        <is>
          <t>202617</t>
        </is>
      </c>
      <c r="B1043" t="inlineStr">
        <is>
          <t>Andere</t>
        </is>
      </c>
      <c r="C1043" t="inlineStr">
        <is>
          <t>PH-03-16</t>
        </is>
      </c>
      <c r="D1043" t="n">
        <v>768</v>
      </c>
      <c r="E1043" t="n">
        <v>0</v>
      </c>
      <c r="F1043" t="n">
        <v>768</v>
      </c>
      <c r="G1043" t="n">
        <v>768</v>
      </c>
    </row>
    <row r="1044">
      <c r="A1044" t="inlineStr">
        <is>
          <t>202617</t>
        </is>
      </c>
      <c r="B1044" t="inlineStr">
        <is>
          <t>Andere</t>
        </is>
      </c>
      <c r="C1044" t="inlineStr">
        <is>
          <t>PH-03-17</t>
        </is>
      </c>
      <c r="D1044" t="n">
        <v>768</v>
      </c>
      <c r="E1044" t="n">
        <v>0</v>
      </c>
      <c r="F1044" t="n">
        <v>768</v>
      </c>
      <c r="G1044" t="n">
        <v>768</v>
      </c>
    </row>
    <row r="1045">
      <c r="A1045" t="inlineStr">
        <is>
          <t>202617</t>
        </is>
      </c>
      <c r="B1045" t="inlineStr">
        <is>
          <t>Andere</t>
        </is>
      </c>
      <c r="C1045" t="inlineStr">
        <is>
          <t>PH-03-18</t>
        </is>
      </c>
      <c r="D1045" t="n">
        <v>768</v>
      </c>
      <c r="E1045" t="n">
        <v>0</v>
      </c>
      <c r="F1045" t="n">
        <v>768</v>
      </c>
      <c r="G1045" t="n">
        <v>768</v>
      </c>
    </row>
    <row r="1046">
      <c r="A1046" t="inlineStr">
        <is>
          <t>202617</t>
        </is>
      </c>
      <c r="B1046" t="inlineStr">
        <is>
          <t>Andere</t>
        </is>
      </c>
      <c r="C1046" t="inlineStr">
        <is>
          <t>PH-03-19</t>
        </is>
      </c>
      <c r="D1046" t="n">
        <v>768</v>
      </c>
      <c r="E1046" t="n">
        <v>0</v>
      </c>
      <c r="F1046" t="n">
        <v>768</v>
      </c>
      <c r="G1046" t="n">
        <v>768</v>
      </c>
    </row>
    <row r="1047">
      <c r="A1047" t="inlineStr">
        <is>
          <t>202617</t>
        </is>
      </c>
      <c r="B1047" t="inlineStr">
        <is>
          <t>Andere</t>
        </is>
      </c>
      <c r="C1047" t="inlineStr">
        <is>
          <t>PH-03-20</t>
        </is>
      </c>
      <c r="D1047" t="n">
        <v>768</v>
      </c>
      <c r="E1047" t="n">
        <v>0</v>
      </c>
      <c r="F1047" t="n">
        <v>768</v>
      </c>
      <c r="G1047" t="n">
        <v>768</v>
      </c>
    </row>
    <row r="1048">
      <c r="A1048" t="inlineStr">
        <is>
          <t>202617</t>
        </is>
      </c>
      <c r="B1048" t="inlineStr">
        <is>
          <t>Andere</t>
        </is>
      </c>
      <c r="C1048" t="inlineStr">
        <is>
          <t>PH-03-21</t>
        </is>
      </c>
      <c r="D1048" t="n">
        <v>768</v>
      </c>
      <c r="E1048" t="n">
        <v>0</v>
      </c>
      <c r="F1048" t="n">
        <v>768</v>
      </c>
      <c r="G1048" t="n">
        <v>768</v>
      </c>
    </row>
    <row r="1049">
      <c r="A1049" t="inlineStr">
        <is>
          <t>202617</t>
        </is>
      </c>
      <c r="B1049" t="inlineStr">
        <is>
          <t>Andere</t>
        </is>
      </c>
      <c r="C1049" t="inlineStr">
        <is>
          <t>PH-03-22</t>
        </is>
      </c>
      <c r="D1049" t="n">
        <v>768</v>
      </c>
      <c r="E1049" t="n">
        <v>0</v>
      </c>
      <c r="F1049" t="n">
        <v>768</v>
      </c>
      <c r="G1049" t="n">
        <v>768</v>
      </c>
    </row>
    <row r="1050">
      <c r="A1050" t="inlineStr">
        <is>
          <t>202617</t>
        </is>
      </c>
      <c r="B1050" t="inlineStr">
        <is>
          <t>Andere</t>
        </is>
      </c>
      <c r="C1050" t="inlineStr">
        <is>
          <t>PH-03-23</t>
        </is>
      </c>
      <c r="D1050" t="n">
        <v>768</v>
      </c>
      <c r="E1050" t="n">
        <v>0</v>
      </c>
      <c r="F1050" t="n">
        <v>768</v>
      </c>
      <c r="G1050" t="n">
        <v>768</v>
      </c>
    </row>
    <row r="1051">
      <c r="A1051" t="inlineStr">
        <is>
          <t>202617</t>
        </is>
      </c>
      <c r="B1051" t="inlineStr">
        <is>
          <t>Andere</t>
        </is>
      </c>
      <c r="C1051" t="inlineStr">
        <is>
          <t>PH-03-24</t>
        </is>
      </c>
      <c r="D1051" t="n">
        <v>768</v>
      </c>
      <c r="E1051" t="n">
        <v>0</v>
      </c>
      <c r="F1051" t="n">
        <v>768</v>
      </c>
      <c r="G1051" t="n">
        <v>768</v>
      </c>
    </row>
    <row r="1052">
      <c r="A1052" t="inlineStr">
        <is>
          <t>202617</t>
        </is>
      </c>
      <c r="B1052" t="inlineStr">
        <is>
          <t>Andere</t>
        </is>
      </c>
      <c r="C1052" t="inlineStr">
        <is>
          <t>PH-03-25</t>
        </is>
      </c>
      <c r="D1052" t="n">
        <v>768</v>
      </c>
      <c r="E1052" t="n">
        <v>0</v>
      </c>
      <c r="F1052" t="n">
        <v>768</v>
      </c>
      <c r="G1052" t="n">
        <v>768</v>
      </c>
    </row>
    <row r="1053">
      <c r="A1053" t="inlineStr">
        <is>
          <t>202617</t>
        </is>
      </c>
      <c r="B1053" t="inlineStr">
        <is>
          <t>Andere</t>
        </is>
      </c>
      <c r="C1053" t="inlineStr">
        <is>
          <t>P-04-01-1</t>
        </is>
      </c>
      <c r="D1053" t="n">
        <v>654</v>
      </c>
      <c r="E1053" t="n">
        <v>0</v>
      </c>
      <c r="F1053" t="n">
        <v>654</v>
      </c>
      <c r="G1053" t="n">
        <v>654</v>
      </c>
    </row>
    <row r="1054">
      <c r="A1054" t="inlineStr">
        <is>
          <t>202617</t>
        </is>
      </c>
      <c r="B1054" t="inlineStr">
        <is>
          <t>Andere</t>
        </is>
      </c>
      <c r="C1054" t="inlineStr">
        <is>
          <t>P-04-01-2</t>
        </is>
      </c>
      <c r="D1054" t="n">
        <v>616</v>
      </c>
      <c r="E1054" t="n">
        <v>0</v>
      </c>
      <c r="F1054" t="n">
        <v>616</v>
      </c>
      <c r="G1054" t="n">
        <v>616</v>
      </c>
    </row>
    <row r="1055">
      <c r="A1055" t="inlineStr">
        <is>
          <t>202617</t>
        </is>
      </c>
      <c r="B1055" t="inlineStr">
        <is>
          <t>Andere</t>
        </is>
      </c>
      <c r="C1055" t="inlineStr">
        <is>
          <t>P-04-13-3</t>
        </is>
      </c>
      <c r="D1055" t="n">
        <v>616</v>
      </c>
      <c r="E1055" t="n">
        <v>0</v>
      </c>
      <c r="F1055" t="n">
        <v>616</v>
      </c>
      <c r="G1055" t="n">
        <v>616</v>
      </c>
    </row>
    <row r="1056">
      <c r="A1056" t="inlineStr">
        <is>
          <t>202617</t>
        </is>
      </c>
      <c r="B1056" t="inlineStr">
        <is>
          <t>Andere</t>
        </is>
      </c>
      <c r="C1056" t="inlineStr">
        <is>
          <t>P-04-07-2</t>
        </is>
      </c>
      <c r="D1056" t="n">
        <v>538</v>
      </c>
      <c r="E1056" t="n">
        <v>0</v>
      </c>
      <c r="F1056" t="n">
        <v>538</v>
      </c>
      <c r="G1056" t="n">
        <v>538</v>
      </c>
    </row>
    <row r="1057">
      <c r="A1057" t="inlineStr">
        <is>
          <t>202617</t>
        </is>
      </c>
      <c r="B1057" t="inlineStr">
        <is>
          <t>Andere</t>
        </is>
      </c>
      <c r="C1057" t="inlineStr">
        <is>
          <t>FZ-02-03-1</t>
        </is>
      </c>
      <c r="D1057" t="n">
        <v>478</v>
      </c>
      <c r="E1057" t="n">
        <v>0</v>
      </c>
      <c r="F1057" t="n">
        <v>478</v>
      </c>
      <c r="G1057" t="n">
        <v>478</v>
      </c>
    </row>
    <row r="1058">
      <c r="A1058" t="inlineStr">
        <is>
          <t>202617</t>
        </is>
      </c>
      <c r="B1058" t="inlineStr">
        <is>
          <t>Andere</t>
        </is>
      </c>
      <c r="C1058" t="inlineStr">
        <is>
          <t>FZ-02-02-1</t>
        </is>
      </c>
      <c r="D1058" t="n">
        <v>468.02</v>
      </c>
      <c r="E1058" t="n">
        <v>0</v>
      </c>
      <c r="F1058" t="n">
        <v>468.02</v>
      </c>
      <c r="G1058" t="n">
        <v>468.02</v>
      </c>
    </row>
    <row r="1059">
      <c r="A1059" t="inlineStr">
        <is>
          <t>202617</t>
        </is>
      </c>
      <c r="B1059" t="inlineStr">
        <is>
          <t>Andere</t>
        </is>
      </c>
      <c r="C1059" t="inlineStr">
        <is>
          <t>FZ-01-10-1</t>
        </is>
      </c>
      <c r="D1059" t="n">
        <v>468</v>
      </c>
      <c r="E1059" t="n">
        <v>0</v>
      </c>
      <c r="F1059" t="n">
        <v>468</v>
      </c>
      <c r="G1059" t="n">
        <v>468</v>
      </c>
    </row>
    <row r="1060">
      <c r="A1060" t="inlineStr">
        <is>
          <t>202617</t>
        </is>
      </c>
      <c r="B1060" t="inlineStr">
        <is>
          <t>Andere</t>
        </is>
      </c>
      <c r="C1060" t="inlineStr">
        <is>
          <t>FZ-01-11-3</t>
        </is>
      </c>
      <c r="D1060" t="n">
        <v>468</v>
      </c>
      <c r="E1060" t="n">
        <v>0</v>
      </c>
      <c r="F1060" t="n">
        <v>468</v>
      </c>
      <c r="G1060" t="n">
        <v>468</v>
      </c>
    </row>
    <row r="1061">
      <c r="A1061" t="inlineStr">
        <is>
          <t>202617</t>
        </is>
      </c>
      <c r="B1061" t="inlineStr">
        <is>
          <t>Andere</t>
        </is>
      </c>
      <c r="C1061" t="inlineStr">
        <is>
          <t>FZ-02-01-1</t>
        </is>
      </c>
      <c r="D1061" t="n">
        <v>468</v>
      </c>
      <c r="E1061" t="n">
        <v>0</v>
      </c>
      <c r="F1061" t="n">
        <v>468</v>
      </c>
      <c r="G1061" t="n">
        <v>468</v>
      </c>
    </row>
    <row r="1062">
      <c r="A1062" t="inlineStr">
        <is>
          <t>202617</t>
        </is>
      </c>
      <c r="B1062" t="inlineStr">
        <is>
          <t>Andere</t>
        </is>
      </c>
      <c r="C1062" t="inlineStr">
        <is>
          <t>FZ-02-04-1</t>
        </is>
      </c>
      <c r="D1062" t="n">
        <v>468</v>
      </c>
      <c r="E1062" t="n">
        <v>0</v>
      </c>
      <c r="F1062" t="n">
        <v>468</v>
      </c>
      <c r="G1062" t="n">
        <v>468</v>
      </c>
    </row>
    <row r="1063">
      <c r="A1063" t="inlineStr">
        <is>
          <t>202617</t>
        </is>
      </c>
      <c r="B1063" t="inlineStr">
        <is>
          <t>Andere</t>
        </is>
      </c>
      <c r="C1063" t="inlineStr">
        <is>
          <t>FZ-02-05-1</t>
        </is>
      </c>
      <c r="D1063" t="n">
        <v>468</v>
      </c>
      <c r="E1063" t="n">
        <v>0</v>
      </c>
      <c r="F1063" t="n">
        <v>468</v>
      </c>
      <c r="G1063" t="n">
        <v>468</v>
      </c>
    </row>
    <row r="1064">
      <c r="A1064" t="inlineStr">
        <is>
          <t>202617</t>
        </is>
      </c>
      <c r="B1064" t="inlineStr">
        <is>
          <t>Andere</t>
        </is>
      </c>
      <c r="C1064" t="inlineStr">
        <is>
          <t>FZ-02-10-1</t>
        </is>
      </c>
      <c r="D1064" t="n">
        <v>468</v>
      </c>
      <c r="E1064" t="n">
        <v>0</v>
      </c>
      <c r="F1064" t="n">
        <v>468</v>
      </c>
      <c r="G1064" t="n">
        <v>468</v>
      </c>
    </row>
    <row r="1065">
      <c r="A1065" t="inlineStr">
        <is>
          <t>202617</t>
        </is>
      </c>
      <c r="B1065" t="inlineStr">
        <is>
          <t>Andere</t>
        </is>
      </c>
      <c r="C1065" t="inlineStr">
        <is>
          <t>FZ-02-11-1</t>
        </is>
      </c>
      <c r="D1065" t="n">
        <v>468</v>
      </c>
      <c r="E1065" t="n">
        <v>0</v>
      </c>
      <c r="F1065" t="n">
        <v>468</v>
      </c>
      <c r="G1065" t="n">
        <v>468</v>
      </c>
    </row>
    <row r="1066">
      <c r="A1066" t="inlineStr">
        <is>
          <t>202617</t>
        </is>
      </c>
      <c r="B1066" t="inlineStr">
        <is>
          <t>Andere</t>
        </is>
      </c>
      <c r="C1066" t="inlineStr">
        <is>
          <t>FZ-02-12-1</t>
        </is>
      </c>
      <c r="D1066" t="n">
        <v>468</v>
      </c>
      <c r="E1066" t="n">
        <v>0</v>
      </c>
      <c r="F1066" t="n">
        <v>468</v>
      </c>
      <c r="G1066" t="n">
        <v>468</v>
      </c>
    </row>
    <row r="1067">
      <c r="A1067" t="inlineStr">
        <is>
          <t>202617</t>
        </is>
      </c>
      <c r="B1067" t="inlineStr">
        <is>
          <t>Andere</t>
        </is>
      </c>
      <c r="C1067" t="inlineStr">
        <is>
          <t>FZ-02-14-1</t>
        </is>
      </c>
      <c r="D1067" t="n">
        <v>468</v>
      </c>
      <c r="E1067" t="n">
        <v>0</v>
      </c>
      <c r="F1067" t="n">
        <v>468</v>
      </c>
      <c r="G1067" t="n">
        <v>468</v>
      </c>
    </row>
    <row r="1068">
      <c r="A1068" t="inlineStr">
        <is>
          <t>202617</t>
        </is>
      </c>
      <c r="B1068" t="inlineStr">
        <is>
          <t>Andere</t>
        </is>
      </c>
      <c r="C1068" t="inlineStr">
        <is>
          <t>FZ-02-15-1</t>
        </is>
      </c>
      <c r="D1068" t="n">
        <v>468</v>
      </c>
      <c r="E1068" t="n">
        <v>0</v>
      </c>
      <c r="F1068" t="n">
        <v>468</v>
      </c>
      <c r="G1068" t="n">
        <v>468</v>
      </c>
    </row>
    <row r="1069">
      <c r="A1069" t="inlineStr">
        <is>
          <t>202617</t>
        </is>
      </c>
      <c r="B1069" t="inlineStr">
        <is>
          <t>Andere</t>
        </is>
      </c>
      <c r="C1069" t="inlineStr">
        <is>
          <t>FZ-02-38-1</t>
        </is>
      </c>
      <c r="D1069" t="n">
        <v>468</v>
      </c>
      <c r="E1069" t="n">
        <v>0</v>
      </c>
      <c r="F1069" t="n">
        <v>468</v>
      </c>
      <c r="G1069" t="n">
        <v>468</v>
      </c>
    </row>
    <row r="1070">
      <c r="A1070" t="inlineStr">
        <is>
          <t>202617</t>
        </is>
      </c>
      <c r="B1070" t="inlineStr">
        <is>
          <t>Andere</t>
        </is>
      </c>
      <c r="C1070" t="inlineStr">
        <is>
          <t>FZ-02-39-1</t>
        </is>
      </c>
      <c r="D1070" t="n">
        <v>468</v>
      </c>
      <c r="E1070" t="n">
        <v>0</v>
      </c>
      <c r="F1070" t="n">
        <v>468</v>
      </c>
      <c r="G1070" t="n">
        <v>468</v>
      </c>
    </row>
    <row r="1071">
      <c r="A1071" t="inlineStr">
        <is>
          <t>202617</t>
        </is>
      </c>
      <c r="B1071" t="inlineStr">
        <is>
          <t>Andere</t>
        </is>
      </c>
      <c r="C1071" t="inlineStr">
        <is>
          <t>FZ-02-40-1</t>
        </is>
      </c>
      <c r="D1071" t="n">
        <v>468</v>
      </c>
      <c r="E1071" t="n">
        <v>0</v>
      </c>
      <c r="F1071" t="n">
        <v>468</v>
      </c>
      <c r="G1071" t="n">
        <v>468</v>
      </c>
    </row>
    <row r="1072">
      <c r="A1072" t="inlineStr">
        <is>
          <t>202617</t>
        </is>
      </c>
      <c r="B1072" t="inlineStr">
        <is>
          <t>Andere</t>
        </is>
      </c>
      <c r="C1072" t="inlineStr">
        <is>
          <t>FZ-02-41-1</t>
        </is>
      </c>
      <c r="D1072" t="n">
        <v>468</v>
      </c>
      <c r="E1072" t="n">
        <v>0</v>
      </c>
      <c r="F1072" t="n">
        <v>468</v>
      </c>
      <c r="G1072" t="n">
        <v>468</v>
      </c>
    </row>
    <row r="1073">
      <c r="A1073" t="inlineStr">
        <is>
          <t>202617</t>
        </is>
      </c>
      <c r="B1073" t="inlineStr">
        <is>
          <t>Andere</t>
        </is>
      </c>
      <c r="C1073" t="inlineStr">
        <is>
          <t>FZ-02-42-1</t>
        </is>
      </c>
      <c r="D1073" t="n">
        <v>468</v>
      </c>
      <c r="E1073" t="n">
        <v>0</v>
      </c>
      <c r="F1073" t="n">
        <v>468</v>
      </c>
      <c r="G1073" t="n">
        <v>468</v>
      </c>
    </row>
    <row r="1074">
      <c r="A1074" t="inlineStr">
        <is>
          <t>202617</t>
        </is>
      </c>
      <c r="B1074" t="inlineStr">
        <is>
          <t>Andere</t>
        </is>
      </c>
      <c r="C1074" t="inlineStr">
        <is>
          <t>P-04-10-2</t>
        </is>
      </c>
      <c r="D1074" t="n">
        <v>462</v>
      </c>
      <c r="E1074" t="n">
        <v>0</v>
      </c>
      <c r="F1074" t="n">
        <v>462</v>
      </c>
      <c r="G1074" t="n">
        <v>462</v>
      </c>
    </row>
    <row r="1075">
      <c r="A1075" t="inlineStr">
        <is>
          <t>202617</t>
        </is>
      </c>
      <c r="B1075" t="inlineStr">
        <is>
          <t>Andere</t>
        </is>
      </c>
      <c r="C1075" t="inlineStr">
        <is>
          <t>GC-02-24-2</t>
        </is>
      </c>
      <c r="D1075" t="n">
        <v>545</v>
      </c>
      <c r="E1075" t="n">
        <v>105</v>
      </c>
      <c r="F1075" t="n">
        <v>440</v>
      </c>
      <c r="G1075" t="n">
        <v>440</v>
      </c>
    </row>
    <row r="1076">
      <c r="A1076" t="inlineStr">
        <is>
          <t>202617</t>
        </is>
      </c>
      <c r="B1076" t="inlineStr">
        <is>
          <t>Andere</t>
        </is>
      </c>
      <c r="C1076" t="inlineStr">
        <is>
          <t>PH-03-14</t>
        </is>
      </c>
      <c r="D1076" t="n">
        <v>440</v>
      </c>
      <c r="E1076" t="n">
        <v>0</v>
      </c>
      <c r="F1076" t="n">
        <v>440</v>
      </c>
      <c r="G1076" t="n">
        <v>440</v>
      </c>
    </row>
    <row r="1077">
      <c r="A1077" t="inlineStr">
        <is>
          <t>202617</t>
        </is>
      </c>
      <c r="B1077" t="inlineStr">
        <is>
          <t>Andere</t>
        </is>
      </c>
      <c r="C1077" t="inlineStr">
        <is>
          <t>GC-02-16-3</t>
        </is>
      </c>
      <c r="D1077" t="n">
        <v>430</v>
      </c>
      <c r="E1077" t="n">
        <v>20</v>
      </c>
      <c r="F1077" t="n">
        <v>410</v>
      </c>
      <c r="G1077" t="n">
        <v>410</v>
      </c>
    </row>
    <row r="1078">
      <c r="A1078" t="inlineStr">
        <is>
          <t>202617</t>
        </is>
      </c>
      <c r="B1078" t="inlineStr">
        <is>
          <t>Andere</t>
        </is>
      </c>
      <c r="C1078" t="inlineStr">
        <is>
          <t>GC-02-18-1</t>
        </is>
      </c>
      <c r="D1078" t="n">
        <v>435</v>
      </c>
      <c r="E1078" t="n">
        <v>25</v>
      </c>
      <c r="F1078" t="n">
        <v>410</v>
      </c>
      <c r="G1078" t="n">
        <v>410</v>
      </c>
    </row>
    <row r="1079">
      <c r="A1079" t="inlineStr">
        <is>
          <t>202617</t>
        </is>
      </c>
      <c r="B1079" t="inlineStr">
        <is>
          <t>Andere</t>
        </is>
      </c>
      <c r="C1079" t="inlineStr">
        <is>
          <t>FAJHOFFVF</t>
        </is>
      </c>
      <c r="D1079" t="n">
        <v>401.65</v>
      </c>
      <c r="E1079" t="n">
        <v>0</v>
      </c>
      <c r="F1079" t="n">
        <v>401.65</v>
      </c>
      <c r="G1079" t="n">
        <v>401.65</v>
      </c>
    </row>
    <row r="1080">
      <c r="A1080" t="inlineStr">
        <is>
          <t>202617</t>
        </is>
      </c>
      <c r="B1080" t="inlineStr">
        <is>
          <t>Andere</t>
        </is>
      </c>
      <c r="C1080" t="inlineStr">
        <is>
          <t>A-01-05-1</t>
        </is>
      </c>
      <c r="D1080" t="n">
        <v>400</v>
      </c>
      <c r="E1080" t="n">
        <v>0</v>
      </c>
      <c r="F1080" t="n">
        <v>400</v>
      </c>
      <c r="G1080" t="n">
        <v>400</v>
      </c>
    </row>
    <row r="1081">
      <c r="A1081" t="inlineStr">
        <is>
          <t>202617</t>
        </is>
      </c>
      <c r="B1081" t="inlineStr">
        <is>
          <t>Andere</t>
        </is>
      </c>
      <c r="C1081" t="inlineStr">
        <is>
          <t>A-02-35-2</t>
        </is>
      </c>
      <c r="D1081" t="n">
        <v>400</v>
      </c>
      <c r="E1081" t="n">
        <v>0</v>
      </c>
      <c r="F1081" t="n">
        <v>400</v>
      </c>
      <c r="G1081" t="n">
        <v>400</v>
      </c>
    </row>
    <row r="1082">
      <c r="A1082" t="inlineStr">
        <is>
          <t>202617</t>
        </is>
      </c>
      <c r="B1082" t="inlineStr">
        <is>
          <t>Andere</t>
        </is>
      </c>
      <c r="C1082" t="inlineStr">
        <is>
          <t>A-02-39-2</t>
        </is>
      </c>
      <c r="D1082" t="n">
        <v>400</v>
      </c>
      <c r="E1082" t="n">
        <v>0</v>
      </c>
      <c r="F1082" t="n">
        <v>400</v>
      </c>
      <c r="G1082" t="n">
        <v>400</v>
      </c>
    </row>
    <row r="1083">
      <c r="A1083" t="inlineStr">
        <is>
          <t>202617</t>
        </is>
      </c>
      <c r="B1083" t="inlineStr">
        <is>
          <t>Andere</t>
        </is>
      </c>
      <c r="C1083" t="inlineStr">
        <is>
          <t>A-02-40-2</t>
        </is>
      </c>
      <c r="D1083" t="n">
        <v>400</v>
      </c>
      <c r="E1083" t="n">
        <v>0</v>
      </c>
      <c r="F1083" t="n">
        <v>400</v>
      </c>
      <c r="G1083" t="n">
        <v>400</v>
      </c>
    </row>
    <row r="1084">
      <c r="A1084" t="inlineStr">
        <is>
          <t>202617</t>
        </is>
      </c>
      <c r="B1084" t="inlineStr">
        <is>
          <t>Andere</t>
        </is>
      </c>
      <c r="C1084" t="inlineStr">
        <is>
          <t>A-02-40-3</t>
        </is>
      </c>
      <c r="D1084" t="n">
        <v>400</v>
      </c>
      <c r="E1084" t="n">
        <v>0</v>
      </c>
      <c r="F1084" t="n">
        <v>400</v>
      </c>
      <c r="G1084" t="n">
        <v>400</v>
      </c>
    </row>
    <row r="1085">
      <c r="A1085" t="inlineStr">
        <is>
          <t>202617</t>
        </is>
      </c>
      <c r="B1085" t="inlineStr">
        <is>
          <t>Andere</t>
        </is>
      </c>
      <c r="C1085" t="inlineStr">
        <is>
          <t>A-02-41-2</t>
        </is>
      </c>
      <c r="D1085" t="n">
        <v>400</v>
      </c>
      <c r="E1085" t="n">
        <v>0</v>
      </c>
      <c r="F1085" t="n">
        <v>400</v>
      </c>
      <c r="G1085" t="n">
        <v>400</v>
      </c>
    </row>
    <row r="1086">
      <c r="A1086" t="inlineStr">
        <is>
          <t>202617</t>
        </is>
      </c>
      <c r="B1086" t="inlineStr">
        <is>
          <t>Andere</t>
        </is>
      </c>
      <c r="C1086" t="inlineStr">
        <is>
          <t>A-02-43-2</t>
        </is>
      </c>
      <c r="D1086" t="n">
        <v>400</v>
      </c>
      <c r="E1086" t="n">
        <v>0</v>
      </c>
      <c r="F1086" t="n">
        <v>400</v>
      </c>
      <c r="G1086" t="n">
        <v>400</v>
      </c>
    </row>
    <row r="1087">
      <c r="A1087" t="inlineStr">
        <is>
          <t>202617</t>
        </is>
      </c>
      <c r="B1087" t="inlineStr">
        <is>
          <t>Andere</t>
        </is>
      </c>
      <c r="C1087" t="inlineStr">
        <is>
          <t>A-02-59-4</t>
        </is>
      </c>
      <c r="D1087" t="n">
        <v>400</v>
      </c>
      <c r="E1087" t="n">
        <v>0</v>
      </c>
      <c r="F1087" t="n">
        <v>400</v>
      </c>
      <c r="G1087" t="n">
        <v>400</v>
      </c>
    </row>
    <row r="1088">
      <c r="A1088" t="inlineStr">
        <is>
          <t>202617</t>
        </is>
      </c>
      <c r="B1088" t="inlineStr">
        <is>
          <t>Andere</t>
        </is>
      </c>
      <c r="C1088" t="inlineStr">
        <is>
          <t>FASCHRADERS</t>
        </is>
      </c>
      <c r="D1088" t="n">
        <v>400</v>
      </c>
      <c r="E1088" t="n">
        <v>0</v>
      </c>
      <c r="F1088" t="n">
        <v>400</v>
      </c>
      <c r="G1088" t="n">
        <v>400</v>
      </c>
    </row>
    <row r="1089">
      <c r="A1089" t="inlineStr">
        <is>
          <t>202617</t>
        </is>
      </c>
      <c r="B1089" t="inlineStr">
        <is>
          <t>Andere</t>
        </is>
      </c>
      <c r="C1089" t="inlineStr">
        <is>
          <t>PH-02-02</t>
        </is>
      </c>
      <c r="D1089" t="n">
        <v>390</v>
      </c>
      <c r="E1089" t="n">
        <v>0</v>
      </c>
      <c r="F1089" t="n">
        <v>390</v>
      </c>
      <c r="G1089" t="n">
        <v>390</v>
      </c>
    </row>
    <row r="1090">
      <c r="A1090" t="inlineStr">
        <is>
          <t>202617</t>
        </is>
      </c>
      <c r="B1090" t="inlineStr">
        <is>
          <t>Andere</t>
        </is>
      </c>
      <c r="C1090" t="inlineStr">
        <is>
          <t>NORDICS</t>
        </is>
      </c>
      <c r="D1090" t="n">
        <v>384</v>
      </c>
      <c r="E1090" t="n">
        <v>0</v>
      </c>
      <c r="F1090" t="n">
        <v>384</v>
      </c>
      <c r="G1090" t="n">
        <v>384</v>
      </c>
    </row>
    <row r="1091">
      <c r="A1091" t="inlineStr">
        <is>
          <t>202617</t>
        </is>
      </c>
      <c r="B1091" t="inlineStr">
        <is>
          <t>Andere</t>
        </is>
      </c>
      <c r="C1091" t="inlineStr">
        <is>
          <t>P-04-01-3</t>
        </is>
      </c>
      <c r="D1091" t="n">
        <v>384</v>
      </c>
      <c r="E1091" t="n">
        <v>0</v>
      </c>
      <c r="F1091" t="n">
        <v>384</v>
      </c>
      <c r="G1091" t="n">
        <v>384</v>
      </c>
    </row>
    <row r="1092">
      <c r="A1092" t="inlineStr">
        <is>
          <t>202617</t>
        </is>
      </c>
      <c r="B1092" t="inlineStr">
        <is>
          <t>Andere</t>
        </is>
      </c>
      <c r="C1092" t="inlineStr">
        <is>
          <t>P-04-02-3</t>
        </is>
      </c>
      <c r="D1092" t="n">
        <v>384</v>
      </c>
      <c r="E1092" t="n">
        <v>0</v>
      </c>
      <c r="F1092" t="n">
        <v>384</v>
      </c>
      <c r="G1092" t="n">
        <v>384</v>
      </c>
    </row>
    <row r="1093">
      <c r="A1093" t="inlineStr">
        <is>
          <t>202617</t>
        </is>
      </c>
      <c r="B1093" t="inlineStr">
        <is>
          <t>Andere</t>
        </is>
      </c>
      <c r="C1093" t="inlineStr">
        <is>
          <t>P-04-03-3</t>
        </is>
      </c>
      <c r="D1093" t="n">
        <v>384</v>
      </c>
      <c r="E1093" t="n">
        <v>0</v>
      </c>
      <c r="F1093" t="n">
        <v>384</v>
      </c>
      <c r="G1093" t="n">
        <v>384</v>
      </c>
    </row>
    <row r="1094">
      <c r="A1094" t="inlineStr">
        <is>
          <t>202617</t>
        </is>
      </c>
      <c r="B1094" t="inlineStr">
        <is>
          <t>Andere</t>
        </is>
      </c>
      <c r="C1094" t="inlineStr">
        <is>
          <t>P-04-04-3</t>
        </is>
      </c>
      <c r="D1094" t="n">
        <v>384</v>
      </c>
      <c r="E1094" t="n">
        <v>0</v>
      </c>
      <c r="F1094" t="n">
        <v>384</v>
      </c>
      <c r="G1094" t="n">
        <v>384</v>
      </c>
    </row>
    <row r="1095">
      <c r="A1095" t="inlineStr">
        <is>
          <t>202617</t>
        </is>
      </c>
      <c r="B1095" t="inlineStr">
        <is>
          <t>Andere</t>
        </is>
      </c>
      <c r="C1095" t="inlineStr">
        <is>
          <t>P-04-05-3</t>
        </is>
      </c>
      <c r="D1095" t="n">
        <v>384</v>
      </c>
      <c r="E1095" t="n">
        <v>0</v>
      </c>
      <c r="F1095" t="n">
        <v>384</v>
      </c>
      <c r="G1095" t="n">
        <v>384</v>
      </c>
    </row>
    <row r="1096">
      <c r="A1096" t="inlineStr">
        <is>
          <t>202617</t>
        </is>
      </c>
      <c r="B1096" t="inlineStr">
        <is>
          <t>Andere</t>
        </is>
      </c>
      <c r="C1096" t="inlineStr">
        <is>
          <t>P-04-07-3</t>
        </is>
      </c>
      <c r="D1096" t="n">
        <v>384</v>
      </c>
      <c r="E1096" t="n">
        <v>0</v>
      </c>
      <c r="F1096" t="n">
        <v>384</v>
      </c>
      <c r="G1096" t="n">
        <v>384</v>
      </c>
    </row>
    <row r="1097">
      <c r="A1097" t="inlineStr">
        <is>
          <t>202617</t>
        </is>
      </c>
      <c r="B1097" t="inlineStr">
        <is>
          <t>Andere</t>
        </is>
      </c>
      <c r="C1097" t="inlineStr">
        <is>
          <t>P-04-08-3</t>
        </is>
      </c>
      <c r="D1097" t="n">
        <v>384</v>
      </c>
      <c r="E1097" t="n">
        <v>0</v>
      </c>
      <c r="F1097" t="n">
        <v>384</v>
      </c>
      <c r="G1097" t="n">
        <v>384</v>
      </c>
    </row>
    <row r="1098">
      <c r="A1098" t="inlineStr">
        <is>
          <t>202617</t>
        </is>
      </c>
      <c r="B1098" t="inlineStr">
        <is>
          <t>Andere</t>
        </is>
      </c>
      <c r="C1098" t="inlineStr">
        <is>
          <t>P-04-09-3</t>
        </is>
      </c>
      <c r="D1098" t="n">
        <v>384</v>
      </c>
      <c r="E1098" t="n">
        <v>0</v>
      </c>
      <c r="F1098" t="n">
        <v>384</v>
      </c>
      <c r="G1098" t="n">
        <v>384</v>
      </c>
    </row>
    <row r="1099">
      <c r="A1099" t="inlineStr">
        <is>
          <t>202617</t>
        </is>
      </c>
      <c r="B1099" t="inlineStr">
        <is>
          <t>Andere</t>
        </is>
      </c>
      <c r="C1099" t="inlineStr">
        <is>
          <t>P-04-12-3</t>
        </is>
      </c>
      <c r="D1099" t="n">
        <v>384</v>
      </c>
      <c r="E1099" t="n">
        <v>0</v>
      </c>
      <c r="F1099" t="n">
        <v>384</v>
      </c>
      <c r="G1099" t="n">
        <v>384</v>
      </c>
    </row>
    <row r="1100">
      <c r="A1100" t="inlineStr">
        <is>
          <t>202617</t>
        </is>
      </c>
      <c r="B1100" t="inlineStr">
        <is>
          <t>Andere</t>
        </is>
      </c>
      <c r="C1100" t="inlineStr">
        <is>
          <t>PH-03-27</t>
        </is>
      </c>
      <c r="D1100" t="n">
        <v>384</v>
      </c>
      <c r="E1100" t="n">
        <v>0</v>
      </c>
      <c r="F1100" t="n">
        <v>384</v>
      </c>
      <c r="G1100" t="n">
        <v>384</v>
      </c>
    </row>
    <row r="1101">
      <c r="A1101" t="inlineStr">
        <is>
          <t>202617</t>
        </is>
      </c>
      <c r="B1101" t="inlineStr">
        <is>
          <t>Andere</t>
        </is>
      </c>
      <c r="C1101" t="inlineStr">
        <is>
          <t>FZ-01-30-2</t>
        </is>
      </c>
      <c r="D1101" t="n">
        <v>380</v>
      </c>
      <c r="E1101" t="n">
        <v>0</v>
      </c>
      <c r="F1101" t="n">
        <v>380</v>
      </c>
      <c r="G1101" t="n">
        <v>380</v>
      </c>
    </row>
    <row r="1102">
      <c r="A1102" t="inlineStr">
        <is>
          <t>202617</t>
        </is>
      </c>
      <c r="B1102" t="inlineStr">
        <is>
          <t>Andere</t>
        </is>
      </c>
      <c r="C1102" t="inlineStr">
        <is>
          <t>GC-02-24-3</t>
        </is>
      </c>
      <c r="D1102" t="n">
        <v>360</v>
      </c>
      <c r="E1102" t="n">
        <v>0</v>
      </c>
      <c r="F1102" t="n">
        <v>360</v>
      </c>
      <c r="G1102" t="n">
        <v>360</v>
      </c>
    </row>
    <row r="1103">
      <c r="A1103" t="inlineStr">
        <is>
          <t>202617</t>
        </is>
      </c>
      <c r="B1103" t="inlineStr">
        <is>
          <t>Andere</t>
        </is>
      </c>
      <c r="C1103" t="inlineStr">
        <is>
          <t>P-04-06-3</t>
        </is>
      </c>
      <c r="D1103" t="n">
        <v>374</v>
      </c>
      <c r="E1103" t="n">
        <v>26.4</v>
      </c>
      <c r="F1103" t="n">
        <v>347.6</v>
      </c>
      <c r="G1103" t="n">
        <v>347.6</v>
      </c>
    </row>
    <row r="1104">
      <c r="A1104" t="inlineStr">
        <is>
          <t>202617</t>
        </is>
      </c>
      <c r="B1104" t="inlineStr">
        <is>
          <t>Andere</t>
        </is>
      </c>
      <c r="C1104" t="inlineStr">
        <is>
          <t>P-04-14-2</t>
        </is>
      </c>
      <c r="D1104" t="n">
        <v>308</v>
      </c>
      <c r="E1104" t="n">
        <v>0</v>
      </c>
      <c r="F1104" t="n">
        <v>308</v>
      </c>
      <c r="G1104" t="n">
        <v>308</v>
      </c>
    </row>
    <row r="1105">
      <c r="A1105" t="inlineStr">
        <is>
          <t>202617</t>
        </is>
      </c>
      <c r="B1105" t="inlineStr">
        <is>
          <t>Andere</t>
        </is>
      </c>
      <c r="C1105" t="inlineStr">
        <is>
          <t>P-04-15-2</t>
        </is>
      </c>
      <c r="D1105" t="n">
        <v>308</v>
      </c>
      <c r="E1105" t="n">
        <v>0</v>
      </c>
      <c r="F1105" t="n">
        <v>308</v>
      </c>
      <c r="G1105" t="n">
        <v>308</v>
      </c>
    </row>
    <row r="1106">
      <c r="A1106" t="inlineStr">
        <is>
          <t>202617</t>
        </is>
      </c>
      <c r="B1106" t="inlineStr">
        <is>
          <t>Andere</t>
        </is>
      </c>
      <c r="C1106" t="inlineStr">
        <is>
          <t>FAFURMANNB</t>
        </is>
      </c>
      <c r="D1106" t="n">
        <v>300</v>
      </c>
      <c r="E1106" t="n">
        <v>0</v>
      </c>
      <c r="F1106" t="n">
        <v>300</v>
      </c>
      <c r="G1106" t="n">
        <v>300</v>
      </c>
    </row>
    <row r="1107">
      <c r="A1107" t="inlineStr">
        <is>
          <t>202617</t>
        </is>
      </c>
      <c r="B1107" t="inlineStr">
        <is>
          <t>Andere</t>
        </is>
      </c>
      <c r="C1107" t="inlineStr">
        <is>
          <t>P-04-09-2</t>
        </is>
      </c>
      <c r="D1107" t="n">
        <v>290</v>
      </c>
      <c r="E1107" t="n">
        <v>0</v>
      </c>
      <c r="F1107" t="n">
        <v>290</v>
      </c>
      <c r="G1107" t="n">
        <v>290</v>
      </c>
    </row>
    <row r="1108">
      <c r="A1108" t="inlineStr">
        <is>
          <t>202617</t>
        </is>
      </c>
      <c r="B1108" t="inlineStr">
        <is>
          <t>Andere</t>
        </is>
      </c>
      <c r="C1108" t="inlineStr">
        <is>
          <t>P-04-11-2</t>
        </is>
      </c>
      <c r="D1108" t="n">
        <v>290</v>
      </c>
      <c r="E1108" t="n">
        <v>0</v>
      </c>
      <c r="F1108" t="n">
        <v>290</v>
      </c>
      <c r="G1108" t="n">
        <v>290</v>
      </c>
    </row>
    <row r="1109">
      <c r="A1109" t="inlineStr">
        <is>
          <t>202617</t>
        </is>
      </c>
      <c r="B1109" t="inlineStr">
        <is>
          <t>Andere</t>
        </is>
      </c>
      <c r="C1109" t="inlineStr">
        <is>
          <t>P-04-11-3</t>
        </is>
      </c>
      <c r="D1109" t="n">
        <v>290</v>
      </c>
      <c r="E1109" t="n">
        <v>0</v>
      </c>
      <c r="F1109" t="n">
        <v>290</v>
      </c>
      <c r="G1109" t="n">
        <v>290</v>
      </c>
    </row>
    <row r="1110">
      <c r="A1110" t="inlineStr">
        <is>
          <t>202617</t>
        </is>
      </c>
      <c r="B1110" t="inlineStr">
        <is>
          <t>Andere</t>
        </is>
      </c>
      <c r="C1110" t="inlineStr">
        <is>
          <t>P-04-12-2</t>
        </is>
      </c>
      <c r="D1110" t="n">
        <v>290</v>
      </c>
      <c r="E1110" t="n">
        <v>0</v>
      </c>
      <c r="F1110" t="n">
        <v>290</v>
      </c>
      <c r="G1110" t="n">
        <v>290</v>
      </c>
    </row>
    <row r="1111">
      <c r="A1111" t="inlineStr">
        <is>
          <t>202617</t>
        </is>
      </c>
      <c r="B1111" t="inlineStr">
        <is>
          <t>Andere</t>
        </is>
      </c>
      <c r="C1111" t="inlineStr">
        <is>
          <t>A-02-55-1</t>
        </is>
      </c>
      <c r="D1111" t="n">
        <v>280</v>
      </c>
      <c r="E1111" t="n">
        <v>0</v>
      </c>
      <c r="F1111" t="n">
        <v>280</v>
      </c>
      <c r="G1111" t="n">
        <v>280</v>
      </c>
    </row>
    <row r="1112">
      <c r="A1112" t="inlineStr">
        <is>
          <t>202617</t>
        </is>
      </c>
      <c r="B1112" t="inlineStr">
        <is>
          <t>Andere</t>
        </is>
      </c>
      <c r="C1112" t="inlineStr">
        <is>
          <t>D-06-09-1</t>
        </is>
      </c>
      <c r="D1112" t="n">
        <v>250</v>
      </c>
      <c r="E1112" t="n">
        <v>0</v>
      </c>
      <c r="F1112" t="n">
        <v>250</v>
      </c>
      <c r="G1112" t="n">
        <v>250</v>
      </c>
    </row>
    <row r="1113">
      <c r="A1113" t="inlineStr">
        <is>
          <t>202617</t>
        </is>
      </c>
      <c r="B1113" t="inlineStr">
        <is>
          <t>Andere</t>
        </is>
      </c>
      <c r="C1113" t="inlineStr">
        <is>
          <t>P-04-02-2</t>
        </is>
      </c>
      <c r="D1113" t="n">
        <v>224</v>
      </c>
      <c r="E1113" t="n">
        <v>0</v>
      </c>
      <c r="F1113" t="n">
        <v>224</v>
      </c>
      <c r="G1113" t="n">
        <v>224</v>
      </c>
    </row>
    <row r="1114">
      <c r="A1114" t="inlineStr">
        <is>
          <t>202617</t>
        </is>
      </c>
      <c r="B1114" t="inlineStr">
        <is>
          <t>Andere</t>
        </is>
      </c>
      <c r="C1114" t="inlineStr">
        <is>
          <t>GC-02-19-2</t>
        </is>
      </c>
      <c r="D1114" t="n">
        <v>200</v>
      </c>
      <c r="E1114" t="n">
        <v>0</v>
      </c>
      <c r="F1114" t="n">
        <v>200</v>
      </c>
      <c r="G1114" t="n">
        <v>200</v>
      </c>
    </row>
    <row r="1115">
      <c r="A1115" t="inlineStr">
        <is>
          <t>202617</t>
        </is>
      </c>
      <c r="B1115" t="inlineStr">
        <is>
          <t>Andere</t>
        </is>
      </c>
      <c r="C1115" t="inlineStr">
        <is>
          <t>A-01-09-1</t>
        </is>
      </c>
      <c r="D1115" t="n">
        <v>180</v>
      </c>
      <c r="E1115" t="n">
        <v>0</v>
      </c>
      <c r="F1115" t="n">
        <v>180</v>
      </c>
      <c r="G1115" t="n">
        <v>180</v>
      </c>
    </row>
    <row r="1116">
      <c r="A1116" t="inlineStr">
        <is>
          <t>202617</t>
        </is>
      </c>
      <c r="B1116" t="inlineStr">
        <is>
          <t>Andere</t>
        </is>
      </c>
      <c r="C1116" t="inlineStr">
        <is>
          <t>A-02-36-2</t>
        </is>
      </c>
      <c r="D1116" t="n">
        <v>180</v>
      </c>
      <c r="E1116" t="n">
        <v>0</v>
      </c>
      <c r="F1116" t="n">
        <v>180</v>
      </c>
      <c r="G1116" t="n">
        <v>180</v>
      </c>
    </row>
    <row r="1117">
      <c r="A1117" t="inlineStr">
        <is>
          <t>202617</t>
        </is>
      </c>
      <c r="B1117" t="inlineStr">
        <is>
          <t>Andere</t>
        </is>
      </c>
      <c r="C1117" t="inlineStr">
        <is>
          <t>A-02-40-4</t>
        </is>
      </c>
      <c r="D1117" t="n">
        <v>180</v>
      </c>
      <c r="E1117" t="n">
        <v>0</v>
      </c>
      <c r="F1117" t="n">
        <v>180</v>
      </c>
      <c r="G1117" t="n">
        <v>180</v>
      </c>
    </row>
    <row r="1118">
      <c r="A1118" t="inlineStr">
        <is>
          <t>202617</t>
        </is>
      </c>
      <c r="B1118" t="inlineStr">
        <is>
          <t>Andere</t>
        </is>
      </c>
      <c r="C1118" t="inlineStr">
        <is>
          <t>A-02-42-2</t>
        </is>
      </c>
      <c r="D1118" t="n">
        <v>180</v>
      </c>
      <c r="E1118" t="n">
        <v>0</v>
      </c>
      <c r="F1118" t="n">
        <v>180</v>
      </c>
      <c r="G1118" t="n">
        <v>180</v>
      </c>
    </row>
    <row r="1119">
      <c r="A1119" t="inlineStr">
        <is>
          <t>202617</t>
        </is>
      </c>
      <c r="B1119" t="inlineStr">
        <is>
          <t>Andere</t>
        </is>
      </c>
      <c r="C1119" t="inlineStr">
        <is>
          <t>A-02-61-4</t>
        </is>
      </c>
      <c r="D1119" t="n">
        <v>180</v>
      </c>
      <c r="E1119" t="n">
        <v>0</v>
      </c>
      <c r="F1119" t="n">
        <v>180</v>
      </c>
      <c r="G1119" t="n">
        <v>180</v>
      </c>
    </row>
    <row r="1120">
      <c r="A1120" t="inlineStr">
        <is>
          <t>202617</t>
        </is>
      </c>
      <c r="B1120" t="inlineStr">
        <is>
          <t>Andere</t>
        </is>
      </c>
      <c r="C1120" t="inlineStr">
        <is>
          <t>A-02-65-4</t>
        </is>
      </c>
      <c r="D1120" t="n">
        <v>180</v>
      </c>
      <c r="E1120" t="n">
        <v>0</v>
      </c>
      <c r="F1120" t="n">
        <v>180</v>
      </c>
      <c r="G1120" t="n">
        <v>180</v>
      </c>
    </row>
    <row r="1121">
      <c r="A1121" t="inlineStr">
        <is>
          <t>202617</t>
        </is>
      </c>
      <c r="B1121" t="inlineStr">
        <is>
          <t>Andere</t>
        </is>
      </c>
      <c r="C1121" t="inlineStr">
        <is>
          <t>A-02-66-3</t>
        </is>
      </c>
      <c r="D1121" t="n">
        <v>360</v>
      </c>
      <c r="E1121" t="n">
        <v>180</v>
      </c>
      <c r="F1121" t="n">
        <v>180</v>
      </c>
      <c r="G1121" t="n">
        <v>180</v>
      </c>
    </row>
    <row r="1122">
      <c r="A1122" t="inlineStr">
        <is>
          <t>202617</t>
        </is>
      </c>
      <c r="B1122" t="inlineStr">
        <is>
          <t>Andere</t>
        </is>
      </c>
      <c r="C1122" t="inlineStr">
        <is>
          <t>FASAUERJ</t>
        </is>
      </c>
      <c r="D1122" t="n">
        <v>170</v>
      </c>
      <c r="E1122" t="n">
        <v>0</v>
      </c>
      <c r="F1122" t="n">
        <v>170</v>
      </c>
      <c r="G1122" t="n">
        <v>170</v>
      </c>
    </row>
    <row r="1123">
      <c r="A1123" t="inlineStr">
        <is>
          <t>202617</t>
        </is>
      </c>
      <c r="B1123" t="inlineStr">
        <is>
          <t>Andere</t>
        </is>
      </c>
      <c r="C1123" t="inlineStr">
        <is>
          <t>FZ-01-29-2</t>
        </is>
      </c>
      <c r="D1123" t="n">
        <v>160</v>
      </c>
      <c r="E1123" t="n">
        <v>0</v>
      </c>
      <c r="F1123" t="n">
        <v>160</v>
      </c>
      <c r="G1123" t="n">
        <v>160</v>
      </c>
    </row>
    <row r="1124">
      <c r="A1124" t="inlineStr">
        <is>
          <t>202617</t>
        </is>
      </c>
      <c r="B1124" t="inlineStr">
        <is>
          <t>Andere</t>
        </is>
      </c>
      <c r="C1124" t="inlineStr">
        <is>
          <t>GC-02-22-2</t>
        </is>
      </c>
      <c r="D1124" t="n">
        <v>160</v>
      </c>
      <c r="E1124" t="n">
        <v>0</v>
      </c>
      <c r="F1124" t="n">
        <v>160</v>
      </c>
      <c r="G1124" t="n">
        <v>160</v>
      </c>
    </row>
    <row r="1125">
      <c r="A1125" t="inlineStr">
        <is>
          <t>202617</t>
        </is>
      </c>
      <c r="B1125" t="inlineStr">
        <is>
          <t>Andere</t>
        </is>
      </c>
      <c r="C1125" t="inlineStr">
        <is>
          <t>A-01-06-1</t>
        </is>
      </c>
      <c r="D1125" t="n">
        <v>140</v>
      </c>
      <c r="E1125" t="n">
        <v>0</v>
      </c>
      <c r="F1125" t="n">
        <v>140</v>
      </c>
      <c r="G1125" t="n">
        <v>140</v>
      </c>
    </row>
    <row r="1126">
      <c r="A1126" t="inlineStr">
        <is>
          <t>202617</t>
        </is>
      </c>
      <c r="B1126" t="inlineStr">
        <is>
          <t>Andere</t>
        </is>
      </c>
      <c r="C1126" t="inlineStr">
        <is>
          <t>FADKLOMP</t>
        </is>
      </c>
      <c r="D1126" t="n">
        <v>135.05</v>
      </c>
      <c r="E1126" t="n">
        <v>0</v>
      </c>
      <c r="F1126" t="n">
        <v>135.05</v>
      </c>
      <c r="G1126" t="n">
        <v>135.05</v>
      </c>
    </row>
    <row r="1127">
      <c r="A1127" t="inlineStr">
        <is>
          <t>202617</t>
        </is>
      </c>
      <c r="B1127" t="inlineStr">
        <is>
          <t>Andere</t>
        </is>
      </c>
      <c r="C1127" t="inlineStr">
        <is>
          <t>GC-02-23-2</t>
        </is>
      </c>
      <c r="D1127" t="n">
        <v>400</v>
      </c>
      <c r="E1127" t="n">
        <v>275</v>
      </c>
      <c r="F1127" t="n">
        <v>125</v>
      </c>
      <c r="G1127" t="n">
        <v>125</v>
      </c>
    </row>
    <row r="1128">
      <c r="A1128" t="inlineStr">
        <is>
          <t>202617</t>
        </is>
      </c>
      <c r="B1128" t="inlineStr">
        <is>
          <t>Andere</t>
        </is>
      </c>
      <c r="C1128" t="inlineStr">
        <is>
          <t>GC-03-17-1</t>
        </is>
      </c>
      <c r="D1128" t="n">
        <v>0</v>
      </c>
      <c r="E1128" t="n">
        <v>104</v>
      </c>
      <c r="F1128" t="n">
        <v>-104</v>
      </c>
      <c r="G1128" t="n">
        <v>-104</v>
      </c>
    </row>
    <row r="1129">
      <c r="A1129" t="inlineStr">
        <is>
          <t>202617</t>
        </is>
      </c>
      <c r="B1129" t="inlineStr">
        <is>
          <t>Andere</t>
        </is>
      </c>
      <c r="C1129" t="inlineStr">
        <is>
          <t>FAMATTICKT</t>
        </is>
      </c>
      <c r="D1129" t="n">
        <v>102.03</v>
      </c>
      <c r="E1129" t="n">
        <v>0</v>
      </c>
      <c r="F1129" t="n">
        <v>102.03</v>
      </c>
      <c r="G1129" t="n">
        <v>102.03</v>
      </c>
    </row>
    <row r="1130">
      <c r="A1130" t="inlineStr">
        <is>
          <t>202617</t>
        </is>
      </c>
      <c r="B1130" t="inlineStr">
        <is>
          <t>Andere</t>
        </is>
      </c>
      <c r="C1130" t="inlineStr">
        <is>
          <t>A-01-07-1</t>
        </is>
      </c>
      <c r="D1130" t="n">
        <v>100</v>
      </c>
      <c r="E1130" t="n">
        <v>0</v>
      </c>
      <c r="F1130" t="n">
        <v>100</v>
      </c>
      <c r="G1130" t="n">
        <v>100</v>
      </c>
    </row>
    <row r="1131">
      <c r="A1131" t="inlineStr">
        <is>
          <t>202617</t>
        </is>
      </c>
      <c r="B1131" t="inlineStr">
        <is>
          <t>Andere</t>
        </is>
      </c>
      <c r="C1131" t="inlineStr">
        <is>
          <t>A-01-08-1</t>
        </is>
      </c>
      <c r="D1131" t="n">
        <v>100</v>
      </c>
      <c r="E1131" t="n">
        <v>0</v>
      </c>
      <c r="F1131" t="n">
        <v>100</v>
      </c>
      <c r="G1131" t="n">
        <v>100</v>
      </c>
    </row>
    <row r="1132">
      <c r="A1132" t="inlineStr">
        <is>
          <t>202617</t>
        </is>
      </c>
      <c r="B1132" t="inlineStr">
        <is>
          <t>Andere</t>
        </is>
      </c>
      <c r="C1132" t="inlineStr">
        <is>
          <t>GC-02-10-1</t>
        </is>
      </c>
      <c r="D1132" t="n">
        <v>102</v>
      </c>
      <c r="E1132" t="n">
        <v>10</v>
      </c>
      <c r="F1132" t="n">
        <v>92</v>
      </c>
      <c r="G1132" t="n">
        <v>92</v>
      </c>
    </row>
    <row r="1133">
      <c r="A1133" t="inlineStr">
        <is>
          <t>202617</t>
        </is>
      </c>
      <c r="B1133" t="inlineStr">
        <is>
          <t>Andere</t>
        </is>
      </c>
      <c r="C1133" t="inlineStr">
        <is>
          <t>GC-02-06-2</t>
        </is>
      </c>
      <c r="D1133" t="n">
        <v>90</v>
      </c>
      <c r="E1133" t="n">
        <v>0</v>
      </c>
      <c r="F1133" t="n">
        <v>90</v>
      </c>
      <c r="G1133" t="n">
        <v>90</v>
      </c>
    </row>
    <row r="1134">
      <c r="A1134" t="inlineStr">
        <is>
          <t>202617</t>
        </is>
      </c>
      <c r="B1134" t="inlineStr">
        <is>
          <t>Andere</t>
        </is>
      </c>
      <c r="C1134" t="inlineStr">
        <is>
          <t>P-04-08-2</t>
        </is>
      </c>
      <c r="D1134" t="n">
        <v>437</v>
      </c>
      <c r="E1134" t="n">
        <v>526</v>
      </c>
      <c r="F1134" t="n">
        <v>-89</v>
      </c>
      <c r="G1134" t="n">
        <v>-89</v>
      </c>
    </row>
    <row r="1135">
      <c r="A1135" t="inlineStr">
        <is>
          <t>202617</t>
        </is>
      </c>
      <c r="B1135" t="inlineStr">
        <is>
          <t>Andere</t>
        </is>
      </c>
      <c r="C1135" t="inlineStr">
        <is>
          <t>A-02-56-1</t>
        </is>
      </c>
      <c r="D1135" t="n">
        <v>80</v>
      </c>
      <c r="E1135" t="n">
        <v>0</v>
      </c>
      <c r="F1135" t="n">
        <v>80</v>
      </c>
      <c r="G1135" t="n">
        <v>80</v>
      </c>
    </row>
    <row r="1136">
      <c r="A1136" t="inlineStr">
        <is>
          <t>202617</t>
        </is>
      </c>
      <c r="B1136" t="inlineStr">
        <is>
          <t>Andere</t>
        </is>
      </c>
      <c r="C1136" t="inlineStr">
        <is>
          <t>GC-02-11-3</t>
        </is>
      </c>
      <c r="D1136" t="n">
        <v>85</v>
      </c>
      <c r="E1136" t="n">
        <v>5</v>
      </c>
      <c r="F1136" t="n">
        <v>80</v>
      </c>
      <c r="G1136" t="n">
        <v>80</v>
      </c>
    </row>
    <row r="1137">
      <c r="A1137" t="inlineStr">
        <is>
          <t>202617</t>
        </is>
      </c>
      <c r="B1137" t="inlineStr">
        <is>
          <t>Andere</t>
        </is>
      </c>
      <c r="C1137" t="inlineStr">
        <is>
          <t>GC-02-14-2</t>
        </is>
      </c>
      <c r="D1137" t="n">
        <v>80</v>
      </c>
      <c r="E1137" t="n">
        <v>0</v>
      </c>
      <c r="F1137" t="n">
        <v>80</v>
      </c>
      <c r="G1137" t="n">
        <v>80</v>
      </c>
    </row>
    <row r="1138">
      <c r="A1138" t="inlineStr">
        <is>
          <t>202617</t>
        </is>
      </c>
      <c r="B1138" t="inlineStr">
        <is>
          <t>Andere</t>
        </is>
      </c>
      <c r="C1138" t="inlineStr">
        <is>
          <t>FAPETERJ</t>
        </is>
      </c>
      <c r="D1138" t="n">
        <v>71.15000000000001</v>
      </c>
      <c r="E1138" t="n">
        <v>0</v>
      </c>
      <c r="F1138" t="n">
        <v>71.15000000000001</v>
      </c>
      <c r="G1138" t="n">
        <v>71.15000000000001</v>
      </c>
    </row>
    <row r="1139">
      <c r="A1139" t="inlineStr">
        <is>
          <t>202617</t>
        </is>
      </c>
      <c r="B1139" t="inlineStr">
        <is>
          <t>Andere</t>
        </is>
      </c>
      <c r="C1139" t="inlineStr">
        <is>
          <t>A-02-57-1</t>
        </is>
      </c>
      <c r="D1139" t="n">
        <v>70</v>
      </c>
      <c r="E1139" t="n">
        <v>0</v>
      </c>
      <c r="F1139" t="n">
        <v>70</v>
      </c>
      <c r="G1139" t="n">
        <v>70</v>
      </c>
    </row>
    <row r="1140">
      <c r="A1140" t="inlineStr">
        <is>
          <t>202617</t>
        </is>
      </c>
      <c r="B1140" t="inlineStr">
        <is>
          <t>Andere</t>
        </is>
      </c>
      <c r="C1140" t="inlineStr">
        <is>
          <t>FAFERMAND</t>
        </is>
      </c>
      <c r="D1140" t="n">
        <v>70</v>
      </c>
      <c r="E1140" t="n">
        <v>0</v>
      </c>
      <c r="F1140" t="n">
        <v>70</v>
      </c>
      <c r="G1140" t="n">
        <v>70</v>
      </c>
    </row>
    <row r="1141">
      <c r="A1141" t="inlineStr">
        <is>
          <t>202617</t>
        </is>
      </c>
      <c r="B1141" t="inlineStr">
        <is>
          <t>Andere</t>
        </is>
      </c>
      <c r="C1141" t="inlineStr">
        <is>
          <t>GC-02-24-1</t>
        </is>
      </c>
      <c r="D1141" t="n">
        <v>70</v>
      </c>
      <c r="E1141" t="n">
        <v>5</v>
      </c>
      <c r="F1141" t="n">
        <v>65</v>
      </c>
      <c r="G1141" t="n">
        <v>65</v>
      </c>
    </row>
    <row r="1142">
      <c r="A1142" t="inlineStr">
        <is>
          <t>202617</t>
        </is>
      </c>
      <c r="B1142" t="inlineStr">
        <is>
          <t>Andere</t>
        </is>
      </c>
      <c r="C1142" t="inlineStr">
        <is>
          <t>A-02-60-1</t>
        </is>
      </c>
      <c r="D1142" t="n">
        <v>50</v>
      </c>
      <c r="E1142" t="n">
        <v>0</v>
      </c>
      <c r="F1142" t="n">
        <v>50</v>
      </c>
      <c r="G1142" t="n">
        <v>50</v>
      </c>
    </row>
    <row r="1143">
      <c r="A1143" t="inlineStr">
        <is>
          <t>202617</t>
        </is>
      </c>
      <c r="B1143" t="inlineStr">
        <is>
          <t>Andere</t>
        </is>
      </c>
      <c r="C1143" t="inlineStr">
        <is>
          <t>GC-02-17-1</t>
        </is>
      </c>
      <c r="D1143" t="n">
        <v>50</v>
      </c>
      <c r="E1143" t="n">
        <v>0</v>
      </c>
      <c r="F1143" t="n">
        <v>50</v>
      </c>
      <c r="G1143" t="n">
        <v>50</v>
      </c>
    </row>
    <row r="1144">
      <c r="A1144" t="inlineStr">
        <is>
          <t>202617</t>
        </is>
      </c>
      <c r="B1144" t="inlineStr">
        <is>
          <t>Andere</t>
        </is>
      </c>
      <c r="C1144" t="inlineStr">
        <is>
          <t>SPI-WINDOW</t>
        </is>
      </c>
      <c r="D1144" t="n">
        <v>48</v>
      </c>
      <c r="E1144" t="n">
        <v>0</v>
      </c>
      <c r="F1144" t="n">
        <v>48</v>
      </c>
      <c r="G1144" t="n">
        <v>48</v>
      </c>
    </row>
    <row r="1145">
      <c r="A1145" t="inlineStr">
        <is>
          <t>202617</t>
        </is>
      </c>
      <c r="B1145" t="inlineStr">
        <is>
          <t>Andere</t>
        </is>
      </c>
      <c r="C1145" t="inlineStr">
        <is>
          <t>A-02-27-1</t>
        </is>
      </c>
      <c r="D1145" t="n">
        <v>45</v>
      </c>
      <c r="E1145" t="n">
        <v>0</v>
      </c>
      <c r="F1145" t="n">
        <v>45</v>
      </c>
      <c r="G1145" t="n">
        <v>45</v>
      </c>
    </row>
    <row r="1146">
      <c r="A1146" t="inlineStr">
        <is>
          <t>202617</t>
        </is>
      </c>
      <c r="B1146" t="inlineStr">
        <is>
          <t>Andere</t>
        </is>
      </c>
      <c r="C1146" t="inlineStr">
        <is>
          <t>ProDebox-01</t>
        </is>
      </c>
      <c r="D1146" t="n">
        <v>555</v>
      </c>
      <c r="E1146" t="n">
        <v>512</v>
      </c>
      <c r="F1146" t="n">
        <v>43</v>
      </c>
      <c r="G1146" t="n">
        <v>43</v>
      </c>
    </row>
    <row r="1147">
      <c r="A1147" t="inlineStr">
        <is>
          <t>202617</t>
        </is>
      </c>
      <c r="B1147" t="inlineStr">
        <is>
          <t>Andere</t>
        </is>
      </c>
      <c r="C1147" t="inlineStr">
        <is>
          <t>A-02-62-1</t>
        </is>
      </c>
      <c r="D1147" t="n">
        <v>40</v>
      </c>
      <c r="E1147" t="n">
        <v>0</v>
      </c>
      <c r="F1147" t="n">
        <v>40</v>
      </c>
      <c r="G1147" t="n">
        <v>40</v>
      </c>
    </row>
    <row r="1148">
      <c r="A1148" t="inlineStr">
        <is>
          <t>202617</t>
        </is>
      </c>
      <c r="B1148" t="inlineStr">
        <is>
          <t>Andere</t>
        </is>
      </c>
      <c r="C1148" t="inlineStr">
        <is>
          <t>GC-02-21-1</t>
        </is>
      </c>
      <c r="D1148" t="n">
        <v>40</v>
      </c>
      <c r="E1148" t="n">
        <v>0</v>
      </c>
      <c r="F1148" t="n">
        <v>40</v>
      </c>
      <c r="G1148" t="n">
        <v>40</v>
      </c>
    </row>
    <row r="1149">
      <c r="A1149" t="inlineStr">
        <is>
          <t>202617</t>
        </is>
      </c>
      <c r="B1149" t="inlineStr">
        <is>
          <t>Andere</t>
        </is>
      </c>
      <c r="C1149" t="inlineStr">
        <is>
          <t>GC-02-23-1</t>
        </is>
      </c>
      <c r="D1149" t="n">
        <v>80</v>
      </c>
      <c r="E1149" t="n">
        <v>40</v>
      </c>
      <c r="F1149" t="n">
        <v>40</v>
      </c>
      <c r="G1149" t="n">
        <v>40</v>
      </c>
    </row>
    <row r="1150">
      <c r="A1150" t="inlineStr">
        <is>
          <t>202617</t>
        </is>
      </c>
      <c r="B1150" t="inlineStr">
        <is>
          <t>Andere</t>
        </is>
      </c>
      <c r="C1150" t="inlineStr">
        <is>
          <t>FAKOCHMAT</t>
        </is>
      </c>
      <c r="D1150" t="n">
        <v>35.5</v>
      </c>
      <c r="E1150" t="n">
        <v>0</v>
      </c>
      <c r="F1150" t="n">
        <v>35.5</v>
      </c>
      <c r="G1150" t="n">
        <v>35.5</v>
      </c>
    </row>
    <row r="1151">
      <c r="A1151" t="inlineStr">
        <is>
          <t>202617</t>
        </is>
      </c>
      <c r="B1151" t="inlineStr">
        <is>
          <t>Andere</t>
        </is>
      </c>
      <c r="C1151" t="inlineStr">
        <is>
          <t>GC-02-20-2</t>
        </is>
      </c>
      <c r="D1151" t="n">
        <v>65</v>
      </c>
      <c r="E1151" t="n">
        <v>30</v>
      </c>
      <c r="F1151" t="n">
        <v>35</v>
      </c>
      <c r="G1151" t="n">
        <v>35</v>
      </c>
    </row>
    <row r="1152">
      <c r="A1152" t="inlineStr">
        <is>
          <t>202617</t>
        </is>
      </c>
      <c r="B1152" t="inlineStr">
        <is>
          <t>Andere</t>
        </is>
      </c>
      <c r="C1152" t="inlineStr">
        <is>
          <t>A-02-61-1</t>
        </is>
      </c>
      <c r="D1152" t="n">
        <v>30</v>
      </c>
      <c r="E1152" t="n">
        <v>0</v>
      </c>
      <c r="F1152" t="n">
        <v>30</v>
      </c>
      <c r="G1152" t="n">
        <v>30</v>
      </c>
    </row>
    <row r="1153">
      <c r="A1153" t="inlineStr">
        <is>
          <t>202617</t>
        </is>
      </c>
      <c r="B1153" t="inlineStr">
        <is>
          <t>Andere</t>
        </is>
      </c>
      <c r="C1153" t="inlineStr">
        <is>
          <t>GC-02-08-3</t>
        </is>
      </c>
      <c r="D1153" t="n">
        <v>70</v>
      </c>
      <c r="E1153" t="n">
        <v>40</v>
      </c>
      <c r="F1153" t="n">
        <v>30</v>
      </c>
      <c r="G1153" t="n">
        <v>30</v>
      </c>
    </row>
    <row r="1154">
      <c r="A1154" t="inlineStr">
        <is>
          <t>202617</t>
        </is>
      </c>
      <c r="B1154" t="inlineStr">
        <is>
          <t>Andere</t>
        </is>
      </c>
      <c r="C1154" t="inlineStr">
        <is>
          <t>GC-02-13-2</t>
        </is>
      </c>
      <c r="D1154" t="n">
        <v>30</v>
      </c>
      <c r="E1154" t="n">
        <v>3</v>
      </c>
      <c r="F1154" t="n">
        <v>27</v>
      </c>
      <c r="G1154" t="n">
        <v>27</v>
      </c>
    </row>
    <row r="1155">
      <c r="A1155" t="inlineStr">
        <is>
          <t>202617</t>
        </is>
      </c>
      <c r="B1155" t="inlineStr">
        <is>
          <t>Andere</t>
        </is>
      </c>
      <c r="C1155" t="inlineStr">
        <is>
          <t>FAVOSSPAS</t>
        </is>
      </c>
      <c r="D1155" t="n">
        <v>26.04</v>
      </c>
      <c r="E1155" t="n">
        <v>0</v>
      </c>
      <c r="F1155" t="n">
        <v>26.04</v>
      </c>
      <c r="G1155" t="n">
        <v>26.04</v>
      </c>
    </row>
    <row r="1156">
      <c r="A1156" t="inlineStr">
        <is>
          <t>202617</t>
        </is>
      </c>
      <c r="B1156" t="inlineStr">
        <is>
          <t>Andere</t>
        </is>
      </c>
      <c r="C1156" t="inlineStr">
        <is>
          <t>GC-02-17-2</t>
        </is>
      </c>
      <c r="D1156" t="n">
        <v>35</v>
      </c>
      <c r="E1156" t="n">
        <v>10</v>
      </c>
      <c r="F1156" t="n">
        <v>25</v>
      </c>
      <c r="G1156" t="n">
        <v>25</v>
      </c>
    </row>
    <row r="1157">
      <c r="A1157" t="inlineStr">
        <is>
          <t>202617</t>
        </is>
      </c>
      <c r="B1157" t="inlineStr">
        <is>
          <t>Andere</t>
        </is>
      </c>
      <c r="C1157" t="inlineStr">
        <is>
          <t>GC-02-16-2</t>
        </is>
      </c>
      <c r="D1157" t="n">
        <v>23</v>
      </c>
      <c r="E1157" t="n">
        <v>2</v>
      </c>
      <c r="F1157" t="n">
        <v>21</v>
      </c>
      <c r="G1157" t="n">
        <v>21</v>
      </c>
    </row>
    <row r="1158">
      <c r="A1158" t="inlineStr">
        <is>
          <t>202617</t>
        </is>
      </c>
      <c r="B1158" t="inlineStr">
        <is>
          <t>Andere</t>
        </is>
      </c>
      <c r="C1158" t="inlineStr">
        <is>
          <t>D-06-36-3</t>
        </is>
      </c>
      <c r="D1158" t="n">
        <v>20</v>
      </c>
      <c r="E1158" t="n">
        <v>0</v>
      </c>
      <c r="F1158" t="n">
        <v>20</v>
      </c>
      <c r="G1158" t="n">
        <v>20</v>
      </c>
    </row>
    <row r="1159">
      <c r="A1159" t="inlineStr">
        <is>
          <t>202617</t>
        </is>
      </c>
      <c r="B1159" t="inlineStr">
        <is>
          <t>Andere</t>
        </is>
      </c>
      <c r="C1159" t="inlineStr">
        <is>
          <t>D-06-39-3</t>
        </is>
      </c>
      <c r="D1159" t="n">
        <v>20</v>
      </c>
      <c r="E1159" t="n">
        <v>0</v>
      </c>
      <c r="F1159" t="n">
        <v>20</v>
      </c>
      <c r="G1159" t="n">
        <v>20</v>
      </c>
    </row>
    <row r="1160">
      <c r="A1160" t="inlineStr">
        <is>
          <t>202617</t>
        </is>
      </c>
      <c r="B1160" t="inlineStr">
        <is>
          <t>Andere</t>
        </is>
      </c>
      <c r="C1160" t="inlineStr">
        <is>
          <t>D-06-47-3</t>
        </is>
      </c>
      <c r="D1160" t="n">
        <v>20</v>
      </c>
      <c r="E1160" t="n">
        <v>0</v>
      </c>
      <c r="F1160" t="n">
        <v>20</v>
      </c>
      <c r="G1160" t="n">
        <v>20</v>
      </c>
    </row>
    <row r="1161">
      <c r="A1161" t="inlineStr">
        <is>
          <t>202617</t>
        </is>
      </c>
      <c r="B1161" t="inlineStr">
        <is>
          <t>Andere</t>
        </is>
      </c>
      <c r="C1161" t="inlineStr">
        <is>
          <t>FADIKELISA</t>
        </is>
      </c>
      <c r="D1161" t="n">
        <v>20</v>
      </c>
      <c r="E1161" t="n">
        <v>0</v>
      </c>
      <c r="F1161" t="n">
        <v>20</v>
      </c>
      <c r="G1161" t="n">
        <v>20</v>
      </c>
    </row>
    <row r="1162">
      <c r="A1162" t="inlineStr">
        <is>
          <t>202617</t>
        </is>
      </c>
      <c r="B1162" t="inlineStr">
        <is>
          <t>Andere</t>
        </is>
      </c>
      <c r="C1162" t="inlineStr">
        <is>
          <t>GC-02-10-3</t>
        </is>
      </c>
      <c r="D1162" t="n">
        <v>60</v>
      </c>
      <c r="E1162" t="n">
        <v>40</v>
      </c>
      <c r="F1162" t="n">
        <v>20</v>
      </c>
      <c r="G1162" t="n">
        <v>20</v>
      </c>
    </row>
    <row r="1163">
      <c r="A1163" t="inlineStr">
        <is>
          <t>202617</t>
        </is>
      </c>
      <c r="B1163" t="inlineStr">
        <is>
          <t>Andere</t>
        </is>
      </c>
      <c r="C1163" t="inlineStr">
        <is>
          <t>GC-02-20-1</t>
        </is>
      </c>
      <c r="D1163" t="n">
        <v>40</v>
      </c>
      <c r="E1163" t="n">
        <v>20</v>
      </c>
      <c r="F1163" t="n">
        <v>20</v>
      </c>
      <c r="G1163" t="n">
        <v>20</v>
      </c>
    </row>
    <row r="1164">
      <c r="A1164" t="inlineStr">
        <is>
          <t>202617</t>
        </is>
      </c>
      <c r="B1164" t="inlineStr">
        <is>
          <t>Andere</t>
        </is>
      </c>
      <c r="C1164" t="inlineStr">
        <is>
          <t>GC-02-21-2</t>
        </is>
      </c>
      <c r="D1164" t="n">
        <v>219</v>
      </c>
      <c r="E1164" t="n">
        <v>200</v>
      </c>
      <c r="F1164" t="n">
        <v>19</v>
      </c>
      <c r="G1164" t="n">
        <v>19</v>
      </c>
    </row>
    <row r="1165">
      <c r="A1165" t="inlineStr">
        <is>
          <t>202617</t>
        </is>
      </c>
      <c r="B1165" t="inlineStr">
        <is>
          <t>Andere</t>
        </is>
      </c>
      <c r="C1165" t="inlineStr">
        <is>
          <t>A-02-59-1</t>
        </is>
      </c>
      <c r="D1165" t="n">
        <v>15</v>
      </c>
      <c r="E1165" t="n">
        <v>0</v>
      </c>
      <c r="F1165" t="n">
        <v>15</v>
      </c>
      <c r="G1165" t="n">
        <v>15</v>
      </c>
    </row>
    <row r="1166">
      <c r="A1166" t="inlineStr">
        <is>
          <t>202617</t>
        </is>
      </c>
      <c r="B1166" t="inlineStr">
        <is>
          <t>Andere</t>
        </is>
      </c>
      <c r="C1166" t="inlineStr">
        <is>
          <t>GC-03-20-2</t>
        </is>
      </c>
      <c r="D1166" t="n">
        <v>15</v>
      </c>
      <c r="E1166" t="n">
        <v>0</v>
      </c>
      <c r="F1166" t="n">
        <v>15</v>
      </c>
      <c r="G1166" t="n">
        <v>15</v>
      </c>
    </row>
    <row r="1167">
      <c r="A1167" t="inlineStr">
        <is>
          <t>202617</t>
        </is>
      </c>
      <c r="B1167" t="inlineStr">
        <is>
          <t>Andere</t>
        </is>
      </c>
      <c r="C1167" t="inlineStr">
        <is>
          <t>GC-03-21-2</t>
        </is>
      </c>
      <c r="D1167" t="n">
        <v>15</v>
      </c>
      <c r="E1167" t="n">
        <v>0</v>
      </c>
      <c r="F1167" t="n">
        <v>15</v>
      </c>
      <c r="G1167" t="n">
        <v>15</v>
      </c>
    </row>
    <row r="1168">
      <c r="A1168" t="inlineStr">
        <is>
          <t>202617</t>
        </is>
      </c>
      <c r="B1168" t="inlineStr">
        <is>
          <t>Andere</t>
        </is>
      </c>
      <c r="C1168" t="inlineStr">
        <is>
          <t>GC-03-19-2</t>
        </is>
      </c>
      <c r="D1168" t="n">
        <v>13</v>
      </c>
      <c r="E1168" t="n">
        <v>0</v>
      </c>
      <c r="F1168" t="n">
        <v>13</v>
      </c>
      <c r="G1168" t="n">
        <v>13</v>
      </c>
    </row>
    <row r="1169">
      <c r="A1169" t="inlineStr">
        <is>
          <t>202617</t>
        </is>
      </c>
      <c r="B1169" t="inlineStr">
        <is>
          <t>Andere</t>
        </is>
      </c>
      <c r="C1169" t="inlineStr">
        <is>
          <t>SP-01-01-1</t>
        </is>
      </c>
      <c r="D1169" t="n">
        <v>12.1</v>
      </c>
      <c r="E1169" t="n">
        <v>0</v>
      </c>
      <c r="F1169" t="n">
        <v>12.1</v>
      </c>
      <c r="G1169" t="n">
        <v>12.1</v>
      </c>
    </row>
    <row r="1170">
      <c r="A1170" t="inlineStr">
        <is>
          <t>202617</t>
        </is>
      </c>
      <c r="B1170" t="inlineStr">
        <is>
          <t>Andere</t>
        </is>
      </c>
      <c r="C1170" t="inlineStr">
        <is>
          <t>A-01-45-2</t>
        </is>
      </c>
      <c r="D1170" t="n">
        <v>11</v>
      </c>
      <c r="E1170" t="n">
        <v>0</v>
      </c>
      <c r="F1170" t="n">
        <v>11</v>
      </c>
      <c r="G1170" t="n">
        <v>11</v>
      </c>
    </row>
    <row r="1171">
      <c r="A1171" t="inlineStr">
        <is>
          <t>202617</t>
        </is>
      </c>
      <c r="B1171" t="inlineStr">
        <is>
          <t>Andere</t>
        </is>
      </c>
      <c r="C1171" t="inlineStr">
        <is>
          <t>FA1HAHMEYERT</t>
        </is>
      </c>
      <c r="D1171" t="n">
        <v>10.02</v>
      </c>
      <c r="E1171" t="n">
        <v>0</v>
      </c>
      <c r="F1171" t="n">
        <v>10.02</v>
      </c>
      <c r="G1171" t="n">
        <v>10.02</v>
      </c>
    </row>
    <row r="1172">
      <c r="A1172" t="inlineStr">
        <is>
          <t>202617</t>
        </is>
      </c>
      <c r="B1172" t="inlineStr">
        <is>
          <t>Andere</t>
        </is>
      </c>
      <c r="C1172" t="inlineStr">
        <is>
          <t>D-06-08-2</t>
        </is>
      </c>
      <c r="D1172" t="n">
        <v>10</v>
      </c>
      <c r="E1172" t="n">
        <v>0</v>
      </c>
      <c r="F1172" t="n">
        <v>10</v>
      </c>
      <c r="G1172" t="n">
        <v>10</v>
      </c>
    </row>
    <row r="1173">
      <c r="A1173" t="inlineStr">
        <is>
          <t>202617</t>
        </is>
      </c>
      <c r="B1173" t="inlineStr">
        <is>
          <t>Andere</t>
        </is>
      </c>
      <c r="C1173" t="inlineStr">
        <is>
          <t>D-06-41-3</t>
        </is>
      </c>
      <c r="D1173" t="n">
        <v>10</v>
      </c>
      <c r="E1173" t="n">
        <v>0</v>
      </c>
      <c r="F1173" t="n">
        <v>10</v>
      </c>
      <c r="G1173" t="n">
        <v>10</v>
      </c>
    </row>
    <row r="1174">
      <c r="A1174" t="inlineStr">
        <is>
          <t>202617</t>
        </is>
      </c>
      <c r="B1174" t="inlineStr">
        <is>
          <t>Andere</t>
        </is>
      </c>
      <c r="C1174" t="inlineStr">
        <is>
          <t>GC-02-18-2</t>
        </is>
      </c>
      <c r="D1174" t="n">
        <v>10</v>
      </c>
      <c r="E1174" t="n">
        <v>0</v>
      </c>
      <c r="F1174" t="n">
        <v>10</v>
      </c>
      <c r="G1174" t="n">
        <v>10</v>
      </c>
    </row>
    <row r="1175">
      <c r="A1175" t="inlineStr">
        <is>
          <t>202617</t>
        </is>
      </c>
      <c r="B1175" t="inlineStr">
        <is>
          <t>Andere</t>
        </is>
      </c>
      <c r="C1175" t="inlineStr">
        <is>
          <t>GC-02-05-2</t>
        </is>
      </c>
      <c r="D1175" t="n">
        <v>8.6</v>
      </c>
      <c r="E1175" t="n">
        <v>0</v>
      </c>
      <c r="F1175" t="n">
        <v>8.6</v>
      </c>
      <c r="G1175" t="n">
        <v>8.6</v>
      </c>
    </row>
    <row r="1176">
      <c r="A1176" t="inlineStr">
        <is>
          <t>202617</t>
        </is>
      </c>
      <c r="B1176" t="inlineStr">
        <is>
          <t>Andere</t>
        </is>
      </c>
      <c r="C1176" t="inlineStr">
        <is>
          <t>D-06-52-1</t>
        </is>
      </c>
      <c r="D1176" t="n">
        <v>41.25</v>
      </c>
      <c r="E1176" t="n">
        <v>35</v>
      </c>
      <c r="F1176" t="n">
        <v>6.25</v>
      </c>
      <c r="G1176" t="n">
        <v>6.25</v>
      </c>
    </row>
    <row r="1177">
      <c r="A1177" t="inlineStr">
        <is>
          <t>202617</t>
        </is>
      </c>
      <c r="B1177" t="inlineStr">
        <is>
          <t>Andere</t>
        </is>
      </c>
      <c r="C1177" t="inlineStr">
        <is>
          <t>D-06-16-2</t>
        </is>
      </c>
      <c r="D1177" t="n">
        <v>6</v>
      </c>
      <c r="E1177" t="n">
        <v>0</v>
      </c>
      <c r="F1177" t="n">
        <v>6</v>
      </c>
      <c r="G1177" t="n">
        <v>6</v>
      </c>
    </row>
    <row r="1178">
      <c r="A1178" t="inlineStr">
        <is>
          <t>202617</t>
        </is>
      </c>
      <c r="B1178" t="inlineStr">
        <is>
          <t>Andere</t>
        </is>
      </c>
      <c r="C1178" t="inlineStr">
        <is>
          <t>GC-02-09-3</t>
        </is>
      </c>
      <c r="D1178" t="n">
        <v>21</v>
      </c>
      <c r="E1178" t="n">
        <v>15</v>
      </c>
      <c r="F1178" t="n">
        <v>6</v>
      </c>
      <c r="G1178" t="n">
        <v>6</v>
      </c>
    </row>
    <row r="1179">
      <c r="A1179" t="inlineStr">
        <is>
          <t>202617</t>
        </is>
      </c>
      <c r="B1179" t="inlineStr">
        <is>
          <t>Andere</t>
        </is>
      </c>
      <c r="C1179" t="inlineStr">
        <is>
          <t>D-06-46-2</t>
        </is>
      </c>
      <c r="D1179" t="n">
        <v>5</v>
      </c>
      <c r="E1179" t="n">
        <v>0</v>
      </c>
      <c r="F1179" t="n">
        <v>5</v>
      </c>
      <c r="G1179" t="n">
        <v>5</v>
      </c>
    </row>
    <row r="1180">
      <c r="A1180" t="inlineStr">
        <is>
          <t>202617</t>
        </is>
      </c>
      <c r="B1180" t="inlineStr">
        <is>
          <t>Andere</t>
        </is>
      </c>
      <c r="C1180" t="inlineStr">
        <is>
          <t>GC-02-13-3</t>
        </is>
      </c>
      <c r="D1180" t="n">
        <v>5</v>
      </c>
      <c r="E1180" t="n">
        <v>0</v>
      </c>
      <c r="F1180" t="n">
        <v>5</v>
      </c>
      <c r="G1180" t="n">
        <v>5</v>
      </c>
    </row>
    <row r="1181">
      <c r="A1181" t="inlineStr">
        <is>
          <t>202617</t>
        </is>
      </c>
      <c r="B1181" t="inlineStr">
        <is>
          <t>Andere</t>
        </is>
      </c>
      <c r="C1181" t="inlineStr">
        <is>
          <t>PH-02-03</t>
        </is>
      </c>
      <c r="D1181" t="n">
        <v>20</v>
      </c>
      <c r="E1181" t="n">
        <v>15</v>
      </c>
      <c r="F1181" t="n">
        <v>5</v>
      </c>
      <c r="G1181" t="n">
        <v>5</v>
      </c>
    </row>
    <row r="1182">
      <c r="A1182" t="inlineStr">
        <is>
          <t>202617</t>
        </is>
      </c>
      <c r="B1182" t="inlineStr">
        <is>
          <t>Andere</t>
        </is>
      </c>
      <c r="C1182" t="inlineStr">
        <is>
          <t>GC-02-15-2</t>
        </is>
      </c>
      <c r="D1182" t="n">
        <v>4</v>
      </c>
      <c r="E1182" t="n">
        <v>0</v>
      </c>
      <c r="F1182" t="n">
        <v>4</v>
      </c>
      <c r="G1182" t="n">
        <v>4</v>
      </c>
    </row>
    <row r="1183">
      <c r="A1183" t="inlineStr">
        <is>
          <t>202617</t>
        </is>
      </c>
      <c r="B1183" t="inlineStr">
        <is>
          <t>Andere</t>
        </is>
      </c>
      <c r="C1183" t="inlineStr">
        <is>
          <t>PLSTG-01</t>
        </is>
      </c>
      <c r="D1183" t="n">
        <v>2.02</v>
      </c>
      <c r="E1183" t="n">
        <v>0</v>
      </c>
      <c r="F1183" t="n">
        <v>2.02</v>
      </c>
      <c r="G1183" t="n">
        <v>2.02</v>
      </c>
    </row>
    <row r="1184">
      <c r="A1184" t="inlineStr">
        <is>
          <t>202617</t>
        </is>
      </c>
      <c r="B1184" t="inlineStr">
        <is>
          <t>Andere</t>
        </is>
      </c>
      <c r="C1184" t="inlineStr">
        <is>
          <t>PH-02-14</t>
        </is>
      </c>
      <c r="D1184" t="n">
        <v>0.04</v>
      </c>
      <c r="E1184" t="n">
        <v>0</v>
      </c>
      <c r="F1184" t="n">
        <v>0.04</v>
      </c>
      <c r="G1184" t="n">
        <v>0.04</v>
      </c>
    </row>
    <row r="1185">
      <c r="A1185" t="inlineStr">
        <is>
          <t>202617</t>
        </is>
      </c>
      <c r="B1185" t="inlineStr">
        <is>
          <t>Andere</t>
        </is>
      </c>
      <c r="C1185" t="inlineStr">
        <is>
          <t>PLSTG-03</t>
        </is>
      </c>
      <c r="D1185" t="n">
        <v>0.01</v>
      </c>
      <c r="E1185" t="n">
        <v>0</v>
      </c>
      <c r="F1185" t="n">
        <v>0.01</v>
      </c>
      <c r="G1185" t="n">
        <v>0.01</v>
      </c>
    </row>
    <row r="1186">
      <c r="A1186" t="inlineStr">
        <is>
          <t>202617</t>
        </is>
      </c>
      <c r="B1186" t="inlineStr">
        <is>
          <t>Andere</t>
        </is>
      </c>
      <c r="C1186" t="inlineStr">
        <is>
          <t>PLSTG-02</t>
        </is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202617</t>
        </is>
      </c>
      <c r="B1187" t="inlineStr">
        <is>
          <t>Andere</t>
        </is>
      </c>
      <c r="C1187" t="inlineStr">
        <is>
          <t>SP-01-01-3</t>
        </is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202617</t>
        </is>
      </c>
      <c r="B1188" t="inlineStr">
        <is>
          <t>Andere</t>
        </is>
      </c>
      <c r="C1188" t="inlineStr">
        <is>
          <t>SP-01-02-2</t>
        </is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202617</t>
        </is>
      </c>
      <c r="B1189" t="inlineStr">
        <is>
          <t>Andere</t>
        </is>
      </c>
      <c r="C1189" t="inlineStr">
        <is>
          <t>SP-01-04-2</t>
        </is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202617</t>
        </is>
      </c>
      <c r="B1190" t="inlineStr">
        <is>
          <t>Andere</t>
        </is>
      </c>
      <c r="C1190" t="inlineStr">
        <is>
          <t>A-02-39-1</t>
        </is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202617</t>
        </is>
      </c>
      <c r="B1191" t="inlineStr">
        <is>
          <t>Andere</t>
        </is>
      </c>
      <c r="C1191" t="inlineStr">
        <is>
          <t>D-06-05-1</t>
        </is>
      </c>
      <c r="D1191" t="n">
        <v>84.8</v>
      </c>
      <c r="E1191" t="n">
        <v>84.8</v>
      </c>
      <c r="F1191" t="n">
        <v>0</v>
      </c>
      <c r="G1191" t="n">
        <v>0</v>
      </c>
    </row>
    <row r="1192">
      <c r="A1192" t="inlineStr">
        <is>
          <t>202617</t>
        </is>
      </c>
      <c r="B1192" t="inlineStr">
        <is>
          <t>Andere</t>
        </is>
      </c>
      <c r="C1192" t="inlineStr">
        <is>
          <t>D-06-07-1</t>
        </is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202617</t>
        </is>
      </c>
      <c r="B1193" t="inlineStr">
        <is>
          <t>Andere</t>
        </is>
      </c>
      <c r="C1193" t="inlineStr">
        <is>
          <t>D-06-08-1</t>
        </is>
      </c>
      <c r="D1193" t="n">
        <v>666.4</v>
      </c>
      <c r="E1193" t="n">
        <v>666.4</v>
      </c>
      <c r="F1193" t="n">
        <v>0</v>
      </c>
      <c r="G1193" t="n">
        <v>0</v>
      </c>
    </row>
    <row r="1194">
      <c r="A1194" t="inlineStr">
        <is>
          <t>202617</t>
        </is>
      </c>
      <c r="B1194" t="inlineStr">
        <is>
          <t>Andere</t>
        </is>
      </c>
      <c r="C1194" t="inlineStr">
        <is>
          <t>D-06-10-1</t>
        </is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202617</t>
        </is>
      </c>
      <c r="B1195" t="inlineStr">
        <is>
          <t>Andere</t>
        </is>
      </c>
      <c r="C1195" t="inlineStr">
        <is>
          <t>GC-02-04-2</t>
        </is>
      </c>
      <c r="D1195" t="n">
        <v>20</v>
      </c>
      <c r="E1195" t="n">
        <v>20</v>
      </c>
      <c r="F1195" t="n">
        <v>0</v>
      </c>
      <c r="G1195" t="n">
        <v>0</v>
      </c>
    </row>
    <row r="1196">
      <c r="A1196" t="inlineStr">
        <is>
          <t>202617</t>
        </is>
      </c>
      <c r="B1196" t="inlineStr">
        <is>
          <t>Andere</t>
        </is>
      </c>
      <c r="C1196" t="inlineStr">
        <is>
          <t>GC-02-12-1</t>
        </is>
      </c>
      <c r="D1196" t="n">
        <v>400</v>
      </c>
      <c r="E1196" t="n">
        <v>400</v>
      </c>
      <c r="F1196" t="n">
        <v>0</v>
      </c>
      <c r="G1196" t="n">
        <v>0</v>
      </c>
    </row>
    <row r="1197">
      <c r="A1197" t="inlineStr">
        <is>
          <t>202617</t>
        </is>
      </c>
      <c r="B1197" t="inlineStr">
        <is>
          <t>Andere</t>
        </is>
      </c>
      <c r="C1197" t="inlineStr">
        <is>
          <t>GC-02-12-3</t>
        </is>
      </c>
      <c r="D1197" t="n">
        <v>50</v>
      </c>
      <c r="E1197" t="n">
        <v>50</v>
      </c>
      <c r="F1197" t="n">
        <v>0</v>
      </c>
      <c r="G1197" t="n">
        <v>0</v>
      </c>
    </row>
    <row r="1198">
      <c r="A1198" t="inlineStr">
        <is>
          <t>202617</t>
        </is>
      </c>
      <c r="B1198" t="inlineStr">
        <is>
          <t>Andere</t>
        </is>
      </c>
      <c r="C1198" t="inlineStr">
        <is>
          <t>GC-02-22-3</t>
        </is>
      </c>
      <c r="D1198" t="n">
        <v>200</v>
      </c>
      <c r="E1198" t="n">
        <v>200</v>
      </c>
      <c r="F1198" t="n">
        <v>0</v>
      </c>
      <c r="G1198" t="n">
        <v>0</v>
      </c>
    </row>
    <row r="1199">
      <c r="A1199" t="inlineStr">
        <is>
          <t>202617</t>
        </is>
      </c>
      <c r="B1199" t="inlineStr">
        <is>
          <t>Andere</t>
        </is>
      </c>
      <c r="C1199" t="inlineStr">
        <is>
          <t>GC-03-16-1</t>
        </is>
      </c>
      <c r="D1199" t="n">
        <v>210</v>
      </c>
      <c r="E1199" t="n">
        <v>210</v>
      </c>
      <c r="F1199" t="n">
        <v>0</v>
      </c>
      <c r="G1199" t="n">
        <v>0</v>
      </c>
    </row>
    <row r="1200">
      <c r="A1200" t="inlineStr">
        <is>
          <t>202617</t>
        </is>
      </c>
      <c r="B1200" t="inlineStr">
        <is>
          <t>Andere</t>
        </is>
      </c>
      <c r="C1200" t="inlineStr">
        <is>
          <t>GC-03-18-1</t>
        </is>
      </c>
      <c r="D1200" t="n">
        <v>25</v>
      </c>
      <c r="E1200" t="n">
        <v>25</v>
      </c>
      <c r="F1200" t="n">
        <v>0</v>
      </c>
      <c r="G1200" t="n">
        <v>0</v>
      </c>
    </row>
    <row r="1201">
      <c r="A1201" t="inlineStr">
        <is>
          <t>202617</t>
        </is>
      </c>
      <c r="B1201" t="inlineStr">
        <is>
          <t>Andere</t>
        </is>
      </c>
      <c r="C1201" t="inlineStr">
        <is>
          <t>GC-03-19-1</t>
        </is>
      </c>
      <c r="D1201" t="n">
        <v>104</v>
      </c>
      <c r="E1201" t="n">
        <v>104</v>
      </c>
      <c r="F1201" t="n">
        <v>0</v>
      </c>
      <c r="G1201" t="n">
        <v>0</v>
      </c>
    </row>
    <row r="1202">
      <c r="A1202" t="inlineStr">
        <is>
          <t>202617</t>
        </is>
      </c>
      <c r="B1202" t="inlineStr">
        <is>
          <t>Andere</t>
        </is>
      </c>
      <c r="C1202" t="inlineStr">
        <is>
          <t>GC-03-20-1</t>
        </is>
      </c>
      <c r="D1202" t="n">
        <v>170</v>
      </c>
      <c r="E1202" t="n">
        <v>170</v>
      </c>
      <c r="F1202" t="n">
        <v>0</v>
      </c>
      <c r="G1202" t="n">
        <v>0</v>
      </c>
    </row>
    <row r="1203">
      <c r="A1203" t="inlineStr">
        <is>
          <t>202617</t>
        </is>
      </c>
      <c r="B1203" t="inlineStr">
        <is>
          <t>Andere</t>
        </is>
      </c>
      <c r="C1203" t="inlineStr">
        <is>
          <t>GC-03-21-1</t>
        </is>
      </c>
      <c r="D1203" t="n">
        <v>400</v>
      </c>
      <c r="E1203" t="n">
        <v>400</v>
      </c>
      <c r="F1203" t="n">
        <v>0</v>
      </c>
      <c r="G1203" t="n">
        <v>0</v>
      </c>
    </row>
    <row r="1204">
      <c r="A1204" t="inlineStr">
        <is>
          <t>202617</t>
        </is>
      </c>
      <c r="B1204" t="inlineStr">
        <is>
          <t>Andere</t>
        </is>
      </c>
      <c r="C1204" t="inlineStr">
        <is>
          <t>P-04-06-2</t>
        </is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202617</t>
        </is>
      </c>
      <c r="B1205" t="inlineStr">
        <is>
          <t>Fulfillment</t>
        </is>
      </c>
      <c r="C1205" t="inlineStr">
        <is>
          <t>PLH-01-19</t>
        </is>
      </c>
      <c r="D1205" t="n">
        <v>10</v>
      </c>
      <c r="E1205" t="n">
        <v>10104</v>
      </c>
      <c r="F1205" t="n">
        <v>-10094</v>
      </c>
      <c r="G1205" t="n">
        <v>-10094</v>
      </c>
    </row>
    <row r="1206">
      <c r="A1206" t="inlineStr">
        <is>
          <t>202617</t>
        </is>
      </c>
      <c r="B1206" t="inlineStr">
        <is>
          <t>Fulfillment</t>
        </is>
      </c>
      <c r="C1206" t="inlineStr">
        <is>
          <t>PLH-01-06</t>
        </is>
      </c>
      <c r="D1206" t="n">
        <v>1432</v>
      </c>
      <c r="E1206" t="n">
        <v>708</v>
      </c>
      <c r="F1206" t="n">
        <v>724</v>
      </c>
      <c r="G1206" t="n">
        <v>724</v>
      </c>
    </row>
    <row r="1207">
      <c r="A1207" t="inlineStr">
        <is>
          <t>202617</t>
        </is>
      </c>
      <c r="B1207" t="inlineStr">
        <is>
          <t>Fulfillment</t>
        </is>
      </c>
      <c r="C1207" t="inlineStr">
        <is>
          <t>PLH-01-07</t>
        </is>
      </c>
      <c r="D1207" t="n">
        <v>1421</v>
      </c>
      <c r="E1207" t="n">
        <v>753</v>
      </c>
      <c r="F1207" t="n">
        <v>668</v>
      </c>
      <c r="G1207" t="n">
        <v>668</v>
      </c>
    </row>
    <row r="1208">
      <c r="A1208" t="inlineStr">
        <is>
          <t>202617</t>
        </is>
      </c>
      <c r="B1208" t="inlineStr">
        <is>
          <t>Fulfillment</t>
        </is>
      </c>
      <c r="C1208" t="inlineStr">
        <is>
          <t>VF-LINE-02</t>
        </is>
      </c>
      <c r="D1208" t="n">
        <v>350</v>
      </c>
      <c r="E1208" t="n">
        <v>0</v>
      </c>
      <c r="F1208" t="n">
        <v>350</v>
      </c>
      <c r="G1208" t="n">
        <v>350</v>
      </c>
    </row>
    <row r="1209">
      <c r="A1209" t="inlineStr">
        <is>
          <t>202617</t>
        </is>
      </c>
      <c r="B1209" t="inlineStr">
        <is>
          <t>Fulfillment</t>
        </is>
      </c>
      <c r="C1209" t="inlineStr">
        <is>
          <t>FABENIKE</t>
        </is>
      </c>
      <c r="D1209" t="n">
        <v>220</v>
      </c>
      <c r="E1209" t="n">
        <v>0</v>
      </c>
      <c r="F1209" t="n">
        <v>220</v>
      </c>
      <c r="G1209" t="n">
        <v>220</v>
      </c>
    </row>
    <row r="1210">
      <c r="A1210" t="inlineStr">
        <is>
          <t>202617</t>
        </is>
      </c>
      <c r="B1210" t="inlineStr">
        <is>
          <t>Fulfillment</t>
        </is>
      </c>
      <c r="C1210" t="inlineStr">
        <is>
          <t>PLH-01-02</t>
        </is>
      </c>
      <c r="D1210" t="n">
        <v>326.33</v>
      </c>
      <c r="E1210" t="n">
        <v>114.22</v>
      </c>
      <c r="F1210" t="n">
        <v>212.12</v>
      </c>
      <c r="G1210" t="n">
        <v>212.12</v>
      </c>
    </row>
    <row r="1211">
      <c r="A1211" t="inlineStr">
        <is>
          <t>202617</t>
        </is>
      </c>
      <c r="B1211" t="inlineStr">
        <is>
          <t>Fulfillment</t>
        </is>
      </c>
      <c r="C1211" t="inlineStr">
        <is>
          <t>PLH-01-08</t>
        </is>
      </c>
      <c r="D1211" t="n">
        <v>462.1</v>
      </c>
      <c r="E1211" t="n">
        <v>262.55</v>
      </c>
      <c r="F1211" t="n">
        <v>199.55</v>
      </c>
      <c r="G1211" t="n">
        <v>199.55</v>
      </c>
    </row>
    <row r="1212">
      <c r="A1212" t="inlineStr">
        <is>
          <t>202617</t>
        </is>
      </c>
      <c r="B1212" t="inlineStr">
        <is>
          <t>Fulfillment</t>
        </is>
      </c>
      <c r="C1212" t="inlineStr">
        <is>
          <t>PLH-02-06</t>
        </is>
      </c>
      <c r="D1212" t="n">
        <v>173</v>
      </c>
      <c r="E1212" t="n">
        <v>0</v>
      </c>
      <c r="F1212" t="n">
        <v>173</v>
      </c>
      <c r="G1212" t="n">
        <v>173</v>
      </c>
    </row>
    <row r="1213">
      <c r="A1213" t="inlineStr">
        <is>
          <t>202617</t>
        </is>
      </c>
      <c r="B1213" t="inlineStr">
        <is>
          <t>Fulfillment</t>
        </is>
      </c>
      <c r="C1213" t="inlineStr">
        <is>
          <t>PLH-02-11</t>
        </is>
      </c>
      <c r="D1213" t="n">
        <v>369</v>
      </c>
      <c r="E1213" t="n">
        <v>200</v>
      </c>
      <c r="F1213" t="n">
        <v>169</v>
      </c>
      <c r="G1213" t="n">
        <v>169</v>
      </c>
    </row>
    <row r="1214">
      <c r="A1214" t="inlineStr">
        <is>
          <t>202617</t>
        </is>
      </c>
      <c r="B1214" t="inlineStr">
        <is>
          <t>Fulfillment</t>
        </is>
      </c>
      <c r="C1214" t="inlineStr">
        <is>
          <t>PLH-01-05</t>
        </is>
      </c>
      <c r="D1214" t="n">
        <v>252.9</v>
      </c>
      <c r="E1214" t="n">
        <v>103.95</v>
      </c>
      <c r="F1214" t="n">
        <v>148.95</v>
      </c>
      <c r="G1214" t="n">
        <v>148.95</v>
      </c>
    </row>
    <row r="1215">
      <c r="A1215" t="inlineStr">
        <is>
          <t>202617</t>
        </is>
      </c>
      <c r="B1215" t="inlineStr">
        <is>
          <t>Fulfillment</t>
        </is>
      </c>
      <c r="C1215" t="inlineStr">
        <is>
          <t>PLH-02-17</t>
        </is>
      </c>
      <c r="D1215" t="n">
        <v>188</v>
      </c>
      <c r="E1215" t="n">
        <v>85</v>
      </c>
      <c r="F1215" t="n">
        <v>103</v>
      </c>
      <c r="G1215" t="n">
        <v>103</v>
      </c>
    </row>
    <row r="1216">
      <c r="A1216" t="inlineStr">
        <is>
          <t>202617</t>
        </is>
      </c>
      <c r="B1216" t="inlineStr">
        <is>
          <t>Fulfillment</t>
        </is>
      </c>
      <c r="C1216" t="inlineStr">
        <is>
          <t>PLH-01-12</t>
        </is>
      </c>
      <c r="D1216" t="n">
        <v>182.64</v>
      </c>
      <c r="E1216" t="n">
        <v>84.81999999999999</v>
      </c>
      <c r="F1216" t="n">
        <v>97.81999999999999</v>
      </c>
      <c r="G1216" t="n">
        <v>97.81999999999999</v>
      </c>
    </row>
    <row r="1217">
      <c r="A1217" t="inlineStr">
        <is>
          <t>202617</t>
        </is>
      </c>
      <c r="B1217" t="inlineStr">
        <is>
          <t>Fulfillment</t>
        </is>
      </c>
      <c r="C1217" t="inlineStr">
        <is>
          <t>PLH-02-18</t>
        </is>
      </c>
      <c r="D1217" t="n">
        <v>154</v>
      </c>
      <c r="E1217" t="n">
        <v>59</v>
      </c>
      <c r="F1217" t="n">
        <v>95</v>
      </c>
      <c r="G1217" t="n">
        <v>95</v>
      </c>
    </row>
    <row r="1218">
      <c r="A1218" t="inlineStr">
        <is>
          <t>202617</t>
        </is>
      </c>
      <c r="B1218" t="inlineStr">
        <is>
          <t>Fulfillment</t>
        </is>
      </c>
      <c r="C1218" t="inlineStr">
        <is>
          <t>PLH-04-17</t>
        </is>
      </c>
      <c r="D1218" t="n">
        <v>151</v>
      </c>
      <c r="E1218" t="n">
        <v>57</v>
      </c>
      <c r="F1218" t="n">
        <v>94</v>
      </c>
      <c r="G1218" t="n">
        <v>94</v>
      </c>
    </row>
    <row r="1219">
      <c r="A1219" t="inlineStr">
        <is>
          <t>202617</t>
        </is>
      </c>
      <c r="B1219" t="inlineStr">
        <is>
          <t>Fulfillment</t>
        </is>
      </c>
      <c r="C1219" t="inlineStr">
        <is>
          <t>PLH-01-04</t>
        </is>
      </c>
      <c r="D1219" t="n">
        <v>182.3</v>
      </c>
      <c r="E1219" t="n">
        <v>91.15000000000001</v>
      </c>
      <c r="F1219" t="n">
        <v>91.15000000000001</v>
      </c>
      <c r="G1219" t="n">
        <v>91.15000000000001</v>
      </c>
    </row>
    <row r="1220">
      <c r="A1220" t="inlineStr">
        <is>
          <t>202617</t>
        </is>
      </c>
      <c r="B1220" t="inlineStr">
        <is>
          <t>Fulfillment</t>
        </is>
      </c>
      <c r="C1220" t="inlineStr">
        <is>
          <t>PLH-01-15</t>
        </is>
      </c>
      <c r="D1220" t="n">
        <v>412.57</v>
      </c>
      <c r="E1220" t="n">
        <v>326.28</v>
      </c>
      <c r="F1220" t="n">
        <v>86.29000000000001</v>
      </c>
      <c r="G1220" t="n">
        <v>86.28</v>
      </c>
    </row>
    <row r="1221">
      <c r="A1221" t="inlineStr">
        <is>
          <t>202617</t>
        </is>
      </c>
      <c r="B1221" t="inlineStr">
        <is>
          <t>Fulfillment</t>
        </is>
      </c>
      <c r="C1221" t="inlineStr">
        <is>
          <t>PLH-03-01</t>
        </is>
      </c>
      <c r="D1221" t="n">
        <v>80.84999999999999</v>
      </c>
      <c r="E1221" t="n">
        <v>0</v>
      </c>
      <c r="F1221" t="n">
        <v>80.84999999999999</v>
      </c>
      <c r="G1221" t="n">
        <v>80.84999999999999</v>
      </c>
    </row>
    <row r="1222">
      <c r="A1222" t="inlineStr">
        <is>
          <t>202617</t>
        </is>
      </c>
      <c r="B1222" t="inlineStr">
        <is>
          <t>Fulfillment</t>
        </is>
      </c>
      <c r="C1222" t="inlineStr">
        <is>
          <t>PLH-01-03</t>
        </is>
      </c>
      <c r="D1222" t="n">
        <v>151.13</v>
      </c>
      <c r="E1222" t="n">
        <v>75.56999999999999</v>
      </c>
      <c r="F1222" t="n">
        <v>75.56999999999999</v>
      </c>
      <c r="G1222" t="n">
        <v>75.56999999999999</v>
      </c>
    </row>
    <row r="1223">
      <c r="A1223" t="inlineStr">
        <is>
          <t>202617</t>
        </is>
      </c>
      <c r="B1223" t="inlineStr">
        <is>
          <t>Fulfillment</t>
        </is>
      </c>
      <c r="C1223" t="inlineStr">
        <is>
          <t>PLH-01-11</t>
        </is>
      </c>
      <c r="D1223" t="n">
        <v>160.67</v>
      </c>
      <c r="E1223" t="n">
        <v>90.33</v>
      </c>
      <c r="F1223" t="n">
        <v>70.33</v>
      </c>
      <c r="G1223" t="n">
        <v>70.33</v>
      </c>
    </row>
    <row r="1224">
      <c r="A1224" t="inlineStr">
        <is>
          <t>202617</t>
        </is>
      </c>
      <c r="B1224" t="inlineStr">
        <is>
          <t>Fulfillment</t>
        </is>
      </c>
      <c r="C1224" t="inlineStr">
        <is>
          <t>PLH-04-18</t>
        </is>
      </c>
      <c r="D1224" t="n">
        <v>68</v>
      </c>
      <c r="E1224" t="n">
        <v>0</v>
      </c>
      <c r="F1224" t="n">
        <v>68</v>
      </c>
      <c r="G1224" t="n">
        <v>68</v>
      </c>
    </row>
    <row r="1225">
      <c r="A1225" t="inlineStr">
        <is>
          <t>202617</t>
        </is>
      </c>
      <c r="B1225" t="inlineStr">
        <is>
          <t>Fulfillment</t>
        </is>
      </c>
      <c r="C1225" t="inlineStr">
        <is>
          <t>PLH-02-09</t>
        </is>
      </c>
      <c r="D1225" t="n">
        <v>169</v>
      </c>
      <c r="E1225" t="n">
        <v>103</v>
      </c>
      <c r="F1225" t="n">
        <v>66</v>
      </c>
      <c r="G1225" t="n">
        <v>66</v>
      </c>
    </row>
    <row r="1226">
      <c r="A1226" t="inlineStr">
        <is>
          <t>202617</t>
        </is>
      </c>
      <c r="B1226" t="inlineStr">
        <is>
          <t>Fulfillment</t>
        </is>
      </c>
      <c r="C1226" t="inlineStr">
        <is>
          <t>PLH-04-19</t>
        </is>
      </c>
      <c r="D1226" t="n">
        <v>66</v>
      </c>
      <c r="E1226" t="n">
        <v>0</v>
      </c>
      <c r="F1226" t="n">
        <v>66</v>
      </c>
      <c r="G1226" t="n">
        <v>66</v>
      </c>
    </row>
    <row r="1227">
      <c r="A1227" t="inlineStr">
        <is>
          <t>202617</t>
        </is>
      </c>
      <c r="B1227" t="inlineStr">
        <is>
          <t>Fulfillment</t>
        </is>
      </c>
      <c r="C1227" t="inlineStr">
        <is>
          <t>PLH-02-07</t>
        </is>
      </c>
      <c r="D1227" t="n">
        <v>166</v>
      </c>
      <c r="E1227" t="n">
        <v>101</v>
      </c>
      <c r="F1227" t="n">
        <v>65</v>
      </c>
      <c r="G1227" t="n">
        <v>65</v>
      </c>
    </row>
    <row r="1228">
      <c r="A1228" t="inlineStr">
        <is>
          <t>202617</t>
        </is>
      </c>
      <c r="B1228" t="inlineStr">
        <is>
          <t>Fulfillment</t>
        </is>
      </c>
      <c r="C1228" t="inlineStr">
        <is>
          <t>PLH-03-04</t>
        </is>
      </c>
      <c r="D1228" t="n">
        <v>61.1</v>
      </c>
      <c r="E1228" t="n">
        <v>0</v>
      </c>
      <c r="F1228" t="n">
        <v>61.1</v>
      </c>
      <c r="G1228" t="n">
        <v>61.1</v>
      </c>
    </row>
    <row r="1229">
      <c r="A1229" t="inlineStr">
        <is>
          <t>202617</t>
        </is>
      </c>
      <c r="B1229" t="inlineStr">
        <is>
          <t>Fulfillment</t>
        </is>
      </c>
      <c r="C1229" t="inlineStr">
        <is>
          <t>PLH-04-16</t>
        </is>
      </c>
      <c r="D1229" t="n">
        <v>188</v>
      </c>
      <c r="E1229" t="n">
        <v>128</v>
      </c>
      <c r="F1229" t="n">
        <v>60</v>
      </c>
      <c r="G1229" t="n">
        <v>60</v>
      </c>
    </row>
    <row r="1230">
      <c r="A1230" t="inlineStr">
        <is>
          <t>202617</t>
        </is>
      </c>
      <c r="B1230" t="inlineStr">
        <is>
          <t>Fulfillment</t>
        </is>
      </c>
      <c r="C1230" t="inlineStr">
        <is>
          <t>PLH-04-14</t>
        </is>
      </c>
      <c r="D1230" t="n">
        <v>88</v>
      </c>
      <c r="E1230" t="n">
        <v>44</v>
      </c>
      <c r="F1230" t="n">
        <v>44</v>
      </c>
      <c r="G1230" t="n">
        <v>44</v>
      </c>
    </row>
    <row r="1231">
      <c r="A1231" t="inlineStr">
        <is>
          <t>202617</t>
        </is>
      </c>
      <c r="B1231" t="inlineStr">
        <is>
          <t>Fulfillment</t>
        </is>
      </c>
      <c r="C1231" t="inlineStr">
        <is>
          <t>PLH-02-04</t>
        </is>
      </c>
      <c r="D1231" t="n">
        <v>43</v>
      </c>
      <c r="E1231" t="n">
        <v>0</v>
      </c>
      <c r="F1231" t="n">
        <v>43</v>
      </c>
      <c r="G1231" t="n">
        <v>43</v>
      </c>
    </row>
    <row r="1232">
      <c r="A1232" t="inlineStr">
        <is>
          <t>202617</t>
        </is>
      </c>
      <c r="B1232" t="inlineStr">
        <is>
          <t>Fulfillment</t>
        </is>
      </c>
      <c r="C1232" t="inlineStr">
        <is>
          <t>PLH-03-10</t>
        </is>
      </c>
      <c r="D1232" t="n">
        <v>271.85</v>
      </c>
      <c r="E1232" t="n">
        <v>229.85</v>
      </c>
      <c r="F1232" t="n">
        <v>42</v>
      </c>
      <c r="G1232" t="n">
        <v>42</v>
      </c>
    </row>
    <row r="1233">
      <c r="A1233" t="inlineStr">
        <is>
          <t>202617</t>
        </is>
      </c>
      <c r="B1233" t="inlineStr">
        <is>
          <t>Fulfillment</t>
        </is>
      </c>
      <c r="C1233" t="inlineStr">
        <is>
          <t>PLH-03-09</t>
        </is>
      </c>
      <c r="D1233" t="n">
        <v>40.7</v>
      </c>
      <c r="E1233" t="n">
        <v>0</v>
      </c>
      <c r="F1233" t="n">
        <v>40.7</v>
      </c>
      <c r="G1233" t="n">
        <v>40.7</v>
      </c>
    </row>
    <row r="1234">
      <c r="A1234" t="inlineStr">
        <is>
          <t>202617</t>
        </is>
      </c>
      <c r="B1234" t="inlineStr">
        <is>
          <t>Fulfillment</t>
        </is>
      </c>
      <c r="C1234" t="inlineStr">
        <is>
          <t>PLH-02-16</t>
        </is>
      </c>
      <c r="D1234" t="n">
        <v>80</v>
      </c>
      <c r="E1234" t="n">
        <v>40</v>
      </c>
      <c r="F1234" t="n">
        <v>40</v>
      </c>
      <c r="G1234" t="n">
        <v>40</v>
      </c>
    </row>
    <row r="1235">
      <c r="A1235" t="inlineStr">
        <is>
          <t>202617</t>
        </is>
      </c>
      <c r="B1235" t="inlineStr">
        <is>
          <t>Fulfillment</t>
        </is>
      </c>
      <c r="C1235" t="inlineStr">
        <is>
          <t>PLH-01-13</t>
        </is>
      </c>
      <c r="D1235" t="n">
        <v>113</v>
      </c>
      <c r="E1235" t="n">
        <v>80</v>
      </c>
      <c r="F1235" t="n">
        <v>33</v>
      </c>
      <c r="G1235" t="n">
        <v>33</v>
      </c>
    </row>
    <row r="1236">
      <c r="A1236" t="inlineStr">
        <is>
          <t>202617</t>
        </is>
      </c>
      <c r="B1236" t="inlineStr">
        <is>
          <t>Fulfillment</t>
        </is>
      </c>
      <c r="C1236" t="inlineStr">
        <is>
          <t>PLH-03-05</t>
        </is>
      </c>
      <c r="D1236" t="n">
        <v>32.05</v>
      </c>
      <c r="E1236" t="n">
        <v>0</v>
      </c>
      <c r="F1236" t="n">
        <v>32.05</v>
      </c>
      <c r="G1236" t="n">
        <v>32.05</v>
      </c>
    </row>
    <row r="1237">
      <c r="A1237" t="inlineStr">
        <is>
          <t>202617</t>
        </is>
      </c>
      <c r="B1237" t="inlineStr">
        <is>
          <t>Fulfillment</t>
        </is>
      </c>
      <c r="C1237" t="inlineStr">
        <is>
          <t>PLH-03-02</t>
        </is>
      </c>
      <c r="D1237" t="n">
        <v>31.85</v>
      </c>
      <c r="E1237" t="n">
        <v>0</v>
      </c>
      <c r="F1237" t="n">
        <v>31.85</v>
      </c>
      <c r="G1237" t="n">
        <v>31.85</v>
      </c>
    </row>
    <row r="1238">
      <c r="A1238" t="inlineStr">
        <is>
          <t>202617</t>
        </is>
      </c>
      <c r="B1238" t="inlineStr">
        <is>
          <t>Fulfillment</t>
        </is>
      </c>
      <c r="C1238" t="inlineStr">
        <is>
          <t>PLH-04-13</t>
        </is>
      </c>
      <c r="D1238" t="n">
        <v>82</v>
      </c>
      <c r="E1238" t="n">
        <v>52</v>
      </c>
      <c r="F1238" t="n">
        <v>30</v>
      </c>
      <c r="G1238" t="n">
        <v>30</v>
      </c>
    </row>
    <row r="1239">
      <c r="A1239" t="inlineStr">
        <is>
          <t>202617</t>
        </is>
      </c>
      <c r="B1239" t="inlineStr">
        <is>
          <t>Fulfillment</t>
        </is>
      </c>
      <c r="C1239" t="inlineStr">
        <is>
          <t>PLH-04-15</t>
        </is>
      </c>
      <c r="D1239" t="n">
        <v>58</v>
      </c>
      <c r="E1239" t="n">
        <v>29</v>
      </c>
      <c r="F1239" t="n">
        <v>29</v>
      </c>
      <c r="G1239" t="n">
        <v>29</v>
      </c>
    </row>
    <row r="1240">
      <c r="A1240" t="inlineStr">
        <is>
          <t>202617</t>
        </is>
      </c>
      <c r="B1240" t="inlineStr">
        <is>
          <t>Fulfillment</t>
        </is>
      </c>
      <c r="C1240" t="inlineStr">
        <is>
          <t>PLH-02-05</t>
        </is>
      </c>
      <c r="D1240" t="n">
        <v>56</v>
      </c>
      <c r="E1240" t="n">
        <v>28</v>
      </c>
      <c r="F1240" t="n">
        <v>28</v>
      </c>
      <c r="G1240" t="n">
        <v>28</v>
      </c>
    </row>
    <row r="1241">
      <c r="A1241" t="inlineStr">
        <is>
          <t>202617</t>
        </is>
      </c>
      <c r="B1241" t="inlineStr">
        <is>
          <t>Fulfillment</t>
        </is>
      </c>
      <c r="C1241" t="inlineStr">
        <is>
          <t>PLH-03-03</t>
        </is>
      </c>
      <c r="D1241" t="n">
        <v>26.66</v>
      </c>
      <c r="E1241" t="n">
        <v>0</v>
      </c>
      <c r="F1241" t="n">
        <v>26.66</v>
      </c>
      <c r="G1241" t="n">
        <v>26.66</v>
      </c>
    </row>
    <row r="1242">
      <c r="A1242" t="inlineStr">
        <is>
          <t>202617</t>
        </is>
      </c>
      <c r="B1242" t="inlineStr">
        <is>
          <t>Fulfillment</t>
        </is>
      </c>
      <c r="C1242" t="inlineStr">
        <is>
          <t>PLH-01-09</t>
        </is>
      </c>
      <c r="D1242" t="n">
        <v>36</v>
      </c>
      <c r="E1242" t="n">
        <v>10</v>
      </c>
      <c r="F1242" t="n">
        <v>26</v>
      </c>
      <c r="G1242" t="n">
        <v>26</v>
      </c>
    </row>
    <row r="1243">
      <c r="A1243" t="inlineStr">
        <is>
          <t>202617</t>
        </is>
      </c>
      <c r="B1243" t="inlineStr">
        <is>
          <t>Fulfillment</t>
        </is>
      </c>
      <c r="C1243" t="inlineStr">
        <is>
          <t>PLH-02-14</t>
        </is>
      </c>
      <c r="D1243" t="n">
        <v>70.90000000000001</v>
      </c>
      <c r="E1243" t="n">
        <v>48.9</v>
      </c>
      <c r="F1243" t="n">
        <v>22</v>
      </c>
      <c r="G1243" t="n">
        <v>22</v>
      </c>
    </row>
    <row r="1244">
      <c r="A1244" t="inlineStr">
        <is>
          <t>202617</t>
        </is>
      </c>
      <c r="B1244" t="inlineStr">
        <is>
          <t>Fulfillment</t>
        </is>
      </c>
      <c r="C1244" t="inlineStr">
        <is>
          <t>PLH-01-10</t>
        </is>
      </c>
      <c r="D1244" t="n">
        <v>31</v>
      </c>
      <c r="E1244" t="n">
        <v>10</v>
      </c>
      <c r="F1244" t="n">
        <v>21</v>
      </c>
      <c r="G1244" t="n">
        <v>21</v>
      </c>
    </row>
    <row r="1245">
      <c r="A1245" t="inlineStr">
        <is>
          <t>202617</t>
        </is>
      </c>
      <c r="B1245" t="inlineStr">
        <is>
          <t>Fulfillment</t>
        </is>
      </c>
      <c r="C1245" t="inlineStr">
        <is>
          <t>FACAPK</t>
        </is>
      </c>
      <c r="D1245" t="n">
        <v>20</v>
      </c>
      <c r="E1245" t="n">
        <v>0</v>
      </c>
      <c r="F1245" t="n">
        <v>20</v>
      </c>
      <c r="G1245" t="n">
        <v>20</v>
      </c>
    </row>
    <row r="1246">
      <c r="A1246" t="inlineStr">
        <is>
          <t>202617</t>
        </is>
      </c>
      <c r="B1246" t="inlineStr">
        <is>
          <t>Fulfillment</t>
        </is>
      </c>
      <c r="C1246" t="inlineStr">
        <is>
          <t>PLH-02-08</t>
        </is>
      </c>
      <c r="D1246" t="n">
        <v>40</v>
      </c>
      <c r="E1246" t="n">
        <v>20</v>
      </c>
      <c r="F1246" t="n">
        <v>20</v>
      </c>
      <c r="G1246" t="n">
        <v>20</v>
      </c>
    </row>
    <row r="1247">
      <c r="A1247" t="inlineStr">
        <is>
          <t>202617</t>
        </is>
      </c>
      <c r="B1247" t="inlineStr">
        <is>
          <t>Fulfillment</t>
        </is>
      </c>
      <c r="C1247" t="inlineStr">
        <is>
          <t>PLH-02-12</t>
        </is>
      </c>
      <c r="D1247" t="n">
        <v>59</v>
      </c>
      <c r="E1247" t="n">
        <v>44</v>
      </c>
      <c r="F1247" t="n">
        <v>15</v>
      </c>
      <c r="G1247" t="n">
        <v>15</v>
      </c>
    </row>
    <row r="1248">
      <c r="A1248" t="inlineStr">
        <is>
          <t>202617</t>
        </is>
      </c>
      <c r="B1248" t="inlineStr">
        <is>
          <t>Fulfillment</t>
        </is>
      </c>
      <c r="C1248" t="inlineStr">
        <is>
          <t>PLH-02-15</t>
        </is>
      </c>
      <c r="D1248" t="n">
        <v>33.18</v>
      </c>
      <c r="E1248" t="n">
        <v>18.18</v>
      </c>
      <c r="F1248" t="n">
        <v>15</v>
      </c>
      <c r="G1248" t="n">
        <v>15</v>
      </c>
    </row>
    <row r="1249">
      <c r="A1249" t="inlineStr">
        <is>
          <t>202617</t>
        </is>
      </c>
      <c r="B1249" t="inlineStr">
        <is>
          <t>Fulfillment</t>
        </is>
      </c>
      <c r="C1249" t="inlineStr">
        <is>
          <t>PLH-02-03</t>
        </is>
      </c>
      <c r="D1249" t="n">
        <v>33</v>
      </c>
      <c r="E1249" t="n">
        <v>20</v>
      </c>
      <c r="F1249" t="n">
        <v>13</v>
      </c>
      <c r="G1249" t="n">
        <v>13</v>
      </c>
    </row>
    <row r="1250">
      <c r="A1250" t="inlineStr">
        <is>
          <t>202617</t>
        </is>
      </c>
      <c r="B1250" t="inlineStr">
        <is>
          <t>Fulfillment</t>
        </is>
      </c>
      <c r="C1250" t="inlineStr">
        <is>
          <t>PLH-02-01</t>
        </is>
      </c>
      <c r="D1250" t="n">
        <v>0</v>
      </c>
      <c r="E1250" t="n">
        <v>10</v>
      </c>
      <c r="F1250" t="n">
        <v>-10</v>
      </c>
      <c r="G1250" t="n">
        <v>-10</v>
      </c>
    </row>
    <row r="1251">
      <c r="A1251" t="inlineStr">
        <is>
          <t>202617</t>
        </is>
      </c>
      <c r="B1251" t="inlineStr">
        <is>
          <t>Fulfillment</t>
        </is>
      </c>
      <c r="C1251" t="inlineStr">
        <is>
          <t>PLH-02-02</t>
        </is>
      </c>
      <c r="D1251" t="n">
        <v>0</v>
      </c>
      <c r="E1251" t="n">
        <v>10</v>
      </c>
      <c r="F1251" t="n">
        <v>-10</v>
      </c>
      <c r="G1251" t="n">
        <v>-10</v>
      </c>
    </row>
    <row r="1252">
      <c r="A1252" t="inlineStr">
        <is>
          <t>202617</t>
        </is>
      </c>
      <c r="B1252" t="inlineStr">
        <is>
          <t>Fulfillment</t>
        </is>
      </c>
      <c r="C1252" t="inlineStr">
        <is>
          <t>PLH-02-10</t>
        </is>
      </c>
      <c r="D1252" t="n">
        <v>120</v>
      </c>
      <c r="E1252" t="n">
        <v>113</v>
      </c>
      <c r="F1252" t="n">
        <v>7</v>
      </c>
      <c r="G1252" t="n">
        <v>7</v>
      </c>
    </row>
    <row r="1253">
      <c r="A1253" t="inlineStr">
        <is>
          <t>202617</t>
        </is>
      </c>
      <c r="B1253" t="inlineStr">
        <is>
          <t>Fulfillment</t>
        </is>
      </c>
      <c r="C1253" t="inlineStr">
        <is>
          <t>VEGGIE</t>
        </is>
      </c>
      <c r="D1253" t="n">
        <v>1</v>
      </c>
      <c r="E1253" t="n">
        <v>0</v>
      </c>
      <c r="F1253" t="n">
        <v>1</v>
      </c>
      <c r="G1253" t="n">
        <v>1</v>
      </c>
    </row>
    <row r="1254">
      <c r="A1254" t="inlineStr">
        <is>
          <t>202617</t>
        </is>
      </c>
      <c r="B1254" t="inlineStr">
        <is>
          <t>Fulfillment</t>
        </is>
      </c>
      <c r="C1254" t="inlineStr">
        <is>
          <t>PLH-01-18</t>
        </is>
      </c>
      <c r="D1254" t="n">
        <v>10</v>
      </c>
      <c r="E1254" t="n">
        <v>10</v>
      </c>
      <c r="F1254" t="n">
        <v>0</v>
      </c>
      <c r="G1254" t="n">
        <v>0</v>
      </c>
    </row>
    <row r="1255">
      <c r="A1255" t="inlineStr">
        <is>
          <t>202617</t>
        </is>
      </c>
      <c r="B1255" t="inlineStr">
        <is>
          <t>Fulfillment</t>
        </is>
      </c>
      <c r="C1255" t="inlineStr">
        <is>
          <t>PLH-02-13</t>
        </is>
      </c>
      <c r="D1255" t="n">
        <v>23.4</v>
      </c>
      <c r="E1255" t="n">
        <v>23.4</v>
      </c>
      <c r="F1255" t="n">
        <v>0</v>
      </c>
      <c r="G1255" t="n">
        <v>0</v>
      </c>
    </row>
    <row r="1256">
      <c r="A1256" t="inlineStr">
        <is>
          <t>202617</t>
        </is>
      </c>
      <c r="B1256" t="inlineStr">
        <is>
          <t>Lager</t>
        </is>
      </c>
      <c r="C1256" t="inlineStr">
        <is>
          <t>STGDR-27</t>
        </is>
      </c>
      <c r="D1256" t="n">
        <v>31144</v>
      </c>
      <c r="E1256" t="n">
        <v>0</v>
      </c>
      <c r="F1256" t="n">
        <v>31144</v>
      </c>
      <c r="G1256" t="n">
        <v>31144</v>
      </c>
    </row>
    <row r="1257">
      <c r="A1257" t="inlineStr">
        <is>
          <t>202617</t>
        </is>
      </c>
      <c r="B1257" t="inlineStr">
        <is>
          <t>Lager</t>
        </is>
      </c>
      <c r="C1257" t="inlineStr">
        <is>
          <t>STGDR-85</t>
        </is>
      </c>
      <c r="D1257" t="n">
        <v>26579</v>
      </c>
      <c r="E1257" t="n">
        <v>0</v>
      </c>
      <c r="F1257" t="n">
        <v>26579</v>
      </c>
      <c r="G1257" t="n">
        <v>26579</v>
      </c>
    </row>
    <row r="1258">
      <c r="A1258" t="inlineStr">
        <is>
          <t>202617</t>
        </is>
      </c>
      <c r="B1258" t="inlineStr">
        <is>
          <t>Lager</t>
        </is>
      </c>
      <c r="C1258" t="inlineStr">
        <is>
          <t>STGDR-29</t>
        </is>
      </c>
      <c r="D1258" t="n">
        <v>8027.4</v>
      </c>
      <c r="E1258" t="n">
        <v>0</v>
      </c>
      <c r="F1258" t="n">
        <v>8027.4</v>
      </c>
      <c r="G1258" t="n">
        <v>8027.4</v>
      </c>
    </row>
    <row r="1259">
      <c r="A1259" t="inlineStr">
        <is>
          <t>202617</t>
        </is>
      </c>
      <c r="B1259" t="inlineStr">
        <is>
          <t>Lager</t>
        </is>
      </c>
      <c r="C1259" t="inlineStr">
        <is>
          <t>STGDR-30</t>
        </is>
      </c>
      <c r="D1259" t="n">
        <v>2652</v>
      </c>
      <c r="E1259" t="n">
        <v>0</v>
      </c>
      <c r="F1259" t="n">
        <v>2652</v>
      </c>
      <c r="G1259" t="n">
        <v>2652</v>
      </c>
    </row>
    <row r="1260">
      <c r="A1260" t="inlineStr">
        <is>
          <t>202617</t>
        </is>
      </c>
      <c r="B1260" t="inlineStr">
        <is>
          <t>Lager</t>
        </is>
      </c>
      <c r="C1260" t="inlineStr">
        <is>
          <t>STGDR-28</t>
        </is>
      </c>
      <c r="D1260" t="n">
        <v>520</v>
      </c>
      <c r="E1260" t="n">
        <v>0</v>
      </c>
      <c r="F1260" t="n">
        <v>520</v>
      </c>
      <c r="G1260" t="n">
        <v>520</v>
      </c>
    </row>
    <row r="1261">
      <c r="A1261" t="inlineStr">
        <is>
          <t>202617</t>
        </is>
      </c>
      <c r="B1261" t="inlineStr">
        <is>
          <t>Lager</t>
        </is>
      </c>
      <c r="C1261" t="inlineStr">
        <is>
          <t>SPERRLAGER P</t>
        </is>
      </c>
      <c r="D1261" t="n">
        <v>128</v>
      </c>
      <c r="E1261" t="n">
        <v>128</v>
      </c>
      <c r="F1261" t="n">
        <v>0</v>
      </c>
      <c r="G1261" t="n">
        <v>0</v>
      </c>
    </row>
    <row r="1262">
      <c r="A1262" t="inlineStr">
        <is>
          <t>202617</t>
        </is>
      </c>
      <c r="B1262" t="inlineStr">
        <is>
          <t>Lager</t>
        </is>
      </c>
      <c r="C1262" t="inlineStr">
        <is>
          <t>STGDR-31</t>
        </is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202617</t>
        </is>
      </c>
      <c r="B1263" t="inlineStr">
        <is>
          <t>Prep/Plating</t>
        </is>
      </c>
      <c r="C1263" t="inlineStr">
        <is>
          <t>PREB-01</t>
        </is>
      </c>
      <c r="D1263" t="n">
        <v>1159985.13</v>
      </c>
      <c r="E1263" t="n">
        <v>590553.64</v>
      </c>
      <c r="F1263" t="n">
        <v>569431.49</v>
      </c>
      <c r="G1263" t="n">
        <v>569431.49</v>
      </c>
    </row>
    <row r="1264">
      <c r="A1264" t="inlineStr">
        <is>
          <t>202617</t>
        </is>
      </c>
      <c r="B1264" t="inlineStr">
        <is>
          <t>Prep/Plating</t>
        </is>
      </c>
      <c r="C1264" t="inlineStr">
        <is>
          <t>DEBOXWIP</t>
        </is>
      </c>
      <c r="D1264" t="n">
        <v>91.98</v>
      </c>
      <c r="E1264" t="n">
        <v>428786.74</v>
      </c>
      <c r="F1264" t="n">
        <v>-428694.77</v>
      </c>
      <c r="G1264" t="n">
        <v>-428694.77</v>
      </c>
    </row>
    <row r="1265">
      <c r="A1265" t="inlineStr">
        <is>
          <t>202617</t>
        </is>
      </c>
      <c r="B1265" t="inlineStr">
        <is>
          <t>Prep/Plating</t>
        </is>
      </c>
      <c r="C1265" t="inlineStr">
        <is>
          <t>PostB-01</t>
        </is>
      </c>
      <c r="D1265" t="n">
        <v>374126.63</v>
      </c>
      <c r="E1265" t="n">
        <v>0</v>
      </c>
      <c r="F1265" t="n">
        <v>374126.63</v>
      </c>
      <c r="G1265" t="n">
        <v>374126.63</v>
      </c>
    </row>
    <row r="1266">
      <c r="A1266" t="inlineStr">
        <is>
          <t>202617</t>
        </is>
      </c>
      <c r="B1266" t="inlineStr">
        <is>
          <t>Prep/Plating</t>
        </is>
      </c>
      <c r="C1266" t="inlineStr">
        <is>
          <t>PreB-01</t>
        </is>
      </c>
      <c r="D1266" t="n">
        <v>81367.74000000001</v>
      </c>
      <c r="E1266" t="n">
        <v>0</v>
      </c>
      <c r="F1266" t="n">
        <v>81367.74000000001</v>
      </c>
      <c r="G1266" t="n">
        <v>81367.74000000001</v>
      </c>
    </row>
    <row r="1267">
      <c r="A1267" t="inlineStr">
        <is>
          <t>202617</t>
        </is>
      </c>
      <c r="B1267" t="inlineStr">
        <is>
          <t>Prep/Plating</t>
        </is>
      </c>
      <c r="C1267" t="inlineStr">
        <is>
          <t>SLEEVING</t>
        </is>
      </c>
      <c r="D1267" t="n">
        <v>18144</v>
      </c>
      <c r="E1267" t="n">
        <v>0</v>
      </c>
      <c r="F1267" t="n">
        <v>18144</v>
      </c>
      <c r="G1267" t="n">
        <v>18144</v>
      </c>
    </row>
    <row r="1268">
      <c r="A1268" t="inlineStr">
        <is>
          <t>202617</t>
        </is>
      </c>
      <c r="B1268" t="inlineStr">
        <is>
          <t>Prep/Plating</t>
        </is>
      </c>
      <c r="C1268" t="inlineStr">
        <is>
          <t>PLATING-LINE-01</t>
        </is>
      </c>
      <c r="D1268" t="n">
        <v>10</v>
      </c>
      <c r="E1268" t="n">
        <v>0</v>
      </c>
      <c r="F1268" t="n">
        <v>10</v>
      </c>
      <c r="G1268" t="n">
        <v>10</v>
      </c>
    </row>
    <row r="1269">
      <c r="A1269" t="inlineStr">
        <is>
          <t>202618</t>
        </is>
      </c>
      <c r="B1269" t="inlineStr">
        <is>
          <t>Andere</t>
        </is>
      </c>
      <c r="C1269" t="inlineStr">
        <is>
          <t>PCK-GER</t>
        </is>
      </c>
      <c r="D1269" t="n">
        <v>110000000</v>
      </c>
      <c r="E1269" t="n">
        <v>0</v>
      </c>
      <c r="F1269" t="n">
        <v>110000000</v>
      </c>
      <c r="G1269" t="n">
        <v>110000000</v>
      </c>
    </row>
    <row r="1270">
      <c r="A1270" t="inlineStr">
        <is>
          <t>202618</t>
        </is>
      </c>
      <c r="B1270" t="inlineStr">
        <is>
          <t>Andere</t>
        </is>
      </c>
      <c r="C1270" t="inlineStr">
        <is>
          <t>PCK-NO</t>
        </is>
      </c>
      <c r="D1270" t="n">
        <v>90000000</v>
      </c>
      <c r="E1270" t="n">
        <v>0</v>
      </c>
      <c r="F1270" t="n">
        <v>90000000</v>
      </c>
      <c r="G1270" t="n">
        <v>90000000</v>
      </c>
    </row>
    <row r="1271">
      <c r="A1271" t="inlineStr">
        <is>
          <t>202618</t>
        </is>
      </c>
      <c r="B1271" t="inlineStr">
        <is>
          <t>Andere</t>
        </is>
      </c>
      <c r="C1271" t="inlineStr">
        <is>
          <t>UNBEKANNT</t>
        </is>
      </c>
      <c r="D1271" t="n">
        <v>1058943.58</v>
      </c>
      <c r="E1271" t="n">
        <v>0</v>
      </c>
      <c r="F1271" t="n">
        <v>1058943.58</v>
      </c>
      <c r="G1271" t="n">
        <v>1058943.58</v>
      </c>
    </row>
    <row r="1272">
      <c r="A1272" t="inlineStr">
        <is>
          <t>202618</t>
        </is>
      </c>
      <c r="B1272" t="inlineStr">
        <is>
          <t>Andere</t>
        </is>
      </c>
      <c r="C1272" t="inlineStr">
        <is>
          <t>FAWIEGHOLDD</t>
        </is>
      </c>
      <c r="D1272" t="n">
        <v>484965.5</v>
      </c>
      <c r="E1272" t="n">
        <v>0</v>
      </c>
      <c r="F1272" t="n">
        <v>484965.5</v>
      </c>
      <c r="G1272" t="n">
        <v>484965.5</v>
      </c>
    </row>
    <row r="1273">
      <c r="A1273" t="inlineStr">
        <is>
          <t>202618</t>
        </is>
      </c>
      <c r="B1273" t="inlineStr">
        <is>
          <t>Andere</t>
        </is>
      </c>
      <c r="C1273" t="inlineStr">
        <is>
          <t>FAKOCHMAT</t>
        </is>
      </c>
      <c r="D1273" t="n">
        <v>195175</v>
      </c>
      <c r="E1273" t="n">
        <v>0</v>
      </c>
      <c r="F1273" t="n">
        <v>195175</v>
      </c>
      <c r="G1273" t="n">
        <v>195175</v>
      </c>
    </row>
    <row r="1274">
      <c r="A1274" t="inlineStr">
        <is>
          <t>202618</t>
        </is>
      </c>
      <c r="B1274" t="inlineStr">
        <is>
          <t>Andere</t>
        </is>
      </c>
      <c r="C1274" t="inlineStr">
        <is>
          <t>FAGEVERSF</t>
        </is>
      </c>
      <c r="D1274" t="n">
        <v>118484</v>
      </c>
      <c r="E1274" t="n">
        <v>0</v>
      </c>
      <c r="F1274" t="n">
        <v>118484</v>
      </c>
      <c r="G1274" t="n">
        <v>118484</v>
      </c>
    </row>
    <row r="1275">
      <c r="A1275" t="inlineStr">
        <is>
          <t>202618</t>
        </is>
      </c>
      <c r="B1275" t="inlineStr">
        <is>
          <t>Andere</t>
        </is>
      </c>
      <c r="C1275" t="inlineStr">
        <is>
          <t>FAHABAYEBM</t>
        </is>
      </c>
      <c r="D1275" t="n">
        <v>50559</v>
      </c>
      <c r="E1275" t="n">
        <v>0</v>
      </c>
      <c r="F1275" t="n">
        <v>50559</v>
      </c>
      <c r="G1275" t="n">
        <v>50559</v>
      </c>
    </row>
    <row r="1276">
      <c r="A1276" t="inlineStr">
        <is>
          <t>202618</t>
        </is>
      </c>
      <c r="B1276" t="inlineStr">
        <is>
          <t>Andere</t>
        </is>
      </c>
      <c r="C1276" t="inlineStr">
        <is>
          <t>ADJ LOC</t>
        </is>
      </c>
      <c r="D1276" t="n">
        <v>50044.45</v>
      </c>
      <c r="E1276" t="n">
        <v>0</v>
      </c>
      <c r="F1276" t="n">
        <v>50044.45</v>
      </c>
      <c r="G1276" t="n">
        <v>50044.45</v>
      </c>
    </row>
    <row r="1277">
      <c r="A1277" t="inlineStr">
        <is>
          <t>202618</t>
        </is>
      </c>
      <c r="B1277" t="inlineStr">
        <is>
          <t>Andere</t>
        </is>
      </c>
      <c r="C1277" t="inlineStr">
        <is>
          <t>FAJHOFFVF</t>
        </is>
      </c>
      <c r="D1277" t="n">
        <v>50025.79</v>
      </c>
      <c r="E1277" t="n">
        <v>0</v>
      </c>
      <c r="F1277" t="n">
        <v>50025.79</v>
      </c>
      <c r="G1277" t="n">
        <v>50025.79</v>
      </c>
    </row>
    <row r="1278">
      <c r="A1278" t="inlineStr">
        <is>
          <t>202618</t>
        </is>
      </c>
      <c r="B1278" t="inlineStr">
        <is>
          <t>Andere</t>
        </is>
      </c>
      <c r="C1278" t="inlineStr">
        <is>
          <t>FASCHRADERS</t>
        </is>
      </c>
      <c r="D1278" t="n">
        <v>50010</v>
      </c>
      <c r="E1278" t="n">
        <v>0</v>
      </c>
      <c r="F1278" t="n">
        <v>50010</v>
      </c>
      <c r="G1278" t="n">
        <v>50010</v>
      </c>
    </row>
    <row r="1279">
      <c r="A1279" t="inlineStr">
        <is>
          <t>202618</t>
        </is>
      </c>
      <c r="B1279" t="inlineStr">
        <is>
          <t>Andere</t>
        </is>
      </c>
      <c r="C1279" t="inlineStr">
        <is>
          <t>FAFURMANNB</t>
        </is>
      </c>
      <c r="D1279" t="n">
        <v>27444</v>
      </c>
      <c r="E1279" t="n">
        <v>0</v>
      </c>
      <c r="F1279" t="n">
        <v>27444</v>
      </c>
      <c r="G1279" t="n">
        <v>27444</v>
      </c>
    </row>
    <row r="1280">
      <c r="A1280" t="inlineStr">
        <is>
          <t>202618</t>
        </is>
      </c>
      <c r="B1280" t="inlineStr">
        <is>
          <t>Andere</t>
        </is>
      </c>
      <c r="C1280" t="inlineStr">
        <is>
          <t>FASADEKM</t>
        </is>
      </c>
      <c r="D1280" t="n">
        <v>25737</v>
      </c>
      <c r="E1280" t="n">
        <v>0</v>
      </c>
      <c r="F1280" t="n">
        <v>25737</v>
      </c>
      <c r="G1280" t="n">
        <v>25737</v>
      </c>
    </row>
    <row r="1281">
      <c r="A1281" t="inlineStr">
        <is>
          <t>202618</t>
        </is>
      </c>
      <c r="B1281" t="inlineStr">
        <is>
          <t>Andere</t>
        </is>
      </c>
      <c r="C1281" t="inlineStr">
        <is>
          <t>PRODUCTION</t>
        </is>
      </c>
      <c r="D1281" t="n">
        <v>24564</v>
      </c>
      <c r="E1281" t="n">
        <v>0</v>
      </c>
      <c r="F1281" t="n">
        <v>24564</v>
      </c>
      <c r="G1281" t="n">
        <v>24564</v>
      </c>
    </row>
    <row r="1282">
      <c r="A1282" t="inlineStr">
        <is>
          <t>202618</t>
        </is>
      </c>
      <c r="B1282" t="inlineStr">
        <is>
          <t>Andere</t>
        </is>
      </c>
      <c r="C1282" t="inlineStr">
        <is>
          <t>FALEHMANNM</t>
        </is>
      </c>
      <c r="D1282" t="n">
        <v>17522</v>
      </c>
      <c r="E1282" t="n">
        <v>0</v>
      </c>
      <c r="F1282" t="n">
        <v>17522</v>
      </c>
      <c r="G1282" t="n">
        <v>17522</v>
      </c>
    </row>
    <row r="1283">
      <c r="A1283" t="inlineStr">
        <is>
          <t>202618</t>
        </is>
      </c>
      <c r="B1283" t="inlineStr">
        <is>
          <t>Andere</t>
        </is>
      </c>
      <c r="C1283" t="inlineStr">
        <is>
          <t>FAENDERST</t>
        </is>
      </c>
      <c r="D1283" t="n">
        <v>16884</v>
      </c>
      <c r="E1283" t="n">
        <v>0</v>
      </c>
      <c r="F1283" t="n">
        <v>16884</v>
      </c>
      <c r="G1283" t="n">
        <v>16884</v>
      </c>
    </row>
    <row r="1284">
      <c r="A1284" t="inlineStr">
        <is>
          <t>202618</t>
        </is>
      </c>
      <c r="B1284" t="inlineStr">
        <is>
          <t>Andere</t>
        </is>
      </c>
      <c r="C1284" t="inlineStr">
        <is>
          <t>A-02-01-1</t>
        </is>
      </c>
      <c r="D1284" t="n">
        <v>16100</v>
      </c>
      <c r="E1284" t="n">
        <v>0</v>
      </c>
      <c r="F1284" t="n">
        <v>16100</v>
      </c>
      <c r="G1284" t="n">
        <v>16100</v>
      </c>
    </row>
    <row r="1285">
      <c r="A1285" t="inlineStr">
        <is>
          <t>202618</t>
        </is>
      </c>
      <c r="B1285" t="inlineStr">
        <is>
          <t>Andere</t>
        </is>
      </c>
      <c r="C1285" t="inlineStr">
        <is>
          <t>A-02-02-1</t>
        </is>
      </c>
      <c r="D1285" t="n">
        <v>16100</v>
      </c>
      <c r="E1285" t="n">
        <v>0</v>
      </c>
      <c r="F1285" t="n">
        <v>16100</v>
      </c>
      <c r="G1285" t="n">
        <v>16100</v>
      </c>
    </row>
    <row r="1286">
      <c r="A1286" t="inlineStr">
        <is>
          <t>202618</t>
        </is>
      </c>
      <c r="B1286" t="inlineStr">
        <is>
          <t>Andere</t>
        </is>
      </c>
      <c r="C1286" t="inlineStr">
        <is>
          <t>A-02-04-1</t>
        </is>
      </c>
      <c r="D1286" t="n">
        <v>16100</v>
      </c>
      <c r="E1286" t="n">
        <v>0</v>
      </c>
      <c r="F1286" t="n">
        <v>16100</v>
      </c>
      <c r="G1286" t="n">
        <v>16100</v>
      </c>
    </row>
    <row r="1287">
      <c r="A1287" t="inlineStr">
        <is>
          <t>202618</t>
        </is>
      </c>
      <c r="B1287" t="inlineStr">
        <is>
          <t>Andere</t>
        </is>
      </c>
      <c r="C1287" t="inlineStr">
        <is>
          <t>A-02-05-1</t>
        </is>
      </c>
      <c r="D1287" t="n">
        <v>16100</v>
      </c>
      <c r="E1287" t="n">
        <v>0</v>
      </c>
      <c r="F1287" t="n">
        <v>16100</v>
      </c>
      <c r="G1287" t="n">
        <v>16100</v>
      </c>
    </row>
    <row r="1288">
      <c r="A1288" t="inlineStr">
        <is>
          <t>202618</t>
        </is>
      </c>
      <c r="B1288" t="inlineStr">
        <is>
          <t>Andere</t>
        </is>
      </c>
      <c r="C1288" t="inlineStr">
        <is>
          <t>A-02-16-1</t>
        </is>
      </c>
      <c r="D1288" t="n">
        <v>16100</v>
      </c>
      <c r="E1288" t="n">
        <v>0</v>
      </c>
      <c r="F1288" t="n">
        <v>16100</v>
      </c>
      <c r="G1288" t="n">
        <v>16100</v>
      </c>
    </row>
    <row r="1289">
      <c r="A1289" t="inlineStr">
        <is>
          <t>202618</t>
        </is>
      </c>
      <c r="B1289" t="inlineStr">
        <is>
          <t>Andere</t>
        </is>
      </c>
      <c r="C1289" t="inlineStr">
        <is>
          <t>A-02-41-1</t>
        </is>
      </c>
      <c r="D1289" t="n">
        <v>16100</v>
      </c>
      <c r="E1289" t="n">
        <v>0</v>
      </c>
      <c r="F1289" t="n">
        <v>16100</v>
      </c>
      <c r="G1289" t="n">
        <v>16100</v>
      </c>
    </row>
    <row r="1290">
      <c r="A1290" t="inlineStr">
        <is>
          <t>202618</t>
        </is>
      </c>
      <c r="B1290" t="inlineStr">
        <is>
          <t>Andere</t>
        </is>
      </c>
      <c r="C1290" t="inlineStr">
        <is>
          <t>A-02-46-1</t>
        </is>
      </c>
      <c r="D1290" t="n">
        <v>16100</v>
      </c>
      <c r="E1290" t="n">
        <v>0</v>
      </c>
      <c r="F1290" t="n">
        <v>16100</v>
      </c>
      <c r="G1290" t="n">
        <v>16100</v>
      </c>
    </row>
    <row r="1291">
      <c r="A1291" t="inlineStr">
        <is>
          <t>202618</t>
        </is>
      </c>
      <c r="B1291" t="inlineStr">
        <is>
          <t>Andere</t>
        </is>
      </c>
      <c r="C1291" t="inlineStr">
        <is>
          <t>A-02-47-1</t>
        </is>
      </c>
      <c r="D1291" t="n">
        <v>16100</v>
      </c>
      <c r="E1291" t="n">
        <v>0</v>
      </c>
      <c r="F1291" t="n">
        <v>16100</v>
      </c>
      <c r="G1291" t="n">
        <v>16100</v>
      </c>
    </row>
    <row r="1292">
      <c r="A1292" t="inlineStr">
        <is>
          <t>202618</t>
        </is>
      </c>
      <c r="B1292" t="inlineStr">
        <is>
          <t>Andere</t>
        </is>
      </c>
      <c r="C1292" t="inlineStr">
        <is>
          <t>A-02-51-1</t>
        </is>
      </c>
      <c r="D1292" t="n">
        <v>16100</v>
      </c>
      <c r="E1292" t="n">
        <v>0</v>
      </c>
      <c r="F1292" t="n">
        <v>16100</v>
      </c>
      <c r="G1292" t="n">
        <v>16100</v>
      </c>
    </row>
    <row r="1293">
      <c r="A1293" t="inlineStr">
        <is>
          <t>202618</t>
        </is>
      </c>
      <c r="B1293" t="inlineStr">
        <is>
          <t>Andere</t>
        </is>
      </c>
      <c r="C1293" t="inlineStr">
        <is>
          <t>A-02-13-1</t>
        </is>
      </c>
      <c r="D1293" t="n">
        <v>12880</v>
      </c>
      <c r="E1293" t="n">
        <v>0</v>
      </c>
      <c r="F1293" t="n">
        <v>12880</v>
      </c>
      <c r="G1293" t="n">
        <v>12880</v>
      </c>
    </row>
    <row r="1294">
      <c r="A1294" t="inlineStr">
        <is>
          <t>202618</t>
        </is>
      </c>
      <c r="B1294" t="inlineStr">
        <is>
          <t>Andere</t>
        </is>
      </c>
      <c r="C1294" t="inlineStr">
        <is>
          <t>A-02-17-1</t>
        </is>
      </c>
      <c r="D1294" t="n">
        <v>10120</v>
      </c>
      <c r="E1294" t="n">
        <v>0</v>
      </c>
      <c r="F1294" t="n">
        <v>10120</v>
      </c>
      <c r="G1294" t="n">
        <v>10120</v>
      </c>
    </row>
    <row r="1295">
      <c r="A1295" t="inlineStr">
        <is>
          <t>202618</t>
        </is>
      </c>
      <c r="B1295" t="inlineStr">
        <is>
          <t>Andere</t>
        </is>
      </c>
      <c r="C1295" t="inlineStr">
        <is>
          <t>A-02-10-1</t>
        </is>
      </c>
      <c r="D1295" t="n">
        <v>5060</v>
      </c>
      <c r="E1295" t="n">
        <v>0</v>
      </c>
      <c r="F1295" t="n">
        <v>5060</v>
      </c>
      <c r="G1295" t="n">
        <v>5060</v>
      </c>
    </row>
    <row r="1296">
      <c r="A1296" t="inlineStr">
        <is>
          <t>202618</t>
        </is>
      </c>
      <c r="B1296" t="inlineStr">
        <is>
          <t>Andere</t>
        </is>
      </c>
      <c r="C1296" t="inlineStr">
        <is>
          <t>PROD RTN</t>
        </is>
      </c>
      <c r="D1296" t="n">
        <v>4270.56</v>
      </c>
      <c r="E1296" t="n">
        <v>0</v>
      </c>
      <c r="F1296" t="n">
        <v>4270.56</v>
      </c>
      <c r="G1296" t="n">
        <v>4270.56</v>
      </c>
    </row>
    <row r="1297">
      <c r="A1297" t="inlineStr">
        <is>
          <t>202618</t>
        </is>
      </c>
      <c r="B1297" t="inlineStr">
        <is>
          <t>Andere</t>
        </is>
      </c>
      <c r="C1297" t="inlineStr">
        <is>
          <t>FZ-02-01-3</t>
        </is>
      </c>
      <c r="D1297" t="n">
        <v>2496</v>
      </c>
      <c r="E1297" t="n">
        <v>0</v>
      </c>
      <c r="F1297" t="n">
        <v>2496</v>
      </c>
      <c r="G1297" t="n">
        <v>2496</v>
      </c>
    </row>
    <row r="1298">
      <c r="A1298" t="inlineStr">
        <is>
          <t>202618</t>
        </is>
      </c>
      <c r="B1298" t="inlineStr">
        <is>
          <t>Andere</t>
        </is>
      </c>
      <c r="C1298" t="inlineStr">
        <is>
          <t>FZ-02-01-4</t>
        </is>
      </c>
      <c r="D1298" t="n">
        <v>2496</v>
      </c>
      <c r="E1298" t="n">
        <v>0</v>
      </c>
      <c r="F1298" t="n">
        <v>2496</v>
      </c>
      <c r="G1298" t="n">
        <v>2496</v>
      </c>
    </row>
    <row r="1299">
      <c r="A1299" t="inlineStr">
        <is>
          <t>202618</t>
        </is>
      </c>
      <c r="B1299" t="inlineStr">
        <is>
          <t>Andere</t>
        </is>
      </c>
      <c r="C1299" t="inlineStr">
        <is>
          <t>PH-03-20</t>
        </is>
      </c>
      <c r="D1299" t="n">
        <v>2304</v>
      </c>
      <c r="E1299" t="n">
        <v>0</v>
      </c>
      <c r="F1299" t="n">
        <v>2304</v>
      </c>
      <c r="G1299" t="n">
        <v>2304</v>
      </c>
    </row>
    <row r="1300">
      <c r="A1300" t="inlineStr">
        <is>
          <t>202618</t>
        </is>
      </c>
      <c r="B1300" t="inlineStr">
        <is>
          <t>Andere</t>
        </is>
      </c>
      <c r="C1300" t="inlineStr">
        <is>
          <t>FAWAHIDM</t>
        </is>
      </c>
      <c r="D1300" t="n">
        <v>2010</v>
      </c>
      <c r="E1300" t="n">
        <v>0</v>
      </c>
      <c r="F1300" t="n">
        <v>2010</v>
      </c>
      <c r="G1300" t="n">
        <v>2010</v>
      </c>
    </row>
    <row r="1301">
      <c r="A1301" t="inlineStr">
        <is>
          <t>202618</t>
        </is>
      </c>
      <c r="B1301" t="inlineStr">
        <is>
          <t>Andere</t>
        </is>
      </c>
      <c r="C1301" t="inlineStr">
        <is>
          <t>PH-03-17</t>
        </is>
      </c>
      <c r="D1301" t="n">
        <v>1536</v>
      </c>
      <c r="E1301" t="n">
        <v>0</v>
      </c>
      <c r="F1301" t="n">
        <v>1536</v>
      </c>
      <c r="G1301" t="n">
        <v>1536</v>
      </c>
    </row>
    <row r="1302">
      <c r="A1302" t="inlineStr">
        <is>
          <t>202618</t>
        </is>
      </c>
      <c r="B1302" t="inlineStr">
        <is>
          <t>Andere</t>
        </is>
      </c>
      <c r="C1302" t="inlineStr">
        <is>
          <t>FAHANSENMA</t>
        </is>
      </c>
      <c r="D1302" t="n">
        <v>1418</v>
      </c>
      <c r="E1302" t="n">
        <v>0</v>
      </c>
      <c r="F1302" t="n">
        <v>1418</v>
      </c>
      <c r="G1302" t="n">
        <v>1418</v>
      </c>
    </row>
    <row r="1303">
      <c r="A1303" t="inlineStr">
        <is>
          <t>202618</t>
        </is>
      </c>
      <c r="B1303" t="inlineStr">
        <is>
          <t>Andere</t>
        </is>
      </c>
      <c r="C1303" t="inlineStr">
        <is>
          <t>FZ-02-01-1</t>
        </is>
      </c>
      <c r="D1303" t="n">
        <v>1248</v>
      </c>
      <c r="E1303" t="n">
        <v>0</v>
      </c>
      <c r="F1303" t="n">
        <v>1248</v>
      </c>
      <c r="G1303" t="n">
        <v>1248</v>
      </c>
    </row>
    <row r="1304">
      <c r="A1304" t="inlineStr">
        <is>
          <t>202618</t>
        </is>
      </c>
      <c r="B1304" t="inlineStr">
        <is>
          <t>Andere</t>
        </is>
      </c>
      <c r="C1304" t="inlineStr">
        <is>
          <t>FZ-02-03-4</t>
        </is>
      </c>
      <c r="D1304" t="n">
        <v>1248</v>
      </c>
      <c r="E1304" t="n">
        <v>0</v>
      </c>
      <c r="F1304" t="n">
        <v>1248</v>
      </c>
      <c r="G1304" t="n">
        <v>1248</v>
      </c>
    </row>
    <row r="1305">
      <c r="A1305" t="inlineStr">
        <is>
          <t>202618</t>
        </is>
      </c>
      <c r="B1305" t="inlineStr">
        <is>
          <t>Andere</t>
        </is>
      </c>
      <c r="C1305" t="inlineStr">
        <is>
          <t>FZ-02-36-2</t>
        </is>
      </c>
      <c r="D1305" t="n">
        <v>1248</v>
      </c>
      <c r="E1305" t="n">
        <v>0</v>
      </c>
      <c r="F1305" t="n">
        <v>1248</v>
      </c>
      <c r="G1305" t="n">
        <v>1248</v>
      </c>
    </row>
    <row r="1306">
      <c r="A1306" t="inlineStr">
        <is>
          <t>202618</t>
        </is>
      </c>
      <c r="B1306" t="inlineStr">
        <is>
          <t>Andere</t>
        </is>
      </c>
      <c r="C1306" t="inlineStr">
        <is>
          <t>GERMANY</t>
        </is>
      </c>
      <c r="D1306" t="n">
        <v>1224</v>
      </c>
      <c r="E1306" t="n">
        <v>0</v>
      </c>
      <c r="F1306" t="n">
        <v>1224</v>
      </c>
      <c r="G1306" t="n">
        <v>1224</v>
      </c>
    </row>
    <row r="1307">
      <c r="A1307" t="inlineStr">
        <is>
          <t>202618</t>
        </is>
      </c>
      <c r="B1307" t="inlineStr">
        <is>
          <t>Andere</t>
        </is>
      </c>
      <c r="C1307" t="inlineStr">
        <is>
          <t>PH-03-25</t>
        </is>
      </c>
      <c r="D1307" t="n">
        <v>1152</v>
      </c>
      <c r="E1307" t="n">
        <v>0</v>
      </c>
      <c r="F1307" t="n">
        <v>1152</v>
      </c>
      <c r="G1307" t="n">
        <v>1152</v>
      </c>
    </row>
    <row r="1308">
      <c r="A1308" t="inlineStr">
        <is>
          <t>202618</t>
        </is>
      </c>
      <c r="B1308" t="inlineStr">
        <is>
          <t>Andere</t>
        </is>
      </c>
      <c r="C1308" t="inlineStr">
        <is>
          <t>PH-03-28</t>
        </is>
      </c>
      <c r="D1308" t="n">
        <v>1152</v>
      </c>
      <c r="E1308" t="n">
        <v>0</v>
      </c>
      <c r="F1308" t="n">
        <v>1152</v>
      </c>
      <c r="G1308" t="n">
        <v>1152</v>
      </c>
    </row>
    <row r="1309">
      <c r="A1309" t="inlineStr">
        <is>
          <t>202618</t>
        </is>
      </c>
      <c r="B1309" t="inlineStr">
        <is>
          <t>Andere</t>
        </is>
      </c>
      <c r="C1309" t="inlineStr">
        <is>
          <t>PH-01-12</t>
        </is>
      </c>
      <c r="D1309" t="n">
        <v>0</v>
      </c>
      <c r="E1309" t="n">
        <v>1005</v>
      </c>
      <c r="F1309" t="n">
        <v>-1005</v>
      </c>
      <c r="G1309" t="n">
        <v>-1005</v>
      </c>
    </row>
    <row r="1310">
      <c r="A1310" t="inlineStr">
        <is>
          <t>202618</t>
        </is>
      </c>
      <c r="B1310" t="inlineStr">
        <is>
          <t>Andere</t>
        </is>
      </c>
      <c r="C1310" t="inlineStr">
        <is>
          <t>A-01-12-1</t>
        </is>
      </c>
      <c r="D1310" t="n">
        <v>1000</v>
      </c>
      <c r="E1310" t="n">
        <v>0</v>
      </c>
      <c r="F1310" t="n">
        <v>1000</v>
      </c>
      <c r="G1310" t="n">
        <v>1000</v>
      </c>
    </row>
    <row r="1311">
      <c r="A1311" t="inlineStr">
        <is>
          <t>202618</t>
        </is>
      </c>
      <c r="B1311" t="inlineStr">
        <is>
          <t>Andere</t>
        </is>
      </c>
      <c r="C1311" t="inlineStr">
        <is>
          <t>A-01-15-1</t>
        </is>
      </c>
      <c r="D1311" t="n">
        <v>1000</v>
      </c>
      <c r="E1311" t="n">
        <v>0</v>
      </c>
      <c r="F1311" t="n">
        <v>1000</v>
      </c>
      <c r="G1311" t="n">
        <v>1000</v>
      </c>
    </row>
    <row r="1312">
      <c r="A1312" t="inlineStr">
        <is>
          <t>202618</t>
        </is>
      </c>
      <c r="B1312" t="inlineStr">
        <is>
          <t>Andere</t>
        </is>
      </c>
      <c r="C1312" t="inlineStr">
        <is>
          <t>A-02-52-1</t>
        </is>
      </c>
      <c r="D1312" t="n">
        <v>1000</v>
      </c>
      <c r="E1312" t="n">
        <v>0</v>
      </c>
      <c r="F1312" t="n">
        <v>1000</v>
      </c>
      <c r="G1312" t="n">
        <v>1000</v>
      </c>
    </row>
    <row r="1313">
      <c r="A1313" t="inlineStr">
        <is>
          <t>202618</t>
        </is>
      </c>
      <c r="B1313" t="inlineStr">
        <is>
          <t>Andere</t>
        </is>
      </c>
      <c r="C1313" t="inlineStr">
        <is>
          <t>P-04-07-1</t>
        </is>
      </c>
      <c r="D1313" t="n">
        <v>780</v>
      </c>
      <c r="E1313" t="n">
        <v>0</v>
      </c>
      <c r="F1313" t="n">
        <v>780</v>
      </c>
      <c r="G1313" t="n">
        <v>780</v>
      </c>
    </row>
    <row r="1314">
      <c r="A1314" t="inlineStr">
        <is>
          <t>202618</t>
        </is>
      </c>
      <c r="B1314" t="inlineStr">
        <is>
          <t>Andere</t>
        </is>
      </c>
      <c r="C1314" t="inlineStr">
        <is>
          <t>P-04-08-1</t>
        </is>
      </c>
      <c r="D1314" t="n">
        <v>780</v>
      </c>
      <c r="E1314" t="n">
        <v>0</v>
      </c>
      <c r="F1314" t="n">
        <v>780</v>
      </c>
      <c r="G1314" t="n">
        <v>780</v>
      </c>
    </row>
    <row r="1315">
      <c r="A1315" t="inlineStr">
        <is>
          <t>202618</t>
        </is>
      </c>
      <c r="B1315" t="inlineStr">
        <is>
          <t>Andere</t>
        </is>
      </c>
      <c r="C1315" t="inlineStr">
        <is>
          <t>PH-03-10</t>
        </is>
      </c>
      <c r="D1315" t="n">
        <v>768</v>
      </c>
      <c r="E1315" t="n">
        <v>0</v>
      </c>
      <c r="F1315" t="n">
        <v>768</v>
      </c>
      <c r="G1315" t="n">
        <v>768</v>
      </c>
    </row>
    <row r="1316">
      <c r="A1316" t="inlineStr">
        <is>
          <t>202618</t>
        </is>
      </c>
      <c r="B1316" t="inlineStr">
        <is>
          <t>Andere</t>
        </is>
      </c>
      <c r="C1316" t="inlineStr">
        <is>
          <t>PH-03-18</t>
        </is>
      </c>
      <c r="D1316" t="n">
        <v>768</v>
      </c>
      <c r="E1316" t="n">
        <v>0</v>
      </c>
      <c r="F1316" t="n">
        <v>768</v>
      </c>
      <c r="G1316" t="n">
        <v>768</v>
      </c>
    </row>
    <row r="1317">
      <c r="A1317" t="inlineStr">
        <is>
          <t>202618</t>
        </is>
      </c>
      <c r="B1317" t="inlineStr">
        <is>
          <t>Andere</t>
        </is>
      </c>
      <c r="C1317" t="inlineStr">
        <is>
          <t>PH-03-23</t>
        </is>
      </c>
      <c r="D1317" t="n">
        <v>768</v>
      </c>
      <c r="E1317" t="n">
        <v>0</v>
      </c>
      <c r="F1317" t="n">
        <v>768</v>
      </c>
      <c r="G1317" t="n">
        <v>768</v>
      </c>
    </row>
    <row r="1318">
      <c r="A1318" t="inlineStr">
        <is>
          <t>202618</t>
        </is>
      </c>
      <c r="B1318" t="inlineStr">
        <is>
          <t>Andere</t>
        </is>
      </c>
      <c r="C1318" t="inlineStr">
        <is>
          <t>PH-03-24</t>
        </is>
      </c>
      <c r="D1318" t="n">
        <v>768</v>
      </c>
      <c r="E1318" t="n">
        <v>0</v>
      </c>
      <c r="F1318" t="n">
        <v>768</v>
      </c>
      <c r="G1318" t="n">
        <v>768</v>
      </c>
    </row>
    <row r="1319">
      <c r="A1319" t="inlineStr">
        <is>
          <t>202618</t>
        </is>
      </c>
      <c r="B1319" t="inlineStr">
        <is>
          <t>Andere</t>
        </is>
      </c>
      <c r="C1319" t="inlineStr">
        <is>
          <t>FAELMIE</t>
        </is>
      </c>
      <c r="D1319" t="n">
        <v>741.13</v>
      </c>
      <c r="E1319" t="n">
        <v>0</v>
      </c>
      <c r="F1319" t="n">
        <v>741.13</v>
      </c>
      <c r="G1319" t="n">
        <v>741.13</v>
      </c>
    </row>
    <row r="1320">
      <c r="A1320" t="inlineStr">
        <is>
          <t>202618</t>
        </is>
      </c>
      <c r="B1320" t="inlineStr">
        <is>
          <t>Andere</t>
        </is>
      </c>
      <c r="C1320" t="inlineStr">
        <is>
          <t>P-04-09-1</t>
        </is>
      </c>
      <c r="D1320" t="n">
        <v>600</v>
      </c>
      <c r="E1320" t="n">
        <v>30</v>
      </c>
      <c r="F1320" t="n">
        <v>570</v>
      </c>
      <c r="G1320" t="n">
        <v>570</v>
      </c>
    </row>
    <row r="1321">
      <c r="A1321" t="inlineStr">
        <is>
          <t>202618</t>
        </is>
      </c>
      <c r="B1321" t="inlineStr">
        <is>
          <t>Andere</t>
        </is>
      </c>
      <c r="C1321" t="inlineStr">
        <is>
          <t>A-02-53-1</t>
        </is>
      </c>
      <c r="D1321" t="n">
        <v>500</v>
      </c>
      <c r="E1321" t="n">
        <v>0</v>
      </c>
      <c r="F1321" t="n">
        <v>500</v>
      </c>
      <c r="G1321" t="n">
        <v>500</v>
      </c>
    </row>
    <row r="1322">
      <c r="A1322" t="inlineStr">
        <is>
          <t>202618</t>
        </is>
      </c>
      <c r="B1322" t="inlineStr">
        <is>
          <t>Andere</t>
        </is>
      </c>
      <c r="C1322" t="inlineStr">
        <is>
          <t>FZ-02-29-1</t>
        </is>
      </c>
      <c r="D1322" t="n">
        <v>468</v>
      </c>
      <c r="E1322" t="n">
        <v>0</v>
      </c>
      <c r="F1322" t="n">
        <v>468</v>
      </c>
      <c r="G1322" t="n">
        <v>468</v>
      </c>
    </row>
    <row r="1323">
      <c r="A1323" t="inlineStr">
        <is>
          <t>202618</t>
        </is>
      </c>
      <c r="B1323" t="inlineStr">
        <is>
          <t>Andere</t>
        </is>
      </c>
      <c r="C1323" t="inlineStr">
        <is>
          <t>FZ-02-31-1</t>
        </is>
      </c>
      <c r="D1323" t="n">
        <v>468</v>
      </c>
      <c r="E1323" t="n">
        <v>0</v>
      </c>
      <c r="F1323" t="n">
        <v>468</v>
      </c>
      <c r="G1323" t="n">
        <v>468</v>
      </c>
    </row>
    <row r="1324">
      <c r="A1324" t="inlineStr">
        <is>
          <t>202618</t>
        </is>
      </c>
      <c r="B1324" t="inlineStr">
        <is>
          <t>Andere</t>
        </is>
      </c>
      <c r="C1324" t="inlineStr">
        <is>
          <t>FZ-02-32-1</t>
        </is>
      </c>
      <c r="D1324" t="n">
        <v>468</v>
      </c>
      <c r="E1324" t="n">
        <v>0</v>
      </c>
      <c r="F1324" t="n">
        <v>468</v>
      </c>
      <c r="G1324" t="n">
        <v>468</v>
      </c>
    </row>
    <row r="1325">
      <c r="A1325" t="inlineStr">
        <is>
          <t>202618</t>
        </is>
      </c>
      <c r="B1325" t="inlineStr">
        <is>
          <t>Andere</t>
        </is>
      </c>
      <c r="C1325" t="inlineStr">
        <is>
          <t>FZ-02-33-1</t>
        </is>
      </c>
      <c r="D1325" t="n">
        <v>468</v>
      </c>
      <c r="E1325" t="n">
        <v>0</v>
      </c>
      <c r="F1325" t="n">
        <v>468</v>
      </c>
      <c r="G1325" t="n">
        <v>468</v>
      </c>
    </row>
    <row r="1326">
      <c r="A1326" t="inlineStr">
        <is>
          <t>202618</t>
        </is>
      </c>
      <c r="B1326" t="inlineStr">
        <is>
          <t>Andere</t>
        </is>
      </c>
      <c r="C1326" t="inlineStr">
        <is>
          <t>FZ-02-34-1</t>
        </is>
      </c>
      <c r="D1326" t="n">
        <v>468</v>
      </c>
      <c r="E1326" t="n">
        <v>0</v>
      </c>
      <c r="F1326" t="n">
        <v>468</v>
      </c>
      <c r="G1326" t="n">
        <v>468</v>
      </c>
    </row>
    <row r="1327">
      <c r="A1327" t="inlineStr">
        <is>
          <t>202618</t>
        </is>
      </c>
      <c r="B1327" t="inlineStr">
        <is>
          <t>Andere</t>
        </is>
      </c>
      <c r="C1327" t="inlineStr">
        <is>
          <t>FZ-02-35-1</t>
        </is>
      </c>
      <c r="D1327" t="n">
        <v>468</v>
      </c>
      <c r="E1327" t="n">
        <v>0</v>
      </c>
      <c r="F1327" t="n">
        <v>468</v>
      </c>
      <c r="G1327" t="n">
        <v>468</v>
      </c>
    </row>
    <row r="1328">
      <c r="A1328" t="inlineStr">
        <is>
          <t>202618</t>
        </is>
      </c>
      <c r="B1328" t="inlineStr">
        <is>
          <t>Andere</t>
        </is>
      </c>
      <c r="C1328" t="inlineStr">
        <is>
          <t>FZ-02-36-1</t>
        </is>
      </c>
      <c r="D1328" t="n">
        <v>468</v>
      </c>
      <c r="E1328" t="n">
        <v>0</v>
      </c>
      <c r="F1328" t="n">
        <v>468</v>
      </c>
      <c r="G1328" t="n">
        <v>468</v>
      </c>
    </row>
    <row r="1329">
      <c r="A1329" t="inlineStr">
        <is>
          <t>202618</t>
        </is>
      </c>
      <c r="B1329" t="inlineStr">
        <is>
          <t>Andere</t>
        </is>
      </c>
      <c r="C1329" t="inlineStr">
        <is>
          <t>FZ-02-37-1</t>
        </is>
      </c>
      <c r="D1329" t="n">
        <v>468</v>
      </c>
      <c r="E1329" t="n">
        <v>0</v>
      </c>
      <c r="F1329" t="n">
        <v>468</v>
      </c>
      <c r="G1329" t="n">
        <v>468</v>
      </c>
    </row>
    <row r="1330">
      <c r="A1330" t="inlineStr">
        <is>
          <t>202618</t>
        </is>
      </c>
      <c r="B1330" t="inlineStr">
        <is>
          <t>Andere</t>
        </is>
      </c>
      <c r="C1330" t="inlineStr">
        <is>
          <t>FZ-02-38-1</t>
        </is>
      </c>
      <c r="D1330" t="n">
        <v>468</v>
      </c>
      <c r="E1330" t="n">
        <v>0</v>
      </c>
      <c r="F1330" t="n">
        <v>468</v>
      </c>
      <c r="G1330" t="n">
        <v>468</v>
      </c>
    </row>
    <row r="1331">
      <c r="A1331" t="inlineStr">
        <is>
          <t>202618</t>
        </is>
      </c>
      <c r="B1331" t="inlineStr">
        <is>
          <t>Andere</t>
        </is>
      </c>
      <c r="C1331" t="inlineStr">
        <is>
          <t>FZ-02-39-1</t>
        </is>
      </c>
      <c r="D1331" t="n">
        <v>468</v>
      </c>
      <c r="E1331" t="n">
        <v>0</v>
      </c>
      <c r="F1331" t="n">
        <v>468</v>
      </c>
      <c r="G1331" t="n">
        <v>468</v>
      </c>
    </row>
    <row r="1332">
      <c r="A1332" t="inlineStr">
        <is>
          <t>202618</t>
        </is>
      </c>
      <c r="B1332" t="inlineStr">
        <is>
          <t>Andere</t>
        </is>
      </c>
      <c r="C1332" t="inlineStr">
        <is>
          <t>FZ-02-40-1</t>
        </is>
      </c>
      <c r="D1332" t="n">
        <v>468</v>
      </c>
      <c r="E1332" t="n">
        <v>0</v>
      </c>
      <c r="F1332" t="n">
        <v>468</v>
      </c>
      <c r="G1332" t="n">
        <v>468</v>
      </c>
    </row>
    <row r="1333">
      <c r="A1333" t="inlineStr">
        <is>
          <t>202618</t>
        </is>
      </c>
      <c r="B1333" t="inlineStr">
        <is>
          <t>Andere</t>
        </is>
      </c>
      <c r="C1333" t="inlineStr">
        <is>
          <t>FZ-02-41-1</t>
        </is>
      </c>
      <c r="D1333" t="n">
        <v>468</v>
      </c>
      <c r="E1333" t="n">
        <v>0</v>
      </c>
      <c r="F1333" t="n">
        <v>468</v>
      </c>
      <c r="G1333" t="n">
        <v>468</v>
      </c>
    </row>
    <row r="1334">
      <c r="A1334" t="inlineStr">
        <is>
          <t>202618</t>
        </is>
      </c>
      <c r="B1334" t="inlineStr">
        <is>
          <t>Andere</t>
        </is>
      </c>
      <c r="C1334" t="inlineStr">
        <is>
          <t>FZ-02-42-1</t>
        </is>
      </c>
      <c r="D1334" t="n">
        <v>468</v>
      </c>
      <c r="E1334" t="n">
        <v>0</v>
      </c>
      <c r="F1334" t="n">
        <v>468</v>
      </c>
      <c r="G1334" t="n">
        <v>468</v>
      </c>
    </row>
    <row r="1335">
      <c r="A1335" t="inlineStr">
        <is>
          <t>202618</t>
        </is>
      </c>
      <c r="B1335" t="inlineStr">
        <is>
          <t>Andere</t>
        </is>
      </c>
      <c r="C1335" t="inlineStr">
        <is>
          <t>A-01-34-2</t>
        </is>
      </c>
      <c r="D1335" t="n">
        <v>400</v>
      </c>
      <c r="E1335" t="n">
        <v>0</v>
      </c>
      <c r="F1335" t="n">
        <v>400</v>
      </c>
      <c r="G1335" t="n">
        <v>400</v>
      </c>
    </row>
    <row r="1336">
      <c r="A1336" t="inlineStr">
        <is>
          <t>202618</t>
        </is>
      </c>
      <c r="B1336" t="inlineStr">
        <is>
          <t>Andere</t>
        </is>
      </c>
      <c r="C1336" t="inlineStr">
        <is>
          <t>A-01-35-2</t>
        </is>
      </c>
      <c r="D1336" t="n">
        <v>400</v>
      </c>
      <c r="E1336" t="n">
        <v>0</v>
      </c>
      <c r="F1336" t="n">
        <v>400</v>
      </c>
      <c r="G1336" t="n">
        <v>400</v>
      </c>
    </row>
    <row r="1337">
      <c r="A1337" t="inlineStr">
        <is>
          <t>202618</t>
        </is>
      </c>
      <c r="B1337" t="inlineStr">
        <is>
          <t>Andere</t>
        </is>
      </c>
      <c r="C1337" t="inlineStr">
        <is>
          <t>A-02-39-3</t>
        </is>
      </c>
      <c r="D1337" t="n">
        <v>400</v>
      </c>
      <c r="E1337" t="n">
        <v>0</v>
      </c>
      <c r="F1337" t="n">
        <v>400</v>
      </c>
      <c r="G1337" t="n">
        <v>400</v>
      </c>
    </row>
    <row r="1338">
      <c r="A1338" t="inlineStr">
        <is>
          <t>202618</t>
        </is>
      </c>
      <c r="B1338" t="inlineStr">
        <is>
          <t>Andere</t>
        </is>
      </c>
      <c r="C1338" t="inlineStr">
        <is>
          <t>A-02-55-2</t>
        </is>
      </c>
      <c r="D1338" t="n">
        <v>400</v>
      </c>
      <c r="E1338" t="n">
        <v>0</v>
      </c>
      <c r="F1338" t="n">
        <v>400</v>
      </c>
      <c r="G1338" t="n">
        <v>400</v>
      </c>
    </row>
    <row r="1339">
      <c r="A1339" t="inlineStr">
        <is>
          <t>202618</t>
        </is>
      </c>
      <c r="B1339" t="inlineStr">
        <is>
          <t>Andere</t>
        </is>
      </c>
      <c r="C1339" t="inlineStr">
        <is>
          <t>A-02-62-4</t>
        </is>
      </c>
      <c r="D1339" t="n">
        <v>400</v>
      </c>
      <c r="E1339" t="n">
        <v>0</v>
      </c>
      <c r="F1339" t="n">
        <v>400</v>
      </c>
      <c r="G1339" t="n">
        <v>400</v>
      </c>
    </row>
    <row r="1340">
      <c r="A1340" t="inlineStr">
        <is>
          <t>202618</t>
        </is>
      </c>
      <c r="B1340" t="inlineStr">
        <is>
          <t>Andere</t>
        </is>
      </c>
      <c r="C1340" t="inlineStr">
        <is>
          <t>A-02-66-2</t>
        </is>
      </c>
      <c r="D1340" t="n">
        <v>400</v>
      </c>
      <c r="E1340" t="n">
        <v>0</v>
      </c>
      <c r="F1340" t="n">
        <v>400</v>
      </c>
      <c r="G1340" t="n">
        <v>400</v>
      </c>
    </row>
    <row r="1341">
      <c r="A1341" t="inlineStr">
        <is>
          <t>202618</t>
        </is>
      </c>
      <c r="B1341" t="inlineStr">
        <is>
          <t>Andere</t>
        </is>
      </c>
      <c r="C1341" t="inlineStr">
        <is>
          <t>FAGROTHEERF</t>
        </is>
      </c>
      <c r="D1341" t="n">
        <v>400</v>
      </c>
      <c r="E1341" t="n">
        <v>0</v>
      </c>
      <c r="F1341" t="n">
        <v>400</v>
      </c>
      <c r="G1341" t="n">
        <v>400</v>
      </c>
    </row>
    <row r="1342">
      <c r="A1342" t="inlineStr">
        <is>
          <t>202618</t>
        </is>
      </c>
      <c r="B1342" t="inlineStr">
        <is>
          <t>Andere</t>
        </is>
      </c>
      <c r="C1342" t="inlineStr">
        <is>
          <t>FATRAOREDA</t>
        </is>
      </c>
      <c r="D1342" t="n">
        <v>384</v>
      </c>
      <c r="E1342" t="n">
        <v>0</v>
      </c>
      <c r="F1342" t="n">
        <v>384</v>
      </c>
      <c r="G1342" t="n">
        <v>384</v>
      </c>
    </row>
    <row r="1343">
      <c r="A1343" t="inlineStr">
        <is>
          <t>202618</t>
        </is>
      </c>
      <c r="B1343" t="inlineStr">
        <is>
          <t>Andere</t>
        </is>
      </c>
      <c r="C1343" t="inlineStr">
        <is>
          <t>P-04-06-4</t>
        </is>
      </c>
      <c r="D1343" t="n">
        <v>384</v>
      </c>
      <c r="E1343" t="n">
        <v>0</v>
      </c>
      <c r="F1343" t="n">
        <v>384</v>
      </c>
      <c r="G1343" t="n">
        <v>384</v>
      </c>
    </row>
    <row r="1344">
      <c r="A1344" t="inlineStr">
        <is>
          <t>202618</t>
        </is>
      </c>
      <c r="B1344" t="inlineStr">
        <is>
          <t>Andere</t>
        </is>
      </c>
      <c r="C1344" t="inlineStr">
        <is>
          <t>P-04-07-3</t>
        </is>
      </c>
      <c r="D1344" t="n">
        <v>384</v>
      </c>
      <c r="E1344" t="n">
        <v>0</v>
      </c>
      <c r="F1344" t="n">
        <v>384</v>
      </c>
      <c r="G1344" t="n">
        <v>384</v>
      </c>
    </row>
    <row r="1345">
      <c r="A1345" t="inlineStr">
        <is>
          <t>202618</t>
        </is>
      </c>
      <c r="B1345" t="inlineStr">
        <is>
          <t>Andere</t>
        </is>
      </c>
      <c r="C1345" t="inlineStr">
        <is>
          <t>P-04-07-4</t>
        </is>
      </c>
      <c r="D1345" t="n">
        <v>384</v>
      </c>
      <c r="E1345" t="n">
        <v>0</v>
      </c>
      <c r="F1345" t="n">
        <v>384</v>
      </c>
      <c r="G1345" t="n">
        <v>384</v>
      </c>
    </row>
    <row r="1346">
      <c r="A1346" t="inlineStr">
        <is>
          <t>202618</t>
        </is>
      </c>
      <c r="B1346" t="inlineStr">
        <is>
          <t>Andere</t>
        </is>
      </c>
      <c r="C1346" t="inlineStr">
        <is>
          <t>P-04-08-3</t>
        </is>
      </c>
      <c r="D1346" t="n">
        <v>384</v>
      </c>
      <c r="E1346" t="n">
        <v>0</v>
      </c>
      <c r="F1346" t="n">
        <v>384</v>
      </c>
      <c r="G1346" t="n">
        <v>384</v>
      </c>
    </row>
    <row r="1347">
      <c r="A1347" t="inlineStr">
        <is>
          <t>202618</t>
        </is>
      </c>
      <c r="B1347" t="inlineStr">
        <is>
          <t>Andere</t>
        </is>
      </c>
      <c r="C1347" t="inlineStr">
        <is>
          <t>P-04-08-4</t>
        </is>
      </c>
      <c r="D1347" t="n">
        <v>384</v>
      </c>
      <c r="E1347" t="n">
        <v>0</v>
      </c>
      <c r="F1347" t="n">
        <v>384</v>
      </c>
      <c r="G1347" t="n">
        <v>384</v>
      </c>
    </row>
    <row r="1348">
      <c r="A1348" t="inlineStr">
        <is>
          <t>202618</t>
        </is>
      </c>
      <c r="B1348" t="inlineStr">
        <is>
          <t>Andere</t>
        </is>
      </c>
      <c r="C1348" t="inlineStr">
        <is>
          <t>P-04-09-3</t>
        </is>
      </c>
      <c r="D1348" t="n">
        <v>384</v>
      </c>
      <c r="E1348" t="n">
        <v>0</v>
      </c>
      <c r="F1348" t="n">
        <v>384</v>
      </c>
      <c r="G1348" t="n">
        <v>384</v>
      </c>
    </row>
    <row r="1349">
      <c r="A1349" t="inlineStr">
        <is>
          <t>202618</t>
        </is>
      </c>
      <c r="B1349" t="inlineStr">
        <is>
          <t>Andere</t>
        </is>
      </c>
      <c r="C1349" t="inlineStr">
        <is>
          <t>P-04-09-4</t>
        </is>
      </c>
      <c r="D1349" t="n">
        <v>384</v>
      </c>
      <c r="E1349" t="n">
        <v>0</v>
      </c>
      <c r="F1349" t="n">
        <v>384</v>
      </c>
      <c r="G1349" t="n">
        <v>384</v>
      </c>
    </row>
    <row r="1350">
      <c r="A1350" t="inlineStr">
        <is>
          <t>202618</t>
        </is>
      </c>
      <c r="B1350" t="inlineStr">
        <is>
          <t>Andere</t>
        </is>
      </c>
      <c r="C1350" t="inlineStr">
        <is>
          <t>PH-03-07</t>
        </is>
      </c>
      <c r="D1350" t="n">
        <v>384</v>
      </c>
      <c r="E1350" t="n">
        <v>0</v>
      </c>
      <c r="F1350" t="n">
        <v>384</v>
      </c>
      <c r="G1350" t="n">
        <v>384</v>
      </c>
    </row>
    <row r="1351">
      <c r="A1351" t="inlineStr">
        <is>
          <t>202618</t>
        </is>
      </c>
      <c r="B1351" t="inlineStr">
        <is>
          <t>Andere</t>
        </is>
      </c>
      <c r="C1351" t="inlineStr">
        <is>
          <t>PH-03-11</t>
        </is>
      </c>
      <c r="D1351" t="n">
        <v>384</v>
      </c>
      <c r="E1351" t="n">
        <v>0</v>
      </c>
      <c r="F1351" t="n">
        <v>384</v>
      </c>
      <c r="G1351" t="n">
        <v>384</v>
      </c>
    </row>
    <row r="1352">
      <c r="A1352" t="inlineStr">
        <is>
          <t>202618</t>
        </is>
      </c>
      <c r="B1352" t="inlineStr">
        <is>
          <t>Andere</t>
        </is>
      </c>
      <c r="C1352" t="inlineStr">
        <is>
          <t>PH-03-12</t>
        </is>
      </c>
      <c r="D1352" t="n">
        <v>384</v>
      </c>
      <c r="E1352" t="n">
        <v>0</v>
      </c>
      <c r="F1352" t="n">
        <v>384</v>
      </c>
      <c r="G1352" t="n">
        <v>384</v>
      </c>
    </row>
    <row r="1353">
      <c r="A1353" t="inlineStr">
        <is>
          <t>202618</t>
        </is>
      </c>
      <c r="B1353" t="inlineStr">
        <is>
          <t>Andere</t>
        </is>
      </c>
      <c r="C1353" t="inlineStr">
        <is>
          <t>PH-03-13</t>
        </is>
      </c>
      <c r="D1353" t="n">
        <v>384</v>
      </c>
      <c r="E1353" t="n">
        <v>0</v>
      </c>
      <c r="F1353" t="n">
        <v>384</v>
      </c>
      <c r="G1353" t="n">
        <v>384</v>
      </c>
    </row>
    <row r="1354">
      <c r="A1354" t="inlineStr">
        <is>
          <t>202618</t>
        </is>
      </c>
      <c r="B1354" t="inlineStr">
        <is>
          <t>Andere</t>
        </is>
      </c>
      <c r="C1354" t="inlineStr">
        <is>
          <t>PH-03-14</t>
        </is>
      </c>
      <c r="D1354" t="n">
        <v>384</v>
      </c>
      <c r="E1354" t="n">
        <v>0</v>
      </c>
      <c r="F1354" t="n">
        <v>384</v>
      </c>
      <c r="G1354" t="n">
        <v>384</v>
      </c>
    </row>
    <row r="1355">
      <c r="A1355" t="inlineStr">
        <is>
          <t>202618</t>
        </is>
      </c>
      <c r="B1355" t="inlineStr">
        <is>
          <t>Andere</t>
        </is>
      </c>
      <c r="C1355" t="inlineStr">
        <is>
          <t>PH-03-22</t>
        </is>
      </c>
      <c r="D1355" t="n">
        <v>384</v>
      </c>
      <c r="E1355" t="n">
        <v>0</v>
      </c>
      <c r="F1355" t="n">
        <v>384</v>
      </c>
      <c r="G1355" t="n">
        <v>384</v>
      </c>
    </row>
    <row r="1356">
      <c r="A1356" t="inlineStr">
        <is>
          <t>202618</t>
        </is>
      </c>
      <c r="B1356" t="inlineStr">
        <is>
          <t>Andere</t>
        </is>
      </c>
      <c r="C1356" t="inlineStr">
        <is>
          <t>PH-03-27</t>
        </is>
      </c>
      <c r="D1356" t="n">
        <v>384</v>
      </c>
      <c r="E1356" t="n">
        <v>0</v>
      </c>
      <c r="F1356" t="n">
        <v>384</v>
      </c>
      <c r="G1356" t="n">
        <v>384</v>
      </c>
    </row>
    <row r="1357">
      <c r="A1357" t="inlineStr">
        <is>
          <t>202618</t>
        </is>
      </c>
      <c r="B1357" t="inlineStr">
        <is>
          <t>Andere</t>
        </is>
      </c>
      <c r="C1357" t="inlineStr">
        <is>
          <t>A-02-70-1</t>
        </is>
      </c>
      <c r="D1357" t="n">
        <v>558</v>
      </c>
      <c r="E1357" t="n">
        <v>186</v>
      </c>
      <c r="F1357" t="n">
        <v>372</v>
      </c>
      <c r="G1357" t="n">
        <v>372</v>
      </c>
    </row>
    <row r="1358">
      <c r="A1358" t="inlineStr">
        <is>
          <t>202618</t>
        </is>
      </c>
      <c r="B1358" t="inlineStr">
        <is>
          <t>Andere</t>
        </is>
      </c>
      <c r="C1358" t="inlineStr">
        <is>
          <t>FZ-01-31-2</t>
        </is>
      </c>
      <c r="D1358" t="n">
        <v>370</v>
      </c>
      <c r="E1358" t="n">
        <v>0</v>
      </c>
      <c r="F1358" t="n">
        <v>370</v>
      </c>
      <c r="G1358" t="n">
        <v>370</v>
      </c>
    </row>
    <row r="1359">
      <c r="A1359" t="inlineStr">
        <is>
          <t>202618</t>
        </is>
      </c>
      <c r="B1359" t="inlineStr">
        <is>
          <t>Andere</t>
        </is>
      </c>
      <c r="C1359" t="inlineStr">
        <is>
          <t>A-01-17-3</t>
        </is>
      </c>
      <c r="D1359" t="n">
        <v>360</v>
      </c>
      <c r="E1359" t="n">
        <v>0</v>
      </c>
      <c r="F1359" t="n">
        <v>360</v>
      </c>
      <c r="G1359" t="n">
        <v>360</v>
      </c>
    </row>
    <row r="1360">
      <c r="A1360" t="inlineStr">
        <is>
          <t>202618</t>
        </is>
      </c>
      <c r="B1360" t="inlineStr">
        <is>
          <t>Andere</t>
        </is>
      </c>
      <c r="C1360" t="inlineStr">
        <is>
          <t>GC-02-19-1</t>
        </is>
      </c>
      <c r="D1360" t="n">
        <v>309.15</v>
      </c>
      <c r="E1360" t="n">
        <v>0</v>
      </c>
      <c r="F1360" t="n">
        <v>309.15</v>
      </c>
      <c r="G1360" t="n">
        <v>309.15</v>
      </c>
    </row>
    <row r="1361">
      <c r="A1361" t="inlineStr">
        <is>
          <t>202618</t>
        </is>
      </c>
      <c r="B1361" t="inlineStr">
        <is>
          <t>Andere</t>
        </is>
      </c>
      <c r="C1361" t="inlineStr">
        <is>
          <t>A-02-54-1</t>
        </is>
      </c>
      <c r="D1361" t="n">
        <v>300</v>
      </c>
      <c r="E1361" t="n">
        <v>0</v>
      </c>
      <c r="F1361" t="n">
        <v>300</v>
      </c>
      <c r="G1361" t="n">
        <v>300</v>
      </c>
    </row>
    <row r="1362">
      <c r="A1362" t="inlineStr">
        <is>
          <t>202618</t>
        </is>
      </c>
      <c r="B1362" t="inlineStr">
        <is>
          <t>Andere</t>
        </is>
      </c>
      <c r="C1362" t="inlineStr">
        <is>
          <t>GC-02-22-1</t>
        </is>
      </c>
      <c r="D1362" t="n">
        <v>449.57</v>
      </c>
      <c r="E1362" t="n">
        <v>192</v>
      </c>
      <c r="F1362" t="n">
        <v>257.57</v>
      </c>
      <c r="G1362" t="n">
        <v>257.57</v>
      </c>
    </row>
    <row r="1363">
      <c r="A1363" t="inlineStr">
        <is>
          <t>202618</t>
        </is>
      </c>
      <c r="B1363" t="inlineStr">
        <is>
          <t>Andere</t>
        </is>
      </c>
      <c r="C1363" t="inlineStr">
        <is>
          <t>FASAADIB</t>
        </is>
      </c>
      <c r="D1363" t="n">
        <v>327</v>
      </c>
      <c r="E1363" t="n">
        <v>72</v>
      </c>
      <c r="F1363" t="n">
        <v>255</v>
      </c>
      <c r="G1363" t="n">
        <v>255</v>
      </c>
    </row>
    <row r="1364">
      <c r="A1364" t="inlineStr">
        <is>
          <t>202618</t>
        </is>
      </c>
      <c r="B1364" t="inlineStr">
        <is>
          <t>Andere</t>
        </is>
      </c>
      <c r="C1364" t="inlineStr">
        <is>
          <t>PH-01-13</t>
        </is>
      </c>
      <c r="D1364" t="n">
        <v>0</v>
      </c>
      <c r="E1364" t="n">
        <v>241</v>
      </c>
      <c r="F1364" t="n">
        <v>-241</v>
      </c>
      <c r="G1364" t="n">
        <v>-241</v>
      </c>
    </row>
    <row r="1365">
      <c r="A1365" t="inlineStr">
        <is>
          <t>202618</t>
        </is>
      </c>
      <c r="B1365" t="inlineStr">
        <is>
          <t>Andere</t>
        </is>
      </c>
      <c r="C1365" t="inlineStr">
        <is>
          <t>GC-02-18-1</t>
        </is>
      </c>
      <c r="D1365" t="n">
        <v>205</v>
      </c>
      <c r="E1365" t="n">
        <v>0</v>
      </c>
      <c r="F1365" t="n">
        <v>205</v>
      </c>
      <c r="G1365" t="n">
        <v>205</v>
      </c>
    </row>
    <row r="1366">
      <c r="A1366" t="inlineStr">
        <is>
          <t>202618</t>
        </is>
      </c>
      <c r="B1366" t="inlineStr">
        <is>
          <t>Andere</t>
        </is>
      </c>
      <c r="C1366" t="inlineStr">
        <is>
          <t>A-02-19-2</t>
        </is>
      </c>
      <c r="D1366" t="n">
        <v>200</v>
      </c>
      <c r="E1366" t="n">
        <v>0</v>
      </c>
      <c r="F1366" t="n">
        <v>200</v>
      </c>
      <c r="G1366" t="n">
        <v>200</v>
      </c>
    </row>
    <row r="1367">
      <c r="A1367" t="inlineStr">
        <is>
          <t>202618</t>
        </is>
      </c>
      <c r="B1367" t="inlineStr">
        <is>
          <t>Andere</t>
        </is>
      </c>
      <c r="C1367" t="inlineStr">
        <is>
          <t>A-02-28-4</t>
        </is>
      </c>
      <c r="D1367" t="n">
        <v>186</v>
      </c>
      <c r="E1367" t="n">
        <v>0</v>
      </c>
      <c r="F1367" t="n">
        <v>186</v>
      </c>
      <c r="G1367" t="n">
        <v>186</v>
      </c>
    </row>
    <row r="1368">
      <c r="A1368" t="inlineStr">
        <is>
          <t>202618</t>
        </is>
      </c>
      <c r="B1368" t="inlineStr">
        <is>
          <t>Andere</t>
        </is>
      </c>
      <c r="C1368" t="inlineStr">
        <is>
          <t>FAFERMAND</t>
        </is>
      </c>
      <c r="D1368" t="n">
        <v>181</v>
      </c>
      <c r="E1368" t="n">
        <v>0</v>
      </c>
      <c r="F1368" t="n">
        <v>181</v>
      </c>
      <c r="G1368" t="n">
        <v>181</v>
      </c>
    </row>
    <row r="1369">
      <c r="A1369" t="inlineStr">
        <is>
          <t>202618</t>
        </is>
      </c>
      <c r="B1369" t="inlineStr">
        <is>
          <t>Andere</t>
        </is>
      </c>
      <c r="C1369" t="inlineStr">
        <is>
          <t>A-01-10-1</t>
        </is>
      </c>
      <c r="D1369" t="n">
        <v>180</v>
      </c>
      <c r="E1369" t="n">
        <v>0</v>
      </c>
      <c r="F1369" t="n">
        <v>180</v>
      </c>
      <c r="G1369" t="n">
        <v>180</v>
      </c>
    </row>
    <row r="1370">
      <c r="A1370" t="inlineStr">
        <is>
          <t>202618</t>
        </is>
      </c>
      <c r="B1370" t="inlineStr">
        <is>
          <t>Andere</t>
        </is>
      </c>
      <c r="C1370" t="inlineStr">
        <is>
          <t>A-01-18-2</t>
        </is>
      </c>
      <c r="D1370" t="n">
        <v>180</v>
      </c>
      <c r="E1370" t="n">
        <v>0</v>
      </c>
      <c r="F1370" t="n">
        <v>180</v>
      </c>
      <c r="G1370" t="n">
        <v>180</v>
      </c>
    </row>
    <row r="1371">
      <c r="A1371" t="inlineStr">
        <is>
          <t>202618</t>
        </is>
      </c>
      <c r="B1371" t="inlineStr">
        <is>
          <t>Andere</t>
        </is>
      </c>
      <c r="C1371" t="inlineStr">
        <is>
          <t>A-01-32-3</t>
        </is>
      </c>
      <c r="D1371" t="n">
        <v>180</v>
      </c>
      <c r="E1371" t="n">
        <v>0</v>
      </c>
      <c r="F1371" t="n">
        <v>180</v>
      </c>
      <c r="G1371" t="n">
        <v>180</v>
      </c>
    </row>
    <row r="1372">
      <c r="A1372" t="inlineStr">
        <is>
          <t>202618</t>
        </is>
      </c>
      <c r="B1372" t="inlineStr">
        <is>
          <t>Andere</t>
        </is>
      </c>
      <c r="C1372" t="inlineStr">
        <is>
          <t>A-02-49-4</t>
        </is>
      </c>
      <c r="D1372" t="n">
        <v>180</v>
      </c>
      <c r="E1372" t="n">
        <v>0</v>
      </c>
      <c r="F1372" t="n">
        <v>180</v>
      </c>
      <c r="G1372" t="n">
        <v>180</v>
      </c>
    </row>
    <row r="1373">
      <c r="A1373" t="inlineStr">
        <is>
          <t>202618</t>
        </is>
      </c>
      <c r="B1373" t="inlineStr">
        <is>
          <t>Andere</t>
        </is>
      </c>
      <c r="C1373" t="inlineStr">
        <is>
          <t>A-02-58-4</t>
        </is>
      </c>
      <c r="D1373" t="n">
        <v>180</v>
      </c>
      <c r="E1373" t="n">
        <v>0</v>
      </c>
      <c r="F1373" t="n">
        <v>180</v>
      </c>
      <c r="G1373" t="n">
        <v>180</v>
      </c>
    </row>
    <row r="1374">
      <c r="A1374" t="inlineStr">
        <is>
          <t>202618</t>
        </is>
      </c>
      <c r="B1374" t="inlineStr">
        <is>
          <t>Andere</t>
        </is>
      </c>
      <c r="C1374" t="inlineStr">
        <is>
          <t>A-02-64-2</t>
        </is>
      </c>
      <c r="D1374" t="n">
        <v>180</v>
      </c>
      <c r="E1374" t="n">
        <v>0</v>
      </c>
      <c r="F1374" t="n">
        <v>180</v>
      </c>
      <c r="G1374" t="n">
        <v>180</v>
      </c>
    </row>
    <row r="1375">
      <c r="A1375" t="inlineStr">
        <is>
          <t>202618</t>
        </is>
      </c>
      <c r="B1375" t="inlineStr">
        <is>
          <t>Andere</t>
        </is>
      </c>
      <c r="C1375" t="inlineStr">
        <is>
          <t>PH-01-14</t>
        </is>
      </c>
      <c r="D1375" t="n">
        <v>0</v>
      </c>
      <c r="E1375" t="n">
        <v>172</v>
      </c>
      <c r="F1375" t="n">
        <v>-172</v>
      </c>
      <c r="G1375" t="n">
        <v>-172</v>
      </c>
    </row>
    <row r="1376">
      <c r="A1376" t="inlineStr">
        <is>
          <t>202618</t>
        </is>
      </c>
      <c r="B1376" t="inlineStr">
        <is>
          <t>Andere</t>
        </is>
      </c>
      <c r="C1376" t="inlineStr">
        <is>
          <t>A-02-118-1</t>
        </is>
      </c>
      <c r="D1376" t="n">
        <v>168</v>
      </c>
      <c r="E1376" t="n">
        <v>0</v>
      </c>
      <c r="F1376" t="n">
        <v>168</v>
      </c>
      <c r="G1376" t="n">
        <v>168</v>
      </c>
    </row>
    <row r="1377">
      <c r="A1377" t="inlineStr">
        <is>
          <t>202618</t>
        </is>
      </c>
      <c r="B1377" t="inlineStr">
        <is>
          <t>Andere</t>
        </is>
      </c>
      <c r="C1377" t="inlineStr">
        <is>
          <t>P-04-12-2</t>
        </is>
      </c>
      <c r="D1377" t="n">
        <v>151</v>
      </c>
      <c r="E1377" t="n">
        <v>0</v>
      </c>
      <c r="F1377" t="n">
        <v>151</v>
      </c>
      <c r="G1377" t="n">
        <v>151</v>
      </c>
    </row>
    <row r="1378">
      <c r="A1378" t="inlineStr">
        <is>
          <t>202618</t>
        </is>
      </c>
      <c r="B1378" t="inlineStr">
        <is>
          <t>Andere</t>
        </is>
      </c>
      <c r="C1378" t="inlineStr">
        <is>
          <t>P-04-08-2</t>
        </is>
      </c>
      <c r="D1378" t="n">
        <v>141</v>
      </c>
      <c r="E1378" t="n">
        <v>0</v>
      </c>
      <c r="F1378" t="n">
        <v>141</v>
      </c>
      <c r="G1378" t="n">
        <v>141</v>
      </c>
    </row>
    <row r="1379">
      <c r="A1379" t="inlineStr">
        <is>
          <t>202618</t>
        </is>
      </c>
      <c r="B1379" t="inlineStr">
        <is>
          <t>Andere</t>
        </is>
      </c>
      <c r="C1379" t="inlineStr">
        <is>
          <t>GC-02-17-1</t>
        </is>
      </c>
      <c r="D1379" t="n">
        <v>171</v>
      </c>
      <c r="E1379" t="n">
        <v>32</v>
      </c>
      <c r="F1379" t="n">
        <v>139</v>
      </c>
      <c r="G1379" t="n">
        <v>139</v>
      </c>
    </row>
    <row r="1380">
      <c r="A1380" t="inlineStr">
        <is>
          <t>202618</t>
        </is>
      </c>
      <c r="B1380" t="inlineStr">
        <is>
          <t>Andere</t>
        </is>
      </c>
      <c r="C1380" t="inlineStr">
        <is>
          <t>D-06-09-1</t>
        </is>
      </c>
      <c r="D1380" t="n">
        <v>135</v>
      </c>
      <c r="E1380" t="n">
        <v>0</v>
      </c>
      <c r="F1380" t="n">
        <v>135</v>
      </c>
      <c r="G1380" t="n">
        <v>135</v>
      </c>
    </row>
    <row r="1381">
      <c r="A1381" t="inlineStr">
        <is>
          <t>202618</t>
        </is>
      </c>
      <c r="B1381" t="inlineStr">
        <is>
          <t>Andere</t>
        </is>
      </c>
      <c r="C1381" t="inlineStr">
        <is>
          <t>A-02-109-1</t>
        </is>
      </c>
      <c r="D1381" t="n">
        <v>132</v>
      </c>
      <c r="E1381" t="n">
        <v>0</v>
      </c>
      <c r="F1381" t="n">
        <v>132</v>
      </c>
      <c r="G1381" t="n">
        <v>132</v>
      </c>
    </row>
    <row r="1382">
      <c r="A1382" t="inlineStr">
        <is>
          <t>202618</t>
        </is>
      </c>
      <c r="B1382" t="inlineStr">
        <is>
          <t>Andere</t>
        </is>
      </c>
      <c r="C1382" t="inlineStr">
        <is>
          <t>A-02-89-1</t>
        </is>
      </c>
      <c r="D1382" t="n">
        <v>132</v>
      </c>
      <c r="E1382" t="n">
        <v>0</v>
      </c>
      <c r="F1382" t="n">
        <v>132</v>
      </c>
      <c r="G1382" t="n">
        <v>132</v>
      </c>
    </row>
    <row r="1383">
      <c r="A1383" t="inlineStr">
        <is>
          <t>202618</t>
        </is>
      </c>
      <c r="B1383" t="inlineStr">
        <is>
          <t>Andere</t>
        </is>
      </c>
      <c r="C1383" t="inlineStr">
        <is>
          <t>A-02-99-1</t>
        </is>
      </c>
      <c r="D1383" t="n">
        <v>132</v>
      </c>
      <c r="E1383" t="n">
        <v>0</v>
      </c>
      <c r="F1383" t="n">
        <v>132</v>
      </c>
      <c r="G1383" t="n">
        <v>132</v>
      </c>
    </row>
    <row r="1384">
      <c r="A1384" t="inlineStr">
        <is>
          <t>202618</t>
        </is>
      </c>
      <c r="B1384" t="inlineStr">
        <is>
          <t>Andere</t>
        </is>
      </c>
      <c r="C1384" t="inlineStr">
        <is>
          <t>VH-02-20</t>
        </is>
      </c>
      <c r="D1384" t="n">
        <v>100</v>
      </c>
      <c r="E1384" t="n">
        <v>0</v>
      </c>
      <c r="F1384" t="n">
        <v>100</v>
      </c>
      <c r="G1384" t="n">
        <v>100</v>
      </c>
    </row>
    <row r="1385">
      <c r="A1385" t="inlineStr">
        <is>
          <t>202618</t>
        </is>
      </c>
      <c r="B1385" t="inlineStr">
        <is>
          <t>Andere</t>
        </is>
      </c>
      <c r="C1385" t="inlineStr">
        <is>
          <t>GC-02-04-2</t>
        </is>
      </c>
      <c r="D1385" t="n">
        <v>104.94</v>
      </c>
      <c r="E1385" t="n">
        <v>5</v>
      </c>
      <c r="F1385" t="n">
        <v>99.94</v>
      </c>
      <c r="G1385" t="n">
        <v>99.94</v>
      </c>
    </row>
    <row r="1386">
      <c r="A1386" t="inlineStr">
        <is>
          <t>202618</t>
        </is>
      </c>
      <c r="B1386" t="inlineStr">
        <is>
          <t>Andere</t>
        </is>
      </c>
      <c r="C1386" t="inlineStr">
        <is>
          <t>A-02-72-1</t>
        </is>
      </c>
      <c r="D1386" t="n">
        <v>96</v>
      </c>
      <c r="E1386" t="n">
        <v>0</v>
      </c>
      <c r="F1386" t="n">
        <v>96</v>
      </c>
      <c r="G1386" t="n">
        <v>96</v>
      </c>
    </row>
    <row r="1387">
      <c r="A1387" t="inlineStr">
        <is>
          <t>202618</t>
        </is>
      </c>
      <c r="B1387" t="inlineStr">
        <is>
          <t>Andere</t>
        </is>
      </c>
      <c r="C1387" t="inlineStr">
        <is>
          <t>SPI-WINDOW</t>
        </is>
      </c>
      <c r="D1387" t="n">
        <v>57.5</v>
      </c>
      <c r="E1387" t="n">
        <v>0</v>
      </c>
      <c r="F1387" t="n">
        <v>57.5</v>
      </c>
      <c r="G1387" t="n">
        <v>57.5</v>
      </c>
    </row>
    <row r="1388">
      <c r="A1388" t="inlineStr">
        <is>
          <t>202618</t>
        </is>
      </c>
      <c r="B1388" t="inlineStr">
        <is>
          <t>Andere</t>
        </is>
      </c>
      <c r="C1388" t="inlineStr">
        <is>
          <t>FAMATIKT</t>
        </is>
      </c>
      <c r="D1388" t="n">
        <v>50</v>
      </c>
      <c r="E1388" t="n">
        <v>0</v>
      </c>
      <c r="F1388" t="n">
        <v>50</v>
      </c>
      <c r="G1388" t="n">
        <v>50</v>
      </c>
    </row>
    <row r="1389">
      <c r="A1389" t="inlineStr">
        <is>
          <t>202618</t>
        </is>
      </c>
      <c r="B1389" t="inlineStr">
        <is>
          <t>Andere</t>
        </is>
      </c>
      <c r="C1389" t="inlineStr">
        <is>
          <t>GC-02-24-1</t>
        </is>
      </c>
      <c r="D1389" t="n">
        <v>30</v>
      </c>
      <c r="E1389" t="n">
        <v>0</v>
      </c>
      <c r="F1389" t="n">
        <v>30</v>
      </c>
      <c r="G1389" t="n">
        <v>30</v>
      </c>
    </row>
    <row r="1390">
      <c r="A1390" t="inlineStr">
        <is>
          <t>202618</t>
        </is>
      </c>
      <c r="B1390" t="inlineStr">
        <is>
          <t>Andere</t>
        </is>
      </c>
      <c r="C1390" t="inlineStr">
        <is>
          <t>D-06-47-2</t>
        </is>
      </c>
      <c r="D1390" t="n">
        <v>20</v>
      </c>
      <c r="E1390" t="n">
        <v>0</v>
      </c>
      <c r="F1390" t="n">
        <v>20</v>
      </c>
      <c r="G1390" t="n">
        <v>20</v>
      </c>
    </row>
    <row r="1391">
      <c r="A1391" t="inlineStr">
        <is>
          <t>202618</t>
        </is>
      </c>
      <c r="B1391" t="inlineStr">
        <is>
          <t>Andere</t>
        </is>
      </c>
      <c r="C1391" t="inlineStr">
        <is>
          <t>A-01-31-1</t>
        </is>
      </c>
      <c r="D1391" t="n">
        <v>10</v>
      </c>
      <c r="E1391" t="n">
        <v>0</v>
      </c>
      <c r="F1391" t="n">
        <v>10</v>
      </c>
      <c r="G1391" t="n">
        <v>10</v>
      </c>
    </row>
    <row r="1392">
      <c r="A1392" t="inlineStr">
        <is>
          <t>202618</t>
        </is>
      </c>
      <c r="B1392" t="inlineStr">
        <is>
          <t>Andere</t>
        </is>
      </c>
      <c r="C1392" t="inlineStr">
        <is>
          <t>D-06-37-3</t>
        </is>
      </c>
      <c r="D1392" t="n">
        <v>10</v>
      </c>
      <c r="E1392" t="n">
        <v>0</v>
      </c>
      <c r="F1392" t="n">
        <v>10</v>
      </c>
      <c r="G1392" t="n">
        <v>10</v>
      </c>
    </row>
    <row r="1393">
      <c r="A1393" t="inlineStr">
        <is>
          <t>202618</t>
        </is>
      </c>
      <c r="B1393" t="inlineStr">
        <is>
          <t>Andere</t>
        </is>
      </c>
      <c r="C1393" t="inlineStr">
        <is>
          <t>D-06-50-3</t>
        </is>
      </c>
      <c r="D1393" t="n">
        <v>10</v>
      </c>
      <c r="E1393" t="n">
        <v>0</v>
      </c>
      <c r="F1393" t="n">
        <v>10</v>
      </c>
      <c r="G1393" t="n">
        <v>10</v>
      </c>
    </row>
    <row r="1394">
      <c r="A1394" t="inlineStr">
        <is>
          <t>202618</t>
        </is>
      </c>
      <c r="B1394" t="inlineStr">
        <is>
          <t>Andere</t>
        </is>
      </c>
      <c r="C1394" t="inlineStr">
        <is>
          <t>D-06-56-3</t>
        </is>
      </c>
      <c r="D1394" t="n">
        <v>10</v>
      </c>
      <c r="E1394" t="n">
        <v>0</v>
      </c>
      <c r="F1394" t="n">
        <v>10</v>
      </c>
      <c r="G1394" t="n">
        <v>10</v>
      </c>
    </row>
    <row r="1395">
      <c r="A1395" t="inlineStr">
        <is>
          <t>202618</t>
        </is>
      </c>
      <c r="B1395" t="inlineStr">
        <is>
          <t>Andere</t>
        </is>
      </c>
      <c r="C1395" t="inlineStr">
        <is>
          <t>P-04-01-2</t>
        </is>
      </c>
      <c r="D1395" t="n">
        <v>10</v>
      </c>
      <c r="E1395" t="n">
        <v>0</v>
      </c>
      <c r="F1395" t="n">
        <v>10</v>
      </c>
      <c r="G1395" t="n">
        <v>10</v>
      </c>
    </row>
    <row r="1396">
      <c r="A1396" t="inlineStr">
        <is>
          <t>202618</t>
        </is>
      </c>
      <c r="B1396" t="inlineStr">
        <is>
          <t>Andere</t>
        </is>
      </c>
      <c r="C1396" t="inlineStr">
        <is>
          <t>SP-01-01-3</t>
        </is>
      </c>
      <c r="D1396" t="n">
        <v>10</v>
      </c>
      <c r="E1396" t="n">
        <v>0</v>
      </c>
      <c r="F1396" t="n">
        <v>10</v>
      </c>
      <c r="G1396" t="n">
        <v>10</v>
      </c>
    </row>
    <row r="1397">
      <c r="A1397" t="inlineStr">
        <is>
          <t>202618</t>
        </is>
      </c>
      <c r="B1397" t="inlineStr">
        <is>
          <t>Andere</t>
        </is>
      </c>
      <c r="C1397" t="inlineStr">
        <is>
          <t>D-06-35-2</t>
        </is>
      </c>
      <c r="D1397" t="n">
        <v>7.5</v>
      </c>
      <c r="E1397" t="n">
        <v>0</v>
      </c>
      <c r="F1397" t="n">
        <v>7.5</v>
      </c>
      <c r="G1397" t="n">
        <v>7.5</v>
      </c>
    </row>
    <row r="1398">
      <c r="A1398" t="inlineStr">
        <is>
          <t>202618</t>
        </is>
      </c>
      <c r="B1398" t="inlineStr">
        <is>
          <t>Andere</t>
        </is>
      </c>
      <c r="C1398" t="inlineStr">
        <is>
          <t>PLSTG-03</t>
        </is>
      </c>
      <c r="D1398" t="n">
        <v>1</v>
      </c>
      <c r="E1398" t="n">
        <v>0</v>
      </c>
      <c r="F1398" t="n">
        <v>1</v>
      </c>
      <c r="G1398" t="n">
        <v>1</v>
      </c>
    </row>
    <row r="1399">
      <c r="A1399" t="inlineStr">
        <is>
          <t>202618</t>
        </is>
      </c>
      <c r="B1399" t="inlineStr">
        <is>
          <t>Andere</t>
        </is>
      </c>
      <c r="C1399" t="inlineStr">
        <is>
          <t>PLSTG-01</t>
        </is>
      </c>
      <c r="D1399" t="n">
        <v>0.01</v>
      </c>
      <c r="E1399" t="n">
        <v>0</v>
      </c>
      <c r="F1399" t="n">
        <v>0.01</v>
      </c>
      <c r="G1399" t="n">
        <v>0.01</v>
      </c>
    </row>
    <row r="1400">
      <c r="A1400" t="inlineStr">
        <is>
          <t>202618</t>
        </is>
      </c>
      <c r="B1400" t="inlineStr">
        <is>
          <t>Andere</t>
        </is>
      </c>
      <c r="C1400" t="inlineStr">
        <is>
          <t>SP-01-01-1</t>
        </is>
      </c>
      <c r="D1400" t="n">
        <v>0.01</v>
      </c>
      <c r="E1400" t="n">
        <v>0</v>
      </c>
      <c r="F1400" t="n">
        <v>0.01</v>
      </c>
      <c r="G1400" t="n">
        <v>0.01</v>
      </c>
    </row>
    <row r="1401">
      <c r="A1401" t="inlineStr">
        <is>
          <t>202618</t>
        </is>
      </c>
      <c r="B1401" t="inlineStr">
        <is>
          <t>Andere</t>
        </is>
      </c>
      <c r="C1401" t="inlineStr">
        <is>
          <t>PLSTG-02</t>
        </is>
      </c>
      <c r="D1401" t="n">
        <v>0.01</v>
      </c>
      <c r="E1401" t="n">
        <v>0</v>
      </c>
      <c r="F1401" t="n">
        <v>0.01</v>
      </c>
      <c r="G1401" t="n">
        <v>0.01</v>
      </c>
    </row>
    <row r="1402">
      <c r="A1402" t="inlineStr">
        <is>
          <t>202618</t>
        </is>
      </c>
      <c r="B1402" t="inlineStr">
        <is>
          <t>Andere</t>
        </is>
      </c>
      <c r="C1402" t="inlineStr">
        <is>
          <t>SP-01-08-1</t>
        </is>
      </c>
      <c r="D1402" t="n">
        <v>0.01</v>
      </c>
      <c r="E1402" t="n">
        <v>0</v>
      </c>
      <c r="F1402" t="n">
        <v>0.01</v>
      </c>
      <c r="G1402" t="n">
        <v>0.01</v>
      </c>
    </row>
    <row r="1403">
      <c r="A1403" t="inlineStr">
        <is>
          <t>202618</t>
        </is>
      </c>
      <c r="B1403" t="inlineStr">
        <is>
          <t>Andere</t>
        </is>
      </c>
      <c r="C1403" t="inlineStr">
        <is>
          <t>SP-01-08-3</t>
        </is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202618</t>
        </is>
      </c>
      <c r="B1404" t="inlineStr">
        <is>
          <t>Andere</t>
        </is>
      </c>
      <c r="C1404" t="inlineStr">
        <is>
          <t>SP-01-05-1</t>
        </is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202618</t>
        </is>
      </c>
      <c r="B1405" t="inlineStr">
        <is>
          <t>Andere</t>
        </is>
      </c>
      <c r="C1405" t="inlineStr">
        <is>
          <t>SP-01-06-2</t>
        </is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202618</t>
        </is>
      </c>
      <c r="B1406" t="inlineStr">
        <is>
          <t>Andere</t>
        </is>
      </c>
      <c r="C1406" t="inlineStr">
        <is>
          <t>SP-02-01-1</t>
        </is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202618</t>
        </is>
      </c>
      <c r="B1407" t="inlineStr">
        <is>
          <t>Andere</t>
        </is>
      </c>
      <c r="C1407" t="inlineStr">
        <is>
          <t>SP-02-01-3</t>
        </is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202618</t>
        </is>
      </c>
      <c r="B1408" t="inlineStr">
        <is>
          <t>Andere</t>
        </is>
      </c>
      <c r="C1408" t="inlineStr">
        <is>
          <t>SP-02-08-3</t>
        </is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202618</t>
        </is>
      </c>
      <c r="B1409" t="inlineStr">
        <is>
          <t>Andere</t>
        </is>
      </c>
      <c r="C1409" t="inlineStr">
        <is>
          <t>A-01-02-1</t>
        </is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202618</t>
        </is>
      </c>
      <c r="B1410" t="inlineStr">
        <is>
          <t>Andere</t>
        </is>
      </c>
      <c r="C1410" t="inlineStr">
        <is>
          <t>A-02-03-1</t>
        </is>
      </c>
      <c r="D1410" t="n">
        <v>16100</v>
      </c>
      <c r="E1410" t="n">
        <v>16100</v>
      </c>
      <c r="F1410" t="n">
        <v>0</v>
      </c>
      <c r="G1410" t="n">
        <v>0</v>
      </c>
    </row>
    <row r="1411">
      <c r="A1411" t="inlineStr">
        <is>
          <t>202618</t>
        </is>
      </c>
      <c r="B1411" t="inlineStr">
        <is>
          <t>Andere</t>
        </is>
      </c>
      <c r="C1411" t="inlineStr">
        <is>
          <t>A-02-40-1</t>
        </is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202618</t>
        </is>
      </c>
      <c r="B1412" t="inlineStr">
        <is>
          <t>Andere</t>
        </is>
      </c>
      <c r="C1412" t="inlineStr">
        <is>
          <t>A-02-49-1</t>
        </is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202618</t>
        </is>
      </c>
      <c r="B1413" t="inlineStr">
        <is>
          <t>Andere</t>
        </is>
      </c>
      <c r="C1413" t="inlineStr">
        <is>
          <t>A-02-50-1</t>
        </is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202618</t>
        </is>
      </c>
      <c r="B1414" t="inlineStr">
        <is>
          <t>Andere</t>
        </is>
      </c>
      <c r="C1414" t="inlineStr">
        <is>
          <t>P-04-01-1</t>
        </is>
      </c>
      <c r="D1414" t="n">
        <v>90</v>
      </c>
      <c r="E1414" t="n">
        <v>90</v>
      </c>
      <c r="F1414" t="n">
        <v>0</v>
      </c>
      <c r="G1414" t="n">
        <v>0</v>
      </c>
    </row>
    <row r="1415">
      <c r="A1415" t="inlineStr">
        <is>
          <t>202618</t>
        </is>
      </c>
      <c r="B1415" t="inlineStr">
        <is>
          <t>Andere</t>
        </is>
      </c>
      <c r="C1415" t="inlineStr">
        <is>
          <t>PH-03-03</t>
        </is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202618</t>
        </is>
      </c>
      <c r="B1416" t="inlineStr">
        <is>
          <t>Andere</t>
        </is>
      </c>
      <c r="C1416" t="inlineStr">
        <is>
          <t>PH-03-04</t>
        </is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202618</t>
        </is>
      </c>
      <c r="B1417" t="inlineStr">
        <is>
          <t>Andere</t>
        </is>
      </c>
      <c r="C1417" t="inlineStr">
        <is>
          <t>PH-03-05</t>
        </is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202618</t>
        </is>
      </c>
      <c r="B1418" t="inlineStr">
        <is>
          <t>Andere</t>
        </is>
      </c>
      <c r="C1418" t="inlineStr">
        <is>
          <t>PH-03-06</t>
        </is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202618</t>
        </is>
      </c>
      <c r="B1419" t="inlineStr">
        <is>
          <t>Andere</t>
        </is>
      </c>
      <c r="C1419" t="inlineStr">
        <is>
          <t>PH-03-09</t>
        </is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202618</t>
        </is>
      </c>
      <c r="B1420" t="inlineStr">
        <is>
          <t>Fulfillment</t>
        </is>
      </c>
      <c r="C1420" t="inlineStr">
        <is>
          <t>FABENIKE</t>
        </is>
      </c>
      <c r="D1420" t="n">
        <v>143163</v>
      </c>
      <c r="E1420" t="n">
        <v>0</v>
      </c>
      <c r="F1420" t="n">
        <v>143163</v>
      </c>
      <c r="G1420" t="n">
        <v>143163</v>
      </c>
    </row>
    <row r="1421">
      <c r="A1421" t="inlineStr">
        <is>
          <t>202618</t>
        </is>
      </c>
      <c r="B1421" t="inlineStr">
        <is>
          <t>Fulfillment</t>
        </is>
      </c>
      <c r="C1421" t="inlineStr">
        <is>
          <t>PLH-01-10</t>
        </is>
      </c>
      <c r="D1421" t="n">
        <v>125</v>
      </c>
      <c r="E1421" t="n">
        <v>31.01</v>
      </c>
      <c r="F1421" t="n">
        <v>93.98999999999999</v>
      </c>
      <c r="G1421" t="n">
        <v>93.98999999999999</v>
      </c>
    </row>
    <row r="1422">
      <c r="A1422" t="inlineStr">
        <is>
          <t>202618</t>
        </is>
      </c>
      <c r="B1422" t="inlineStr">
        <is>
          <t>Fulfillment</t>
        </is>
      </c>
      <c r="C1422" t="inlineStr">
        <is>
          <t>PLH-02-17</t>
        </is>
      </c>
      <c r="D1422" t="n">
        <v>72</v>
      </c>
      <c r="E1422" t="n">
        <v>0</v>
      </c>
      <c r="F1422" t="n">
        <v>72</v>
      </c>
      <c r="G1422" t="n">
        <v>72</v>
      </c>
    </row>
    <row r="1423">
      <c r="A1423" t="inlineStr">
        <is>
          <t>202618</t>
        </is>
      </c>
      <c r="B1423" t="inlineStr">
        <is>
          <t>Fulfillment</t>
        </is>
      </c>
      <c r="C1423" t="inlineStr">
        <is>
          <t>PLH-01-09</t>
        </is>
      </c>
      <c r="D1423" t="n">
        <v>77</v>
      </c>
      <c r="E1423" t="n">
        <v>10</v>
      </c>
      <c r="F1423" t="n">
        <v>67</v>
      </c>
      <c r="G1423" t="n">
        <v>67</v>
      </c>
    </row>
    <row r="1424">
      <c r="A1424" t="inlineStr">
        <is>
          <t>202618</t>
        </is>
      </c>
      <c r="B1424" t="inlineStr">
        <is>
          <t>Fulfillment</t>
        </is>
      </c>
      <c r="C1424" t="inlineStr">
        <is>
          <t>PLH-02-09</t>
        </is>
      </c>
      <c r="D1424" t="n">
        <v>57</v>
      </c>
      <c r="E1424" t="n">
        <v>0</v>
      </c>
      <c r="F1424" t="n">
        <v>57</v>
      </c>
      <c r="G1424" t="n">
        <v>57</v>
      </c>
    </row>
    <row r="1425">
      <c r="A1425" t="inlineStr">
        <is>
          <t>202618</t>
        </is>
      </c>
      <c r="B1425" t="inlineStr">
        <is>
          <t>Fulfillment</t>
        </is>
      </c>
      <c r="C1425" t="inlineStr">
        <is>
          <t>PLH-01-06</t>
        </is>
      </c>
      <c r="D1425" t="n">
        <v>50</v>
      </c>
      <c r="E1425" t="n">
        <v>0</v>
      </c>
      <c r="F1425" t="n">
        <v>50</v>
      </c>
      <c r="G1425" t="n">
        <v>50</v>
      </c>
    </row>
    <row r="1426">
      <c r="A1426" t="inlineStr">
        <is>
          <t>202618</t>
        </is>
      </c>
      <c r="B1426" t="inlineStr">
        <is>
          <t>Fulfillment</t>
        </is>
      </c>
      <c r="C1426" t="inlineStr">
        <is>
          <t>PLH-01-11</t>
        </is>
      </c>
      <c r="D1426" t="n">
        <v>44</v>
      </c>
      <c r="E1426" t="n">
        <v>0.06</v>
      </c>
      <c r="F1426" t="n">
        <v>43.94</v>
      </c>
      <c r="G1426" t="n">
        <v>43.94</v>
      </c>
    </row>
    <row r="1427">
      <c r="A1427" t="inlineStr">
        <is>
          <t>202618</t>
        </is>
      </c>
      <c r="B1427" t="inlineStr">
        <is>
          <t>Fulfillment</t>
        </is>
      </c>
      <c r="C1427" t="inlineStr">
        <is>
          <t>PLH-01-19</t>
        </is>
      </c>
      <c r="D1427" t="n">
        <v>42</v>
      </c>
      <c r="E1427" t="n">
        <v>0</v>
      </c>
      <c r="F1427" t="n">
        <v>42</v>
      </c>
      <c r="G1427" t="n">
        <v>42</v>
      </c>
    </row>
    <row r="1428">
      <c r="A1428" t="inlineStr">
        <is>
          <t>202618</t>
        </is>
      </c>
      <c r="B1428" t="inlineStr">
        <is>
          <t>Fulfillment</t>
        </is>
      </c>
      <c r="C1428" t="inlineStr">
        <is>
          <t>PLH-01-07</t>
        </is>
      </c>
      <c r="D1428" t="n">
        <v>41</v>
      </c>
      <c r="E1428" t="n">
        <v>0</v>
      </c>
      <c r="F1428" t="n">
        <v>41</v>
      </c>
      <c r="G1428" t="n">
        <v>41</v>
      </c>
    </row>
    <row r="1429">
      <c r="A1429" t="inlineStr">
        <is>
          <t>202618</t>
        </is>
      </c>
      <c r="B1429" t="inlineStr">
        <is>
          <t>Fulfillment</t>
        </is>
      </c>
      <c r="C1429" t="inlineStr">
        <is>
          <t>PLH-01-13</t>
        </is>
      </c>
      <c r="D1429" t="n">
        <v>39</v>
      </c>
      <c r="E1429" t="n">
        <v>0</v>
      </c>
      <c r="F1429" t="n">
        <v>39</v>
      </c>
      <c r="G1429" t="n">
        <v>39</v>
      </c>
    </row>
    <row r="1430">
      <c r="A1430" t="inlineStr">
        <is>
          <t>202618</t>
        </is>
      </c>
      <c r="B1430" t="inlineStr">
        <is>
          <t>Fulfillment</t>
        </is>
      </c>
      <c r="C1430" t="inlineStr">
        <is>
          <t>PLH-01-12</t>
        </is>
      </c>
      <c r="D1430" t="n">
        <v>36</v>
      </c>
      <c r="E1430" t="n">
        <v>0</v>
      </c>
      <c r="F1430" t="n">
        <v>36</v>
      </c>
      <c r="G1430" t="n">
        <v>36</v>
      </c>
    </row>
    <row r="1431">
      <c r="A1431" t="inlineStr">
        <is>
          <t>202618</t>
        </is>
      </c>
      <c r="B1431" t="inlineStr">
        <is>
          <t>Fulfillment</t>
        </is>
      </c>
      <c r="C1431" t="inlineStr">
        <is>
          <t>PLH-02-01</t>
        </is>
      </c>
      <c r="D1431" t="n">
        <v>64</v>
      </c>
      <c r="E1431" t="n">
        <v>32</v>
      </c>
      <c r="F1431" t="n">
        <v>32</v>
      </c>
      <c r="G1431" t="n">
        <v>32</v>
      </c>
    </row>
    <row r="1432">
      <c r="A1432" t="inlineStr">
        <is>
          <t>202618</t>
        </is>
      </c>
      <c r="B1432" t="inlineStr">
        <is>
          <t>Fulfillment</t>
        </is>
      </c>
      <c r="C1432" t="inlineStr">
        <is>
          <t>PLH-01-15</t>
        </is>
      </c>
      <c r="D1432" t="n">
        <v>28</v>
      </c>
      <c r="E1432" t="n">
        <v>0</v>
      </c>
      <c r="F1432" t="n">
        <v>28</v>
      </c>
      <c r="G1432" t="n">
        <v>28</v>
      </c>
    </row>
    <row r="1433">
      <c r="A1433" t="inlineStr">
        <is>
          <t>202618</t>
        </is>
      </c>
      <c r="B1433" t="inlineStr">
        <is>
          <t>Fulfillment</t>
        </is>
      </c>
      <c r="C1433" t="inlineStr">
        <is>
          <t>PLH-01-17</t>
        </is>
      </c>
      <c r="D1433" t="n">
        <v>20</v>
      </c>
      <c r="E1433" t="n">
        <v>0</v>
      </c>
      <c r="F1433" t="n">
        <v>20</v>
      </c>
      <c r="G1433" t="n">
        <v>20</v>
      </c>
    </row>
    <row r="1434">
      <c r="A1434" t="inlineStr">
        <is>
          <t>202618</t>
        </is>
      </c>
      <c r="B1434" t="inlineStr">
        <is>
          <t>Fulfillment</t>
        </is>
      </c>
      <c r="C1434" t="inlineStr">
        <is>
          <t>FACHIRANI</t>
        </is>
      </c>
      <c r="D1434" t="n">
        <v>17.5</v>
      </c>
      <c r="E1434" t="n">
        <v>0</v>
      </c>
      <c r="F1434" t="n">
        <v>17.5</v>
      </c>
      <c r="G1434" t="n">
        <v>17.5</v>
      </c>
    </row>
    <row r="1435">
      <c r="A1435" t="inlineStr">
        <is>
          <t>202618</t>
        </is>
      </c>
      <c r="B1435" t="inlineStr">
        <is>
          <t>Fulfillment</t>
        </is>
      </c>
      <c r="C1435" t="inlineStr">
        <is>
          <t>PLH-01-05</t>
        </is>
      </c>
      <c r="D1435" t="n">
        <v>11</v>
      </c>
      <c r="E1435" t="n">
        <v>0</v>
      </c>
      <c r="F1435" t="n">
        <v>11</v>
      </c>
      <c r="G1435" t="n">
        <v>11</v>
      </c>
    </row>
    <row r="1436">
      <c r="A1436" t="inlineStr">
        <is>
          <t>202618</t>
        </is>
      </c>
      <c r="B1436" t="inlineStr">
        <is>
          <t>Fulfillment</t>
        </is>
      </c>
      <c r="C1436" t="inlineStr">
        <is>
          <t>PLH-01-04</t>
        </is>
      </c>
      <c r="D1436" t="n">
        <v>17</v>
      </c>
      <c r="E1436" t="n">
        <v>16.02</v>
      </c>
      <c r="F1436" t="n">
        <v>0.98</v>
      </c>
      <c r="G1436" t="n">
        <v>0.98</v>
      </c>
    </row>
    <row r="1437">
      <c r="A1437" t="inlineStr">
        <is>
          <t>202618</t>
        </is>
      </c>
      <c r="B1437" t="inlineStr">
        <is>
          <t>Fulfillment</t>
        </is>
      </c>
      <c r="C1437" t="inlineStr">
        <is>
          <t>PLH-01-02</t>
        </is>
      </c>
      <c r="D1437" t="n">
        <v>0</v>
      </c>
      <c r="E1437" t="n">
        <v>0.02</v>
      </c>
      <c r="F1437" t="n">
        <v>-0.02</v>
      </c>
      <c r="G1437" t="n">
        <v>-0.02</v>
      </c>
    </row>
    <row r="1438">
      <c r="A1438" t="inlineStr">
        <is>
          <t>202618</t>
        </is>
      </c>
      <c r="B1438" t="inlineStr">
        <is>
          <t>Fulfillment</t>
        </is>
      </c>
      <c r="C1438" t="inlineStr">
        <is>
          <t>PLH-01-03</t>
        </is>
      </c>
      <c r="D1438" t="n">
        <v>0</v>
      </c>
      <c r="E1438" t="n">
        <v>0.02</v>
      </c>
      <c r="F1438" t="n">
        <v>-0.02</v>
      </c>
      <c r="G1438" t="n">
        <v>-0.02</v>
      </c>
    </row>
    <row r="1439">
      <c r="A1439" t="inlineStr">
        <is>
          <t>202618</t>
        </is>
      </c>
      <c r="B1439" t="inlineStr">
        <is>
          <t>Fulfillment</t>
        </is>
      </c>
      <c r="C1439" t="inlineStr">
        <is>
          <t>PLH-02-04</t>
        </is>
      </c>
      <c r="D1439" t="n">
        <v>19</v>
      </c>
      <c r="E1439" t="n">
        <v>19</v>
      </c>
      <c r="F1439" t="n">
        <v>0</v>
      </c>
      <c r="G1439" t="n">
        <v>0</v>
      </c>
    </row>
    <row r="1440">
      <c r="A1440" t="inlineStr">
        <is>
          <t>202618</t>
        </is>
      </c>
      <c r="B1440" t="inlineStr">
        <is>
          <t>Fulfillment</t>
        </is>
      </c>
      <c r="C1440" t="inlineStr">
        <is>
          <t>PLH-02-06</t>
        </is>
      </c>
      <c r="D1440" t="n">
        <v>17</v>
      </c>
      <c r="E1440" t="n">
        <v>17</v>
      </c>
      <c r="F1440" t="n">
        <v>0</v>
      </c>
      <c r="G1440" t="n">
        <v>0</v>
      </c>
    </row>
    <row r="1441">
      <c r="A1441" t="inlineStr">
        <is>
          <t>202618</t>
        </is>
      </c>
      <c r="B1441" t="inlineStr">
        <is>
          <t>Fulfillment</t>
        </is>
      </c>
      <c r="C1441" t="inlineStr">
        <is>
          <t>PLH-02-13</t>
        </is>
      </c>
      <c r="D1441" t="n">
        <v>56</v>
      </c>
      <c r="E1441" t="n">
        <v>56</v>
      </c>
      <c r="F1441" t="n">
        <v>0</v>
      </c>
      <c r="G1441" t="n">
        <v>0</v>
      </c>
    </row>
    <row r="1442">
      <c r="A1442" t="inlineStr">
        <is>
          <t>202618</t>
        </is>
      </c>
      <c r="B1442" t="inlineStr">
        <is>
          <t>Lager</t>
        </is>
      </c>
      <c r="C1442" t="inlineStr">
        <is>
          <t>STGDR-85</t>
        </is>
      </c>
      <c r="D1442" t="n">
        <v>856084</v>
      </c>
      <c r="E1442" t="n">
        <v>0</v>
      </c>
      <c r="F1442" t="n">
        <v>856084</v>
      </c>
      <c r="G1442" t="n">
        <v>856084</v>
      </c>
    </row>
    <row r="1443">
      <c r="A1443" t="inlineStr">
        <is>
          <t>202618</t>
        </is>
      </c>
      <c r="B1443" t="inlineStr">
        <is>
          <t>Lager</t>
        </is>
      </c>
      <c r="C1443" t="inlineStr">
        <is>
          <t>STGDR-27</t>
        </is>
      </c>
      <c r="D1443" t="n">
        <v>22264</v>
      </c>
      <c r="E1443" t="n">
        <v>0</v>
      </c>
      <c r="F1443" t="n">
        <v>22264</v>
      </c>
      <c r="G1443" t="n">
        <v>22264</v>
      </c>
    </row>
    <row r="1444">
      <c r="A1444" t="inlineStr">
        <is>
          <t>202618</t>
        </is>
      </c>
      <c r="B1444" t="inlineStr">
        <is>
          <t>Lager</t>
        </is>
      </c>
      <c r="C1444" t="inlineStr">
        <is>
          <t>STGDR-30</t>
        </is>
      </c>
      <c r="D1444" t="n">
        <v>18220</v>
      </c>
      <c r="E1444" t="n">
        <v>0</v>
      </c>
      <c r="F1444" t="n">
        <v>18220</v>
      </c>
      <c r="G1444" t="n">
        <v>18220</v>
      </c>
    </row>
    <row r="1445">
      <c r="A1445" t="inlineStr">
        <is>
          <t>202618</t>
        </is>
      </c>
      <c r="B1445" t="inlineStr">
        <is>
          <t>Lager</t>
        </is>
      </c>
      <c r="C1445" t="inlineStr">
        <is>
          <t>STGDR-31</t>
        </is>
      </c>
      <c r="D1445" t="n">
        <v>17792</v>
      </c>
      <c r="E1445" t="n">
        <v>0</v>
      </c>
      <c r="F1445" t="n">
        <v>17792</v>
      </c>
      <c r="G1445" t="n">
        <v>17792</v>
      </c>
    </row>
    <row r="1446">
      <c r="A1446" t="inlineStr">
        <is>
          <t>202618</t>
        </is>
      </c>
      <c r="B1446" t="inlineStr">
        <is>
          <t>Lager</t>
        </is>
      </c>
      <c r="C1446" t="inlineStr">
        <is>
          <t>STGDR-29</t>
        </is>
      </c>
      <c r="D1446" t="n">
        <v>1258</v>
      </c>
      <c r="E1446" t="n">
        <v>0</v>
      </c>
      <c r="F1446" t="n">
        <v>1258</v>
      </c>
      <c r="G1446" t="n">
        <v>1258</v>
      </c>
    </row>
    <row r="1447">
      <c r="A1447" t="inlineStr">
        <is>
          <t>202618</t>
        </is>
      </c>
      <c r="B1447" t="inlineStr">
        <is>
          <t>Lager</t>
        </is>
      </c>
      <c r="C1447" t="inlineStr">
        <is>
          <t>STGDR-28</t>
        </is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202618</t>
        </is>
      </c>
      <c r="B1448" t="inlineStr">
        <is>
          <t>Prep/Plating</t>
        </is>
      </c>
      <c r="C1448" t="inlineStr">
        <is>
          <t>DEBOXWIP</t>
        </is>
      </c>
      <c r="D1448" t="n">
        <v>1.34</v>
      </c>
      <c r="E1448" t="n">
        <v>1645962.4</v>
      </c>
      <c r="F1448" t="n">
        <v>-1645961.06</v>
      </c>
      <c r="G1448" t="n">
        <v>-1645961.06</v>
      </c>
    </row>
    <row r="1449">
      <c r="A1449" t="inlineStr">
        <is>
          <t>202618</t>
        </is>
      </c>
      <c r="B1449" t="inlineStr">
        <is>
          <t>Prep/Plating</t>
        </is>
      </c>
      <c r="C1449" t="inlineStr">
        <is>
          <t>SLEEVING</t>
        </is>
      </c>
      <c r="D1449" t="n">
        <v>1568</v>
      </c>
      <c r="E1449" t="n">
        <v>0</v>
      </c>
      <c r="F1449" t="n">
        <v>1568</v>
      </c>
      <c r="G1449" t="n">
        <v>1568</v>
      </c>
    </row>
    <row r="1450">
      <c r="A1450" t="inlineStr">
        <is>
          <t>202618</t>
        </is>
      </c>
      <c r="B1450" t="inlineStr">
        <is>
          <t>Prep/Plating</t>
        </is>
      </c>
      <c r="C1450" t="inlineStr">
        <is>
          <t>PostB-01</t>
        </is>
      </c>
      <c r="D1450" t="n">
        <v>793</v>
      </c>
      <c r="E1450" t="n">
        <v>0</v>
      </c>
      <c r="F1450" t="n">
        <v>793</v>
      </c>
      <c r="G1450" t="n">
        <v>793</v>
      </c>
    </row>
    <row r="1451">
      <c r="A1451" t="inlineStr">
        <is>
          <t>202618</t>
        </is>
      </c>
      <c r="B1451" t="inlineStr">
        <is>
          <t>Prep/Plating</t>
        </is>
      </c>
      <c r="C1451" t="inlineStr">
        <is>
          <t>PREB-01</t>
        </is>
      </c>
      <c r="D1451" t="n">
        <v>2737</v>
      </c>
      <c r="E1451" t="n">
        <v>1946</v>
      </c>
      <c r="F1451" t="n">
        <v>791</v>
      </c>
      <c r="G1451" t="n">
        <v>791</v>
      </c>
    </row>
    <row r="1452">
      <c r="A1452" t="inlineStr">
        <is>
          <t>202619</t>
        </is>
      </c>
      <c r="B1452" t="inlineStr">
        <is>
          <t>Andere</t>
        </is>
      </c>
      <c r="C1452" t="inlineStr">
        <is>
          <t>UNBEKANNT</t>
        </is>
      </c>
      <c r="D1452" t="n">
        <v>213006</v>
      </c>
      <c r="E1452" t="n">
        <v>0</v>
      </c>
      <c r="F1452" t="n">
        <v>213006</v>
      </c>
      <c r="G1452" t="n">
        <v>213006</v>
      </c>
    </row>
    <row r="1453">
      <c r="A1453" t="inlineStr">
        <is>
          <t>202619</t>
        </is>
      </c>
      <c r="B1453" t="inlineStr">
        <is>
          <t>Andere</t>
        </is>
      </c>
      <c r="C1453" t="inlineStr">
        <is>
          <t>FAHABAYEBM</t>
        </is>
      </c>
      <c r="D1453" t="n">
        <v>120000</v>
      </c>
      <c r="E1453" t="n">
        <v>0</v>
      </c>
      <c r="F1453" t="n">
        <v>120000</v>
      </c>
      <c r="G1453" t="n">
        <v>120000</v>
      </c>
    </row>
    <row r="1454">
      <c r="A1454" t="inlineStr">
        <is>
          <t>202619</t>
        </is>
      </c>
      <c r="B1454" t="inlineStr">
        <is>
          <t>Andere</t>
        </is>
      </c>
      <c r="C1454" t="inlineStr">
        <is>
          <t>FAWAHIDM</t>
        </is>
      </c>
      <c r="D1454" t="n">
        <v>49435.5</v>
      </c>
      <c r="E1454" t="n">
        <v>0</v>
      </c>
      <c r="F1454" t="n">
        <v>49435.5</v>
      </c>
      <c r="G1454" t="n">
        <v>49435.5</v>
      </c>
    </row>
    <row r="1455">
      <c r="A1455" t="inlineStr">
        <is>
          <t>202619</t>
        </is>
      </c>
      <c r="B1455" t="inlineStr">
        <is>
          <t>Andere</t>
        </is>
      </c>
      <c r="C1455" t="inlineStr">
        <is>
          <t>A-02-64-2</t>
        </is>
      </c>
      <c r="D1455" t="n">
        <v>40000</v>
      </c>
      <c r="E1455" t="n">
        <v>0</v>
      </c>
      <c r="F1455" t="n">
        <v>40000</v>
      </c>
      <c r="G1455" t="n">
        <v>40000</v>
      </c>
    </row>
    <row r="1456">
      <c r="A1456" t="inlineStr">
        <is>
          <t>202619</t>
        </is>
      </c>
      <c r="B1456" t="inlineStr">
        <is>
          <t>Andere</t>
        </is>
      </c>
      <c r="C1456" t="inlineStr">
        <is>
          <t>FAELMIE</t>
        </is>
      </c>
      <c r="D1456" t="n">
        <v>32208</v>
      </c>
      <c r="E1456" t="n">
        <v>0</v>
      </c>
      <c r="F1456" t="n">
        <v>32208</v>
      </c>
      <c r="G1456" t="n">
        <v>32208</v>
      </c>
    </row>
    <row r="1457">
      <c r="A1457" t="inlineStr">
        <is>
          <t>202619</t>
        </is>
      </c>
      <c r="B1457" t="inlineStr">
        <is>
          <t>Andere</t>
        </is>
      </c>
      <c r="C1457" t="inlineStr">
        <is>
          <t>FAFURMANNB</t>
        </is>
      </c>
      <c r="D1457" t="n">
        <v>18269</v>
      </c>
      <c r="E1457" t="n">
        <v>0</v>
      </c>
      <c r="F1457" t="n">
        <v>18269</v>
      </c>
      <c r="G1457" t="n">
        <v>18269</v>
      </c>
    </row>
    <row r="1458">
      <c r="A1458" t="inlineStr">
        <is>
          <t>202619</t>
        </is>
      </c>
      <c r="B1458" t="inlineStr">
        <is>
          <t>Andere</t>
        </is>
      </c>
      <c r="C1458" t="inlineStr">
        <is>
          <t>FASCHRADERS</t>
        </is>
      </c>
      <c r="D1458" t="n">
        <v>17114</v>
      </c>
      <c r="E1458" t="n">
        <v>0</v>
      </c>
      <c r="F1458" t="n">
        <v>17114</v>
      </c>
      <c r="G1458" t="n">
        <v>17114</v>
      </c>
    </row>
    <row r="1459">
      <c r="A1459" t="inlineStr">
        <is>
          <t>202619</t>
        </is>
      </c>
      <c r="B1459" t="inlineStr">
        <is>
          <t>Andere</t>
        </is>
      </c>
      <c r="C1459" t="inlineStr">
        <is>
          <t>FAWIEGHOLDD</t>
        </is>
      </c>
      <c r="D1459" t="n">
        <v>14592</v>
      </c>
      <c r="E1459" t="n">
        <v>0</v>
      </c>
      <c r="F1459" t="n">
        <v>14592</v>
      </c>
      <c r="G1459" t="n">
        <v>14592</v>
      </c>
    </row>
    <row r="1460">
      <c r="A1460" t="inlineStr">
        <is>
          <t>202619</t>
        </is>
      </c>
      <c r="B1460" t="inlineStr">
        <is>
          <t>Andere</t>
        </is>
      </c>
      <c r="C1460" t="inlineStr">
        <is>
          <t>FASADEKM</t>
        </is>
      </c>
      <c r="D1460" t="n">
        <v>13934</v>
      </c>
      <c r="E1460" t="n">
        <v>0</v>
      </c>
      <c r="F1460" t="n">
        <v>13934</v>
      </c>
      <c r="G1460" t="n">
        <v>13934</v>
      </c>
    </row>
    <row r="1461">
      <c r="A1461" t="inlineStr">
        <is>
          <t>202619</t>
        </is>
      </c>
      <c r="B1461" t="inlineStr">
        <is>
          <t>Andere</t>
        </is>
      </c>
      <c r="C1461" t="inlineStr">
        <is>
          <t>ADJ LOC</t>
        </is>
      </c>
      <c r="D1461" t="n">
        <v>7140</v>
      </c>
      <c r="E1461" t="n">
        <v>0</v>
      </c>
      <c r="F1461" t="n">
        <v>7140</v>
      </c>
      <c r="G1461" t="n">
        <v>7140</v>
      </c>
    </row>
    <row r="1462">
      <c r="A1462" t="inlineStr">
        <is>
          <t>202619</t>
        </is>
      </c>
      <c r="B1462" t="inlineStr">
        <is>
          <t>Andere</t>
        </is>
      </c>
      <c r="C1462" t="inlineStr">
        <is>
          <t>FAFERMAND</t>
        </is>
      </c>
      <c r="D1462" t="n">
        <v>5819</v>
      </c>
      <c r="E1462" t="n">
        <v>0</v>
      </c>
      <c r="F1462" t="n">
        <v>5819</v>
      </c>
      <c r="G1462" t="n">
        <v>5819</v>
      </c>
    </row>
    <row r="1463">
      <c r="A1463" t="inlineStr">
        <is>
          <t>202619</t>
        </is>
      </c>
      <c r="B1463" t="inlineStr">
        <is>
          <t>Andere</t>
        </is>
      </c>
      <c r="C1463" t="inlineStr">
        <is>
          <t>PROD RTN</t>
        </is>
      </c>
      <c r="D1463" t="n">
        <v>3875</v>
      </c>
      <c r="E1463" t="n">
        <v>0</v>
      </c>
      <c r="F1463" t="n">
        <v>3875</v>
      </c>
      <c r="G1463" t="n">
        <v>3875</v>
      </c>
    </row>
    <row r="1464">
      <c r="A1464" t="inlineStr">
        <is>
          <t>202619</t>
        </is>
      </c>
      <c r="B1464" t="inlineStr">
        <is>
          <t>Andere</t>
        </is>
      </c>
      <c r="C1464" t="inlineStr">
        <is>
          <t>LOST</t>
        </is>
      </c>
      <c r="D1464" t="n">
        <v>3251</v>
      </c>
      <c r="E1464" t="n">
        <v>0</v>
      </c>
      <c r="F1464" t="n">
        <v>3251</v>
      </c>
      <c r="G1464" t="n">
        <v>3251</v>
      </c>
    </row>
    <row r="1465">
      <c r="A1465" t="inlineStr">
        <is>
          <t>202619</t>
        </is>
      </c>
      <c r="B1465" t="inlineStr">
        <is>
          <t>Andere</t>
        </is>
      </c>
      <c r="C1465" t="inlineStr">
        <is>
          <t>FAFRANKENT</t>
        </is>
      </c>
      <c r="D1465" t="n">
        <v>3216</v>
      </c>
      <c r="E1465" t="n">
        <v>0</v>
      </c>
      <c r="F1465" t="n">
        <v>3216</v>
      </c>
      <c r="G1465" t="n">
        <v>3216</v>
      </c>
    </row>
    <row r="1466">
      <c r="A1466" t="inlineStr">
        <is>
          <t>202619</t>
        </is>
      </c>
      <c r="B1466" t="inlineStr">
        <is>
          <t>Andere</t>
        </is>
      </c>
      <c r="C1466" t="inlineStr">
        <is>
          <t>FARIVERAZVF</t>
        </is>
      </c>
      <c r="D1466" t="n">
        <v>2898</v>
      </c>
      <c r="E1466" t="n">
        <v>0</v>
      </c>
      <c r="F1466" t="n">
        <v>2898</v>
      </c>
      <c r="G1466" t="n">
        <v>2898</v>
      </c>
    </row>
    <row r="1467">
      <c r="A1467" t="inlineStr">
        <is>
          <t>202619</t>
        </is>
      </c>
      <c r="B1467" t="inlineStr">
        <is>
          <t>Andere</t>
        </is>
      </c>
      <c r="C1467" t="inlineStr">
        <is>
          <t>FAGEVERSF</t>
        </is>
      </c>
      <c r="D1467" t="n">
        <v>2688</v>
      </c>
      <c r="E1467" t="n">
        <v>0</v>
      </c>
      <c r="F1467" t="n">
        <v>2688</v>
      </c>
      <c r="G1467" t="n">
        <v>2688</v>
      </c>
    </row>
    <row r="1468">
      <c r="A1468" t="inlineStr">
        <is>
          <t>202619</t>
        </is>
      </c>
      <c r="B1468" t="inlineStr">
        <is>
          <t>Andere</t>
        </is>
      </c>
      <c r="C1468" t="inlineStr">
        <is>
          <t>FAIZAREAN</t>
        </is>
      </c>
      <c r="D1468" t="n">
        <v>2380</v>
      </c>
      <c r="E1468" t="n">
        <v>0</v>
      </c>
      <c r="F1468" t="n">
        <v>2380</v>
      </c>
      <c r="G1468" t="n">
        <v>2380</v>
      </c>
    </row>
    <row r="1469">
      <c r="A1469" t="inlineStr">
        <is>
          <t>202619</t>
        </is>
      </c>
      <c r="B1469" t="inlineStr">
        <is>
          <t>Andere</t>
        </is>
      </c>
      <c r="C1469" t="inlineStr">
        <is>
          <t>PH-03-19</t>
        </is>
      </c>
      <c r="D1469" t="n">
        <v>1536</v>
      </c>
      <c r="E1469" t="n">
        <v>0</v>
      </c>
      <c r="F1469" t="n">
        <v>1536</v>
      </c>
      <c r="G1469" t="n">
        <v>1536</v>
      </c>
    </row>
    <row r="1470">
      <c r="A1470" t="inlineStr">
        <is>
          <t>202619</t>
        </is>
      </c>
      <c r="B1470" t="inlineStr">
        <is>
          <t>Andere</t>
        </is>
      </c>
      <c r="C1470" t="inlineStr">
        <is>
          <t>GERMANY</t>
        </is>
      </c>
      <c r="D1470" t="n">
        <v>1338</v>
      </c>
      <c r="E1470" t="n">
        <v>0</v>
      </c>
      <c r="F1470" t="n">
        <v>1338</v>
      </c>
      <c r="G1470" t="n">
        <v>1338</v>
      </c>
    </row>
    <row r="1471">
      <c r="A1471" t="inlineStr">
        <is>
          <t>202619</t>
        </is>
      </c>
      <c r="B1471" t="inlineStr">
        <is>
          <t>Andere</t>
        </is>
      </c>
      <c r="C1471" t="inlineStr">
        <is>
          <t>FATRAOREDA</t>
        </is>
      </c>
      <c r="D1471" t="n">
        <v>1194</v>
      </c>
      <c r="E1471" t="n">
        <v>0</v>
      </c>
      <c r="F1471" t="n">
        <v>1194</v>
      </c>
      <c r="G1471" t="n">
        <v>1194</v>
      </c>
    </row>
    <row r="1472">
      <c r="A1472" t="inlineStr">
        <is>
          <t>202619</t>
        </is>
      </c>
      <c r="B1472" t="inlineStr">
        <is>
          <t>Andere</t>
        </is>
      </c>
      <c r="C1472" t="inlineStr">
        <is>
          <t>BULKLIQUID</t>
        </is>
      </c>
      <c r="D1472" t="n">
        <v>1111.19</v>
      </c>
      <c r="E1472" t="n">
        <v>0</v>
      </c>
      <c r="F1472" t="n">
        <v>1111.19</v>
      </c>
      <c r="G1472" t="n">
        <v>1111.19</v>
      </c>
    </row>
    <row r="1473">
      <c r="A1473" t="inlineStr">
        <is>
          <t>202619</t>
        </is>
      </c>
      <c r="B1473" t="inlineStr">
        <is>
          <t>Andere</t>
        </is>
      </c>
      <c r="C1473" t="inlineStr">
        <is>
          <t>FAMOHAMMADA</t>
        </is>
      </c>
      <c r="D1473" t="n">
        <v>1029</v>
      </c>
      <c r="E1473" t="n">
        <v>0</v>
      </c>
      <c r="F1473" t="n">
        <v>1029</v>
      </c>
      <c r="G1473" t="n">
        <v>1029</v>
      </c>
    </row>
    <row r="1474">
      <c r="A1474" t="inlineStr">
        <is>
          <t>202619</t>
        </is>
      </c>
      <c r="B1474" t="inlineStr">
        <is>
          <t>Andere</t>
        </is>
      </c>
      <c r="C1474" t="inlineStr">
        <is>
          <t>FAHANSENMA</t>
        </is>
      </c>
      <c r="D1474" t="n">
        <v>809</v>
      </c>
      <c r="E1474" t="n">
        <v>0</v>
      </c>
      <c r="F1474" t="n">
        <v>809</v>
      </c>
      <c r="G1474" t="n">
        <v>809</v>
      </c>
    </row>
    <row r="1475">
      <c r="A1475" t="inlineStr">
        <is>
          <t>202619</t>
        </is>
      </c>
      <c r="B1475" t="inlineStr">
        <is>
          <t>Andere</t>
        </is>
      </c>
      <c r="C1475" t="inlineStr">
        <is>
          <t>PH-02-01</t>
        </is>
      </c>
      <c r="D1475" t="n">
        <v>0</v>
      </c>
      <c r="E1475" t="n">
        <v>809</v>
      </c>
      <c r="F1475" t="n">
        <v>-809</v>
      </c>
      <c r="G1475" t="n">
        <v>-809</v>
      </c>
    </row>
    <row r="1476">
      <c r="A1476" t="inlineStr">
        <is>
          <t>202619</t>
        </is>
      </c>
      <c r="B1476" t="inlineStr">
        <is>
          <t>Andere</t>
        </is>
      </c>
      <c r="C1476" t="inlineStr">
        <is>
          <t>PH-03-10</t>
        </is>
      </c>
      <c r="D1476" t="n">
        <v>768</v>
      </c>
      <c r="E1476" t="n">
        <v>0</v>
      </c>
      <c r="F1476" t="n">
        <v>768</v>
      </c>
      <c r="G1476" t="n">
        <v>768</v>
      </c>
    </row>
    <row r="1477">
      <c r="A1477" t="inlineStr">
        <is>
          <t>202619</t>
        </is>
      </c>
      <c r="B1477" t="inlineStr">
        <is>
          <t>Andere</t>
        </is>
      </c>
      <c r="C1477" t="inlineStr">
        <is>
          <t>PH-03-12</t>
        </is>
      </c>
      <c r="D1477" t="n">
        <v>768</v>
      </c>
      <c r="E1477" t="n">
        <v>0</v>
      </c>
      <c r="F1477" t="n">
        <v>768</v>
      </c>
      <c r="G1477" t="n">
        <v>768</v>
      </c>
    </row>
    <row r="1478">
      <c r="A1478" t="inlineStr">
        <is>
          <t>202619</t>
        </is>
      </c>
      <c r="B1478" t="inlineStr">
        <is>
          <t>Andere</t>
        </is>
      </c>
      <c r="C1478" t="inlineStr">
        <is>
          <t>PH-03-18</t>
        </is>
      </c>
      <c r="D1478" t="n">
        <v>768</v>
      </c>
      <c r="E1478" t="n">
        <v>0</v>
      </c>
      <c r="F1478" t="n">
        <v>768</v>
      </c>
      <c r="G1478" t="n">
        <v>768</v>
      </c>
    </row>
    <row r="1479">
      <c r="A1479" t="inlineStr">
        <is>
          <t>202619</t>
        </is>
      </c>
      <c r="B1479" t="inlineStr">
        <is>
          <t>Andere</t>
        </is>
      </c>
      <c r="C1479" t="inlineStr">
        <is>
          <t>PH-03-22</t>
        </is>
      </c>
      <c r="D1479" t="n">
        <v>768</v>
      </c>
      <c r="E1479" t="n">
        <v>0</v>
      </c>
      <c r="F1479" t="n">
        <v>768</v>
      </c>
      <c r="G1479" t="n">
        <v>768</v>
      </c>
    </row>
    <row r="1480">
      <c r="A1480" t="inlineStr">
        <is>
          <t>202619</t>
        </is>
      </c>
      <c r="B1480" t="inlineStr">
        <is>
          <t>Andere</t>
        </is>
      </c>
      <c r="C1480" t="inlineStr">
        <is>
          <t>PH-03-24</t>
        </is>
      </c>
      <c r="D1480" t="n">
        <v>768</v>
      </c>
      <c r="E1480" t="n">
        <v>0</v>
      </c>
      <c r="F1480" t="n">
        <v>768</v>
      </c>
      <c r="G1480" t="n">
        <v>768</v>
      </c>
    </row>
    <row r="1481">
      <c r="A1481" t="inlineStr">
        <is>
          <t>202619</t>
        </is>
      </c>
      <c r="B1481" t="inlineStr">
        <is>
          <t>Andere</t>
        </is>
      </c>
      <c r="C1481" t="inlineStr">
        <is>
          <t>A-01-04-1</t>
        </is>
      </c>
      <c r="D1481" t="n">
        <v>540</v>
      </c>
      <c r="E1481" t="n">
        <v>0</v>
      </c>
      <c r="F1481" t="n">
        <v>540</v>
      </c>
      <c r="G1481" t="n">
        <v>540</v>
      </c>
    </row>
    <row r="1482">
      <c r="A1482" t="inlineStr">
        <is>
          <t>202619</t>
        </is>
      </c>
      <c r="B1482" t="inlineStr">
        <is>
          <t>Andere</t>
        </is>
      </c>
      <c r="C1482" t="inlineStr">
        <is>
          <t>FASAUERJ</t>
        </is>
      </c>
      <c r="D1482" t="n">
        <v>468</v>
      </c>
      <c r="E1482" t="n">
        <v>0</v>
      </c>
      <c r="F1482" t="n">
        <v>468</v>
      </c>
      <c r="G1482" t="n">
        <v>468</v>
      </c>
    </row>
    <row r="1483">
      <c r="A1483" t="inlineStr">
        <is>
          <t>202619</t>
        </is>
      </c>
      <c r="B1483" t="inlineStr">
        <is>
          <t>Andere</t>
        </is>
      </c>
      <c r="C1483" t="inlineStr">
        <is>
          <t>PH-03-15</t>
        </is>
      </c>
      <c r="D1483" t="n">
        <v>432</v>
      </c>
      <c r="E1483" t="n">
        <v>0</v>
      </c>
      <c r="F1483" t="n">
        <v>432</v>
      </c>
      <c r="G1483" t="n">
        <v>432</v>
      </c>
    </row>
    <row r="1484">
      <c r="A1484" t="inlineStr">
        <is>
          <t>202619</t>
        </is>
      </c>
      <c r="B1484" t="inlineStr">
        <is>
          <t>Andere</t>
        </is>
      </c>
      <c r="C1484" t="inlineStr">
        <is>
          <t>FALUHRSP</t>
        </is>
      </c>
      <c r="D1484" t="n">
        <v>410</v>
      </c>
      <c r="E1484" t="n">
        <v>0</v>
      </c>
      <c r="F1484" t="n">
        <v>410</v>
      </c>
      <c r="G1484" t="n">
        <v>410</v>
      </c>
    </row>
    <row r="1485">
      <c r="A1485" t="inlineStr">
        <is>
          <t>202619</t>
        </is>
      </c>
      <c r="B1485" t="inlineStr">
        <is>
          <t>Andere</t>
        </is>
      </c>
      <c r="C1485" t="inlineStr">
        <is>
          <t>A-01-10-1</t>
        </is>
      </c>
      <c r="D1485" t="n">
        <v>400</v>
      </c>
      <c r="E1485" t="n">
        <v>0</v>
      </c>
      <c r="F1485" t="n">
        <v>400</v>
      </c>
      <c r="G1485" t="n">
        <v>400</v>
      </c>
    </row>
    <row r="1486">
      <c r="A1486" t="inlineStr">
        <is>
          <t>202619</t>
        </is>
      </c>
      <c r="B1486" t="inlineStr">
        <is>
          <t>Andere</t>
        </is>
      </c>
      <c r="C1486" t="inlineStr">
        <is>
          <t>A-01-13-1</t>
        </is>
      </c>
      <c r="D1486" t="n">
        <v>400</v>
      </c>
      <c r="E1486" t="n">
        <v>0</v>
      </c>
      <c r="F1486" t="n">
        <v>400</v>
      </c>
      <c r="G1486" t="n">
        <v>400</v>
      </c>
    </row>
    <row r="1487">
      <c r="A1487" t="inlineStr">
        <is>
          <t>202619</t>
        </is>
      </c>
      <c r="B1487" t="inlineStr">
        <is>
          <t>Andere</t>
        </is>
      </c>
      <c r="C1487" t="inlineStr">
        <is>
          <t>A-01-14-1</t>
        </is>
      </c>
      <c r="D1487" t="n">
        <v>400</v>
      </c>
      <c r="E1487" t="n">
        <v>0</v>
      </c>
      <c r="F1487" t="n">
        <v>400</v>
      </c>
      <c r="G1487" t="n">
        <v>400</v>
      </c>
    </row>
    <row r="1488">
      <c r="A1488" t="inlineStr">
        <is>
          <t>202619</t>
        </is>
      </c>
      <c r="B1488" t="inlineStr">
        <is>
          <t>Andere</t>
        </is>
      </c>
      <c r="C1488" t="inlineStr">
        <is>
          <t>A-01-15-1</t>
        </is>
      </c>
      <c r="D1488" t="n">
        <v>400</v>
      </c>
      <c r="E1488" t="n">
        <v>0</v>
      </c>
      <c r="F1488" t="n">
        <v>400</v>
      </c>
      <c r="G1488" t="n">
        <v>400</v>
      </c>
    </row>
    <row r="1489">
      <c r="A1489" t="inlineStr">
        <is>
          <t>202619</t>
        </is>
      </c>
      <c r="B1489" t="inlineStr">
        <is>
          <t>Andere</t>
        </is>
      </c>
      <c r="C1489" t="inlineStr">
        <is>
          <t>A-01-16-1</t>
        </is>
      </c>
      <c r="D1489" t="n">
        <v>400</v>
      </c>
      <c r="E1489" t="n">
        <v>0</v>
      </c>
      <c r="F1489" t="n">
        <v>400</v>
      </c>
      <c r="G1489" t="n">
        <v>400</v>
      </c>
    </row>
    <row r="1490">
      <c r="A1490" t="inlineStr">
        <is>
          <t>202619</t>
        </is>
      </c>
      <c r="B1490" t="inlineStr">
        <is>
          <t>Andere</t>
        </is>
      </c>
      <c r="C1490" t="inlineStr">
        <is>
          <t>A-01-17-1</t>
        </is>
      </c>
      <c r="D1490" t="n">
        <v>400</v>
      </c>
      <c r="E1490" t="n">
        <v>0</v>
      </c>
      <c r="F1490" t="n">
        <v>400</v>
      </c>
      <c r="G1490" t="n">
        <v>400</v>
      </c>
    </row>
    <row r="1491">
      <c r="A1491" t="inlineStr">
        <is>
          <t>202619</t>
        </is>
      </c>
      <c r="B1491" t="inlineStr">
        <is>
          <t>Andere</t>
        </is>
      </c>
      <c r="C1491" t="inlineStr">
        <is>
          <t>A-01-19-1</t>
        </is>
      </c>
      <c r="D1491" t="n">
        <v>400</v>
      </c>
      <c r="E1491" t="n">
        <v>0</v>
      </c>
      <c r="F1491" t="n">
        <v>400</v>
      </c>
      <c r="G1491" t="n">
        <v>400</v>
      </c>
    </row>
    <row r="1492">
      <c r="A1492" t="inlineStr">
        <is>
          <t>202619</t>
        </is>
      </c>
      <c r="B1492" t="inlineStr">
        <is>
          <t>Andere</t>
        </is>
      </c>
      <c r="C1492" t="inlineStr">
        <is>
          <t>PH-03-05</t>
        </is>
      </c>
      <c r="D1492" t="n">
        <v>384</v>
      </c>
      <c r="E1492" t="n">
        <v>0</v>
      </c>
      <c r="F1492" t="n">
        <v>384</v>
      </c>
      <c r="G1492" t="n">
        <v>384</v>
      </c>
    </row>
    <row r="1493">
      <c r="A1493" t="inlineStr">
        <is>
          <t>202619</t>
        </is>
      </c>
      <c r="B1493" t="inlineStr">
        <is>
          <t>Andere</t>
        </is>
      </c>
      <c r="C1493" t="inlineStr">
        <is>
          <t>PH-03-06</t>
        </is>
      </c>
      <c r="D1493" t="n">
        <v>384</v>
      </c>
      <c r="E1493" t="n">
        <v>0</v>
      </c>
      <c r="F1493" t="n">
        <v>384</v>
      </c>
      <c r="G1493" t="n">
        <v>384</v>
      </c>
    </row>
    <row r="1494">
      <c r="A1494" t="inlineStr">
        <is>
          <t>202619</t>
        </is>
      </c>
      <c r="B1494" t="inlineStr">
        <is>
          <t>Andere</t>
        </is>
      </c>
      <c r="C1494" t="inlineStr">
        <is>
          <t>PH-03-20</t>
        </is>
      </c>
      <c r="D1494" t="n">
        <v>384</v>
      </c>
      <c r="E1494" t="n">
        <v>0</v>
      </c>
      <c r="F1494" t="n">
        <v>384</v>
      </c>
      <c r="G1494" t="n">
        <v>384</v>
      </c>
    </row>
    <row r="1495">
      <c r="A1495" t="inlineStr">
        <is>
          <t>202619</t>
        </is>
      </c>
      <c r="B1495" t="inlineStr">
        <is>
          <t>Andere</t>
        </is>
      </c>
      <c r="C1495" t="inlineStr">
        <is>
          <t>PH-03-23</t>
        </is>
      </c>
      <c r="D1495" t="n">
        <v>384</v>
      </c>
      <c r="E1495" t="n">
        <v>0</v>
      </c>
      <c r="F1495" t="n">
        <v>384</v>
      </c>
      <c r="G1495" t="n">
        <v>384</v>
      </c>
    </row>
    <row r="1496">
      <c r="A1496" t="inlineStr">
        <is>
          <t>202619</t>
        </is>
      </c>
      <c r="B1496" t="inlineStr">
        <is>
          <t>Andere</t>
        </is>
      </c>
      <c r="C1496" t="inlineStr">
        <is>
          <t>PRODUCTION</t>
        </is>
      </c>
      <c r="D1496" t="n">
        <v>384</v>
      </c>
      <c r="E1496" t="n">
        <v>0</v>
      </c>
      <c r="F1496" t="n">
        <v>384</v>
      </c>
      <c r="G1496" t="n">
        <v>384</v>
      </c>
    </row>
    <row r="1497">
      <c r="A1497" t="inlineStr">
        <is>
          <t>202619</t>
        </is>
      </c>
      <c r="B1497" t="inlineStr">
        <is>
          <t>Andere</t>
        </is>
      </c>
      <c r="C1497" t="inlineStr">
        <is>
          <t>A-02-71-1</t>
        </is>
      </c>
      <c r="D1497" t="n">
        <v>372</v>
      </c>
      <c r="E1497" t="n">
        <v>0</v>
      </c>
      <c r="F1497" t="n">
        <v>372</v>
      </c>
      <c r="G1497" t="n">
        <v>372</v>
      </c>
    </row>
    <row r="1498">
      <c r="A1498" t="inlineStr">
        <is>
          <t>202619</t>
        </is>
      </c>
      <c r="B1498" t="inlineStr">
        <is>
          <t>Andere</t>
        </is>
      </c>
      <c r="C1498" t="inlineStr">
        <is>
          <t>A-02-72-1</t>
        </is>
      </c>
      <c r="D1498" t="n">
        <v>372</v>
      </c>
      <c r="E1498" t="n">
        <v>0</v>
      </c>
      <c r="F1498" t="n">
        <v>372</v>
      </c>
      <c r="G1498" t="n">
        <v>372</v>
      </c>
    </row>
    <row r="1499">
      <c r="A1499" t="inlineStr">
        <is>
          <t>202619</t>
        </is>
      </c>
      <c r="B1499" t="inlineStr">
        <is>
          <t>Andere</t>
        </is>
      </c>
      <c r="C1499" t="inlineStr">
        <is>
          <t>A-02-73-1</t>
        </is>
      </c>
      <c r="D1499" t="n">
        <v>372</v>
      </c>
      <c r="E1499" t="n">
        <v>0</v>
      </c>
      <c r="F1499" t="n">
        <v>372</v>
      </c>
      <c r="G1499" t="n">
        <v>372</v>
      </c>
    </row>
    <row r="1500">
      <c r="A1500" t="inlineStr">
        <is>
          <t>202619</t>
        </is>
      </c>
      <c r="B1500" t="inlineStr">
        <is>
          <t>Andere</t>
        </is>
      </c>
      <c r="C1500" t="inlineStr">
        <is>
          <t>A-02-85-1</t>
        </is>
      </c>
      <c r="D1500" t="n">
        <v>372</v>
      </c>
      <c r="E1500" t="n">
        <v>0</v>
      </c>
      <c r="F1500" t="n">
        <v>372</v>
      </c>
      <c r="G1500" t="n">
        <v>372</v>
      </c>
    </row>
    <row r="1501">
      <c r="A1501" t="inlineStr">
        <is>
          <t>202619</t>
        </is>
      </c>
      <c r="B1501" t="inlineStr">
        <is>
          <t>Andere</t>
        </is>
      </c>
      <c r="C1501" t="inlineStr">
        <is>
          <t>A-02-86-1</t>
        </is>
      </c>
      <c r="D1501" t="n">
        <v>372</v>
      </c>
      <c r="E1501" t="n">
        <v>0</v>
      </c>
      <c r="F1501" t="n">
        <v>372</v>
      </c>
      <c r="G1501" t="n">
        <v>372</v>
      </c>
    </row>
    <row r="1502">
      <c r="A1502" t="inlineStr">
        <is>
          <t>202619</t>
        </is>
      </c>
      <c r="B1502" t="inlineStr">
        <is>
          <t>Andere</t>
        </is>
      </c>
      <c r="C1502" t="inlineStr">
        <is>
          <t>A-02-87-1</t>
        </is>
      </c>
      <c r="D1502" t="n">
        <v>558</v>
      </c>
      <c r="E1502" t="n">
        <v>186</v>
      </c>
      <c r="F1502" t="n">
        <v>372</v>
      </c>
      <c r="G1502" t="n">
        <v>372</v>
      </c>
    </row>
    <row r="1503">
      <c r="A1503" t="inlineStr">
        <is>
          <t>202619</t>
        </is>
      </c>
      <c r="B1503" t="inlineStr">
        <is>
          <t>Andere</t>
        </is>
      </c>
      <c r="C1503" t="inlineStr">
        <is>
          <t>FAMOHAMMEDA</t>
        </is>
      </c>
      <c r="D1503" t="n">
        <v>330</v>
      </c>
      <c r="E1503" t="n">
        <v>0</v>
      </c>
      <c r="F1503" t="n">
        <v>330</v>
      </c>
      <c r="G1503" t="n">
        <v>330</v>
      </c>
    </row>
    <row r="1504">
      <c r="A1504" t="inlineStr">
        <is>
          <t>202619</t>
        </is>
      </c>
      <c r="B1504" t="inlineStr">
        <is>
          <t>Andere</t>
        </is>
      </c>
      <c r="C1504" t="inlineStr">
        <is>
          <t>P-04-04-1</t>
        </is>
      </c>
      <c r="D1504" t="n">
        <v>330</v>
      </c>
      <c r="E1504" t="n">
        <v>0</v>
      </c>
      <c r="F1504" t="n">
        <v>330</v>
      </c>
      <c r="G1504" t="n">
        <v>330</v>
      </c>
    </row>
    <row r="1505">
      <c r="A1505" t="inlineStr">
        <is>
          <t>202619</t>
        </is>
      </c>
      <c r="B1505" t="inlineStr">
        <is>
          <t>Andere</t>
        </is>
      </c>
      <c r="C1505" t="inlineStr">
        <is>
          <t>A-02-74-1</t>
        </is>
      </c>
      <c r="D1505" t="n">
        <v>264</v>
      </c>
      <c r="E1505" t="n">
        <v>0</v>
      </c>
      <c r="F1505" t="n">
        <v>264</v>
      </c>
      <c r="G1505" t="n">
        <v>264</v>
      </c>
    </row>
    <row r="1506">
      <c r="A1506" t="inlineStr">
        <is>
          <t>202619</t>
        </is>
      </c>
      <c r="B1506" t="inlineStr">
        <is>
          <t>Andere</t>
        </is>
      </c>
      <c r="C1506" t="inlineStr">
        <is>
          <t>A-02-75-1</t>
        </is>
      </c>
      <c r="D1506" t="n">
        <v>264</v>
      </c>
      <c r="E1506" t="n">
        <v>0</v>
      </c>
      <c r="F1506" t="n">
        <v>264</v>
      </c>
      <c r="G1506" t="n">
        <v>264</v>
      </c>
    </row>
    <row r="1507">
      <c r="A1507" t="inlineStr">
        <is>
          <t>202619</t>
        </is>
      </c>
      <c r="B1507" t="inlineStr">
        <is>
          <t>Andere</t>
        </is>
      </c>
      <c r="C1507" t="inlineStr">
        <is>
          <t>GC-03-11-1</t>
        </is>
      </c>
      <c r="D1507" t="n">
        <v>200</v>
      </c>
      <c r="E1507" t="n">
        <v>0</v>
      </c>
      <c r="F1507" t="n">
        <v>200</v>
      </c>
      <c r="G1507" t="n">
        <v>200</v>
      </c>
    </row>
    <row r="1508">
      <c r="A1508" t="inlineStr">
        <is>
          <t>202619</t>
        </is>
      </c>
      <c r="B1508" t="inlineStr">
        <is>
          <t>Andere</t>
        </is>
      </c>
      <c r="C1508" t="inlineStr">
        <is>
          <t>GC-03-13-1</t>
        </is>
      </c>
      <c r="D1508" t="n">
        <v>200</v>
      </c>
      <c r="E1508" t="n">
        <v>0</v>
      </c>
      <c r="F1508" t="n">
        <v>200</v>
      </c>
      <c r="G1508" t="n">
        <v>200</v>
      </c>
    </row>
    <row r="1509">
      <c r="A1509" t="inlineStr">
        <is>
          <t>202619</t>
        </is>
      </c>
      <c r="B1509" t="inlineStr">
        <is>
          <t>Andere</t>
        </is>
      </c>
      <c r="C1509" t="inlineStr">
        <is>
          <t>GC-03-18-1</t>
        </is>
      </c>
      <c r="D1509" t="n">
        <v>194.81</v>
      </c>
      <c r="E1509" t="n">
        <v>0</v>
      </c>
      <c r="F1509" t="n">
        <v>194.81</v>
      </c>
      <c r="G1509" t="n">
        <v>194.81</v>
      </c>
    </row>
    <row r="1510">
      <c r="A1510" t="inlineStr">
        <is>
          <t>202619</t>
        </is>
      </c>
      <c r="B1510" t="inlineStr">
        <is>
          <t>Andere</t>
        </is>
      </c>
      <c r="C1510" t="inlineStr">
        <is>
          <t>A-02-103-1</t>
        </is>
      </c>
      <c r="D1510" t="n">
        <v>192</v>
      </c>
      <c r="E1510" t="n">
        <v>0</v>
      </c>
      <c r="F1510" t="n">
        <v>192</v>
      </c>
      <c r="G1510" t="n">
        <v>192</v>
      </c>
    </row>
    <row r="1511">
      <c r="A1511" t="inlineStr">
        <is>
          <t>202619</t>
        </is>
      </c>
      <c r="B1511" t="inlineStr">
        <is>
          <t>Andere</t>
        </is>
      </c>
      <c r="C1511" t="inlineStr">
        <is>
          <t>A-02-104-1</t>
        </is>
      </c>
      <c r="D1511" t="n">
        <v>192</v>
      </c>
      <c r="E1511" t="n">
        <v>0</v>
      </c>
      <c r="F1511" t="n">
        <v>192</v>
      </c>
      <c r="G1511" t="n">
        <v>192</v>
      </c>
    </row>
    <row r="1512">
      <c r="A1512" t="inlineStr">
        <is>
          <t>202619</t>
        </is>
      </c>
      <c r="B1512" t="inlineStr">
        <is>
          <t>Andere</t>
        </is>
      </c>
      <c r="C1512" t="inlineStr">
        <is>
          <t>A-02-98-2</t>
        </is>
      </c>
      <c r="D1512" t="n">
        <v>192</v>
      </c>
      <c r="E1512" t="n">
        <v>0</v>
      </c>
      <c r="F1512" t="n">
        <v>192</v>
      </c>
      <c r="G1512" t="n">
        <v>192</v>
      </c>
    </row>
    <row r="1513">
      <c r="A1513" t="inlineStr">
        <is>
          <t>202619</t>
        </is>
      </c>
      <c r="B1513" t="inlineStr">
        <is>
          <t>Andere</t>
        </is>
      </c>
      <c r="C1513" t="inlineStr">
        <is>
          <t>A-02-114-1</t>
        </is>
      </c>
      <c r="D1513" t="n">
        <v>186</v>
      </c>
      <c r="E1513" t="n">
        <v>0</v>
      </c>
      <c r="F1513" t="n">
        <v>186</v>
      </c>
      <c r="G1513" t="n">
        <v>186</v>
      </c>
    </row>
    <row r="1514">
      <c r="A1514" t="inlineStr">
        <is>
          <t>202619</t>
        </is>
      </c>
      <c r="B1514" t="inlineStr">
        <is>
          <t>Andere</t>
        </is>
      </c>
      <c r="C1514" t="inlineStr">
        <is>
          <t>A-01-03-1</t>
        </is>
      </c>
      <c r="D1514" t="n">
        <v>180</v>
      </c>
      <c r="E1514" t="n">
        <v>0</v>
      </c>
      <c r="F1514" t="n">
        <v>180</v>
      </c>
      <c r="G1514" t="n">
        <v>180</v>
      </c>
    </row>
    <row r="1515">
      <c r="A1515" t="inlineStr">
        <is>
          <t>202619</t>
        </is>
      </c>
      <c r="B1515" t="inlineStr">
        <is>
          <t>Andere</t>
        </is>
      </c>
      <c r="C1515" t="inlineStr">
        <is>
          <t>A-01-05-1</t>
        </is>
      </c>
      <c r="D1515" t="n">
        <v>180</v>
      </c>
      <c r="E1515" t="n">
        <v>0</v>
      </c>
      <c r="F1515" t="n">
        <v>180</v>
      </c>
      <c r="G1515" t="n">
        <v>180</v>
      </c>
    </row>
    <row r="1516">
      <c r="A1516" t="inlineStr">
        <is>
          <t>202619</t>
        </is>
      </c>
      <c r="B1516" t="inlineStr">
        <is>
          <t>Andere</t>
        </is>
      </c>
      <c r="C1516" t="inlineStr">
        <is>
          <t>A-01-06-1</t>
        </is>
      </c>
      <c r="D1516" t="n">
        <v>180</v>
      </c>
      <c r="E1516" t="n">
        <v>0</v>
      </c>
      <c r="F1516" t="n">
        <v>180</v>
      </c>
      <c r="G1516" t="n">
        <v>180</v>
      </c>
    </row>
    <row r="1517">
      <c r="A1517" t="inlineStr">
        <is>
          <t>202619</t>
        </is>
      </c>
      <c r="B1517" t="inlineStr">
        <is>
          <t>Andere</t>
        </is>
      </c>
      <c r="C1517" t="inlineStr">
        <is>
          <t>A-01-07-1</t>
        </is>
      </c>
      <c r="D1517" t="n">
        <v>180</v>
      </c>
      <c r="E1517" t="n">
        <v>0</v>
      </c>
      <c r="F1517" t="n">
        <v>180</v>
      </c>
      <c r="G1517" t="n">
        <v>180</v>
      </c>
    </row>
    <row r="1518">
      <c r="A1518" t="inlineStr">
        <is>
          <t>202619</t>
        </is>
      </c>
      <c r="B1518" t="inlineStr">
        <is>
          <t>Andere</t>
        </is>
      </c>
      <c r="C1518" t="inlineStr">
        <is>
          <t>A-01-08-1</t>
        </is>
      </c>
      <c r="D1518" t="n">
        <v>0</v>
      </c>
      <c r="E1518" t="n">
        <v>180</v>
      </c>
      <c r="F1518" t="n">
        <v>-180</v>
      </c>
      <c r="G1518" t="n">
        <v>-180</v>
      </c>
    </row>
    <row r="1519">
      <c r="A1519" t="inlineStr">
        <is>
          <t>202619</t>
        </is>
      </c>
      <c r="B1519" t="inlineStr">
        <is>
          <t>Andere</t>
        </is>
      </c>
      <c r="C1519" t="inlineStr">
        <is>
          <t>GC-03-19-1</t>
        </is>
      </c>
      <c r="D1519" t="n">
        <v>135</v>
      </c>
      <c r="E1519" t="n">
        <v>0</v>
      </c>
      <c r="F1519" t="n">
        <v>135</v>
      </c>
      <c r="G1519" t="n">
        <v>135</v>
      </c>
    </row>
    <row r="1520">
      <c r="A1520" t="inlineStr">
        <is>
          <t>202619</t>
        </is>
      </c>
      <c r="B1520" t="inlineStr">
        <is>
          <t>Andere</t>
        </is>
      </c>
      <c r="C1520" t="inlineStr">
        <is>
          <t>SPI-WINDOW</t>
        </is>
      </c>
      <c r="D1520" t="n">
        <v>131.5</v>
      </c>
      <c r="E1520" t="n">
        <v>0</v>
      </c>
      <c r="F1520" t="n">
        <v>131.5</v>
      </c>
      <c r="G1520" t="n">
        <v>131.5</v>
      </c>
    </row>
    <row r="1521">
      <c r="A1521" t="inlineStr">
        <is>
          <t>202619</t>
        </is>
      </c>
      <c r="B1521" t="inlineStr">
        <is>
          <t>Andere</t>
        </is>
      </c>
      <c r="C1521" t="inlineStr">
        <is>
          <t>GC-02-23-1</t>
        </is>
      </c>
      <c r="D1521" t="n">
        <v>100</v>
      </c>
      <c r="E1521" t="n">
        <v>0</v>
      </c>
      <c r="F1521" t="n">
        <v>100</v>
      </c>
      <c r="G1521" t="n">
        <v>100</v>
      </c>
    </row>
    <row r="1522">
      <c r="A1522" t="inlineStr">
        <is>
          <t>202619</t>
        </is>
      </c>
      <c r="B1522" t="inlineStr">
        <is>
          <t>Andere</t>
        </is>
      </c>
      <c r="C1522" t="inlineStr">
        <is>
          <t>A-02-100-2</t>
        </is>
      </c>
      <c r="D1522" t="n">
        <v>96</v>
      </c>
      <c r="E1522" t="n">
        <v>0</v>
      </c>
      <c r="F1522" t="n">
        <v>96</v>
      </c>
      <c r="G1522" t="n">
        <v>96</v>
      </c>
    </row>
    <row r="1523">
      <c r="A1523" t="inlineStr">
        <is>
          <t>202619</t>
        </is>
      </c>
      <c r="B1523" t="inlineStr">
        <is>
          <t>Andere</t>
        </is>
      </c>
      <c r="C1523" t="inlineStr">
        <is>
          <t>A-02-108-1</t>
        </is>
      </c>
      <c r="D1523" t="n">
        <v>96</v>
      </c>
      <c r="E1523" t="n">
        <v>0</v>
      </c>
      <c r="F1523" t="n">
        <v>96</v>
      </c>
      <c r="G1523" t="n">
        <v>96</v>
      </c>
    </row>
    <row r="1524">
      <c r="A1524" t="inlineStr">
        <is>
          <t>202619</t>
        </is>
      </c>
      <c r="B1524" t="inlineStr">
        <is>
          <t>Andere</t>
        </is>
      </c>
      <c r="C1524" t="inlineStr">
        <is>
          <t>GC-02-18-1</t>
        </is>
      </c>
      <c r="D1524" t="n">
        <v>80</v>
      </c>
      <c r="E1524" t="n">
        <v>0</v>
      </c>
      <c r="F1524" t="n">
        <v>80</v>
      </c>
      <c r="G1524" t="n">
        <v>80</v>
      </c>
    </row>
    <row r="1525">
      <c r="A1525" t="inlineStr">
        <is>
          <t>202619</t>
        </is>
      </c>
      <c r="B1525" t="inlineStr">
        <is>
          <t>Andere</t>
        </is>
      </c>
      <c r="C1525" t="inlineStr">
        <is>
          <t>FARIVERAZ</t>
        </is>
      </c>
      <c r="D1525" t="n">
        <v>64</v>
      </c>
      <c r="E1525" t="n">
        <v>0</v>
      </c>
      <c r="F1525" t="n">
        <v>64</v>
      </c>
      <c r="G1525" t="n">
        <v>64</v>
      </c>
    </row>
    <row r="1526">
      <c r="A1526" t="inlineStr">
        <is>
          <t>202619</t>
        </is>
      </c>
      <c r="B1526" t="inlineStr">
        <is>
          <t>Andere</t>
        </is>
      </c>
      <c r="C1526" t="inlineStr">
        <is>
          <t>GC-03-20-1</t>
        </is>
      </c>
      <c r="D1526" t="n">
        <v>52.98</v>
      </c>
      <c r="E1526" t="n">
        <v>0</v>
      </c>
      <c r="F1526" t="n">
        <v>52.98</v>
      </c>
      <c r="G1526" t="n">
        <v>52.98</v>
      </c>
    </row>
    <row r="1527">
      <c r="A1527" t="inlineStr">
        <is>
          <t>202619</t>
        </is>
      </c>
      <c r="B1527" t="inlineStr">
        <is>
          <t>Andere</t>
        </is>
      </c>
      <c r="C1527" t="inlineStr">
        <is>
          <t>FADKLOMP</t>
        </is>
      </c>
      <c r="D1527" t="n">
        <v>31</v>
      </c>
      <c r="E1527" t="n">
        <v>0</v>
      </c>
      <c r="F1527" t="n">
        <v>31</v>
      </c>
      <c r="G1527" t="n">
        <v>31</v>
      </c>
    </row>
    <row r="1528">
      <c r="A1528" t="inlineStr">
        <is>
          <t>202619</t>
        </is>
      </c>
      <c r="B1528" t="inlineStr">
        <is>
          <t>Andere</t>
        </is>
      </c>
      <c r="C1528" t="inlineStr">
        <is>
          <t>D-06-47-2</t>
        </is>
      </c>
      <c r="D1528" t="n">
        <v>30</v>
      </c>
      <c r="E1528" t="n">
        <v>0</v>
      </c>
      <c r="F1528" t="n">
        <v>30</v>
      </c>
      <c r="G1528" t="n">
        <v>30</v>
      </c>
    </row>
    <row r="1529">
      <c r="A1529" t="inlineStr">
        <is>
          <t>202619</t>
        </is>
      </c>
      <c r="B1529" t="inlineStr">
        <is>
          <t>Andere</t>
        </is>
      </c>
      <c r="C1529" t="inlineStr">
        <is>
          <t>GC-02-01-1</t>
        </is>
      </c>
      <c r="D1529" t="n">
        <v>30</v>
      </c>
      <c r="E1529" t="n">
        <v>0</v>
      </c>
      <c r="F1529" t="n">
        <v>30</v>
      </c>
      <c r="G1529" t="n">
        <v>30</v>
      </c>
    </row>
    <row r="1530">
      <c r="A1530" t="inlineStr">
        <is>
          <t>202619</t>
        </is>
      </c>
      <c r="B1530" t="inlineStr">
        <is>
          <t>Andere</t>
        </is>
      </c>
      <c r="C1530" t="inlineStr">
        <is>
          <t>D-06-16-1</t>
        </is>
      </c>
      <c r="D1530" t="n">
        <v>20</v>
      </c>
      <c r="E1530" t="n">
        <v>0</v>
      </c>
      <c r="F1530" t="n">
        <v>20</v>
      </c>
      <c r="G1530" t="n">
        <v>20</v>
      </c>
    </row>
    <row r="1531">
      <c r="A1531" t="inlineStr">
        <is>
          <t>202619</t>
        </is>
      </c>
      <c r="B1531" t="inlineStr">
        <is>
          <t>Andere</t>
        </is>
      </c>
      <c r="C1531" t="inlineStr">
        <is>
          <t>D-06-48-3</t>
        </is>
      </c>
      <c r="D1531" t="n">
        <v>20</v>
      </c>
      <c r="E1531" t="n">
        <v>0</v>
      </c>
      <c r="F1531" t="n">
        <v>20</v>
      </c>
      <c r="G1531" t="n">
        <v>20</v>
      </c>
    </row>
    <row r="1532">
      <c r="A1532" t="inlineStr">
        <is>
          <t>202619</t>
        </is>
      </c>
      <c r="B1532" t="inlineStr">
        <is>
          <t>Andere</t>
        </is>
      </c>
      <c r="C1532" t="inlineStr">
        <is>
          <t>GC-02-19-1</t>
        </is>
      </c>
      <c r="D1532" t="n">
        <v>20</v>
      </c>
      <c r="E1532" t="n">
        <v>0</v>
      </c>
      <c r="F1532" t="n">
        <v>20</v>
      </c>
      <c r="G1532" t="n">
        <v>20</v>
      </c>
    </row>
    <row r="1533">
      <c r="A1533" t="inlineStr">
        <is>
          <t>202619</t>
        </is>
      </c>
      <c r="B1533" t="inlineStr">
        <is>
          <t>Andere</t>
        </is>
      </c>
      <c r="C1533" t="inlineStr">
        <is>
          <t>D-06-04-2</t>
        </is>
      </c>
      <c r="D1533" t="n">
        <v>10</v>
      </c>
      <c r="E1533" t="n">
        <v>0</v>
      </c>
      <c r="F1533" t="n">
        <v>10</v>
      </c>
      <c r="G1533" t="n">
        <v>10</v>
      </c>
    </row>
    <row r="1534">
      <c r="A1534" t="inlineStr">
        <is>
          <t>202619</t>
        </is>
      </c>
      <c r="B1534" t="inlineStr">
        <is>
          <t>Andere</t>
        </is>
      </c>
      <c r="C1534" t="inlineStr">
        <is>
          <t>D-06-37-3</t>
        </is>
      </c>
      <c r="D1534" t="n">
        <v>10</v>
      </c>
      <c r="E1534" t="n">
        <v>0</v>
      </c>
      <c r="F1534" t="n">
        <v>10</v>
      </c>
      <c r="G1534" t="n">
        <v>10</v>
      </c>
    </row>
    <row r="1535">
      <c r="A1535" t="inlineStr">
        <is>
          <t>202619</t>
        </is>
      </c>
      <c r="B1535" t="inlineStr">
        <is>
          <t>Andere</t>
        </is>
      </c>
      <c r="C1535" t="inlineStr">
        <is>
          <t>D-06-40-2</t>
        </is>
      </c>
      <c r="D1535" t="n">
        <v>10</v>
      </c>
      <c r="E1535" t="n">
        <v>0</v>
      </c>
      <c r="F1535" t="n">
        <v>10</v>
      </c>
      <c r="G1535" t="n">
        <v>10</v>
      </c>
    </row>
    <row r="1536">
      <c r="A1536" t="inlineStr">
        <is>
          <t>202619</t>
        </is>
      </c>
      <c r="B1536" t="inlineStr">
        <is>
          <t>Andere</t>
        </is>
      </c>
      <c r="C1536" t="inlineStr">
        <is>
          <t>D-06-42-3</t>
        </is>
      </c>
      <c r="D1536" t="n">
        <v>10</v>
      </c>
      <c r="E1536" t="n">
        <v>0</v>
      </c>
      <c r="F1536" t="n">
        <v>10</v>
      </c>
      <c r="G1536" t="n">
        <v>10</v>
      </c>
    </row>
    <row r="1537">
      <c r="A1537" t="inlineStr">
        <is>
          <t>202619</t>
        </is>
      </c>
      <c r="B1537" t="inlineStr">
        <is>
          <t>Andere</t>
        </is>
      </c>
      <c r="C1537" t="inlineStr">
        <is>
          <t>D-06-48-2</t>
        </is>
      </c>
      <c r="D1537" t="n">
        <v>10</v>
      </c>
      <c r="E1537" t="n">
        <v>0</v>
      </c>
      <c r="F1537" t="n">
        <v>10</v>
      </c>
      <c r="G1537" t="n">
        <v>10</v>
      </c>
    </row>
    <row r="1538">
      <c r="A1538" t="inlineStr">
        <is>
          <t>202619</t>
        </is>
      </c>
      <c r="B1538" t="inlineStr">
        <is>
          <t>Andere</t>
        </is>
      </c>
      <c r="C1538" t="inlineStr">
        <is>
          <t>FAMATIKT</t>
        </is>
      </c>
      <c r="D1538" t="n">
        <v>10</v>
      </c>
      <c r="E1538" t="n">
        <v>0</v>
      </c>
      <c r="F1538" t="n">
        <v>10</v>
      </c>
      <c r="G1538" t="n">
        <v>10</v>
      </c>
    </row>
    <row r="1539">
      <c r="A1539" t="inlineStr">
        <is>
          <t>202619</t>
        </is>
      </c>
      <c r="B1539" t="inlineStr">
        <is>
          <t>Andere</t>
        </is>
      </c>
      <c r="C1539" t="inlineStr">
        <is>
          <t>D-06-15-2</t>
        </is>
      </c>
      <c r="D1539" t="n">
        <v>9</v>
      </c>
      <c r="E1539" t="n">
        <v>0</v>
      </c>
      <c r="F1539" t="n">
        <v>9</v>
      </c>
      <c r="G1539" t="n">
        <v>9</v>
      </c>
    </row>
    <row r="1540">
      <c r="A1540" t="inlineStr">
        <is>
          <t>202619</t>
        </is>
      </c>
      <c r="B1540" t="inlineStr">
        <is>
          <t>Andere</t>
        </is>
      </c>
      <c r="C1540" t="inlineStr">
        <is>
          <t>FADIKELISA</t>
        </is>
      </c>
      <c r="D1540" t="n">
        <v>9</v>
      </c>
      <c r="E1540" t="n">
        <v>0</v>
      </c>
      <c r="F1540" t="n">
        <v>9</v>
      </c>
      <c r="G1540" t="n">
        <v>9</v>
      </c>
    </row>
    <row r="1541">
      <c r="A1541" t="inlineStr">
        <is>
          <t>202619</t>
        </is>
      </c>
      <c r="B1541" t="inlineStr">
        <is>
          <t>Andere</t>
        </is>
      </c>
      <c r="C1541" t="inlineStr">
        <is>
          <t>FH-01-01</t>
        </is>
      </c>
      <c r="D1541" t="n">
        <v>0</v>
      </c>
      <c r="E1541" t="n">
        <v>9</v>
      </c>
      <c r="F1541" t="n">
        <v>-9</v>
      </c>
      <c r="G1541" t="n">
        <v>-9</v>
      </c>
    </row>
    <row r="1542">
      <c r="A1542" t="inlineStr">
        <is>
          <t>202619</t>
        </is>
      </c>
      <c r="B1542" t="inlineStr">
        <is>
          <t>Andere</t>
        </is>
      </c>
      <c r="C1542" t="inlineStr">
        <is>
          <t>D-06-14-1</t>
        </is>
      </c>
      <c r="D1542" t="n">
        <v>2.5</v>
      </c>
      <c r="E1542" t="n">
        <v>0</v>
      </c>
      <c r="F1542" t="n">
        <v>2.5</v>
      </c>
      <c r="G1542" t="n">
        <v>2.5</v>
      </c>
    </row>
    <row r="1543">
      <c r="A1543" t="inlineStr">
        <is>
          <t>202619</t>
        </is>
      </c>
      <c r="B1543" t="inlineStr">
        <is>
          <t>Andere</t>
        </is>
      </c>
      <c r="C1543" t="inlineStr">
        <is>
          <t>PLSTG-01</t>
        </is>
      </c>
      <c r="D1543" t="n">
        <v>0.03</v>
      </c>
      <c r="E1543" t="n">
        <v>0</v>
      </c>
      <c r="F1543" t="n">
        <v>0.03</v>
      </c>
      <c r="G1543" t="n">
        <v>0.03</v>
      </c>
    </row>
    <row r="1544">
      <c r="A1544" t="inlineStr">
        <is>
          <t>202619</t>
        </is>
      </c>
      <c r="B1544" t="inlineStr">
        <is>
          <t>Andere</t>
        </is>
      </c>
      <c r="C1544" t="inlineStr">
        <is>
          <t>SP-02-03-3</t>
        </is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202619</t>
        </is>
      </c>
      <c r="B1545" t="inlineStr">
        <is>
          <t>Andere</t>
        </is>
      </c>
      <c r="C1545" t="inlineStr">
        <is>
          <t>SP-01-01-1</t>
        </is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202619</t>
        </is>
      </c>
      <c r="B1546" t="inlineStr">
        <is>
          <t>Andere</t>
        </is>
      </c>
      <c r="C1546" t="inlineStr">
        <is>
          <t>PLSTG-02</t>
        </is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202619</t>
        </is>
      </c>
      <c r="B1547" t="inlineStr">
        <is>
          <t>Andere</t>
        </is>
      </c>
      <c r="C1547" t="inlineStr">
        <is>
          <t>PLSTG-03</t>
        </is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202619</t>
        </is>
      </c>
      <c r="B1548" t="inlineStr">
        <is>
          <t>Andere</t>
        </is>
      </c>
      <c r="C1548" t="inlineStr">
        <is>
          <t>SP-01-01-2</t>
        </is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202619</t>
        </is>
      </c>
      <c r="B1549" t="inlineStr">
        <is>
          <t>Andere</t>
        </is>
      </c>
      <c r="C1549" t="inlineStr">
        <is>
          <t>SP-01-02-3</t>
        </is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202619</t>
        </is>
      </c>
      <c r="B1550" t="inlineStr">
        <is>
          <t>Andere</t>
        </is>
      </c>
      <c r="C1550" t="inlineStr">
        <is>
          <t>SP-01-06-1</t>
        </is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202619</t>
        </is>
      </c>
      <c r="B1551" t="inlineStr">
        <is>
          <t>Andere</t>
        </is>
      </c>
      <c r="C1551" t="inlineStr">
        <is>
          <t>SP-02-01-3</t>
        </is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202619</t>
        </is>
      </c>
      <c r="B1552" t="inlineStr">
        <is>
          <t>Andere</t>
        </is>
      </c>
      <c r="C1552" t="inlineStr">
        <is>
          <t>SP-02-02-2</t>
        </is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202619</t>
        </is>
      </c>
      <c r="B1553" t="inlineStr">
        <is>
          <t>Andere</t>
        </is>
      </c>
      <c r="C1553" t="inlineStr">
        <is>
          <t>SP-02-04-2</t>
        </is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202619</t>
        </is>
      </c>
      <c r="B1554" t="inlineStr">
        <is>
          <t>Andere</t>
        </is>
      </c>
      <c r="C1554" t="inlineStr">
        <is>
          <t>SP-02-06-2</t>
        </is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202619</t>
        </is>
      </c>
      <c r="B1555" t="inlineStr">
        <is>
          <t>Andere</t>
        </is>
      </c>
      <c r="C1555" t="inlineStr">
        <is>
          <t>SP-02-06-3</t>
        </is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202619</t>
        </is>
      </c>
      <c r="B1556" t="inlineStr">
        <is>
          <t>Andere</t>
        </is>
      </c>
      <c r="C1556" t="inlineStr">
        <is>
          <t>A-01-02-2</t>
        </is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202619</t>
        </is>
      </c>
      <c r="B1557" t="inlineStr">
        <is>
          <t>Andere</t>
        </is>
      </c>
      <c r="C1557" t="inlineStr">
        <is>
          <t>A-01-03-2</t>
        </is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202619</t>
        </is>
      </c>
      <c r="B1558" t="inlineStr">
        <is>
          <t>Andere</t>
        </is>
      </c>
      <c r="C1558" t="inlineStr">
        <is>
          <t>A-01-09-1</t>
        </is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202619</t>
        </is>
      </c>
      <c r="B1559" t="inlineStr">
        <is>
          <t>Andere</t>
        </is>
      </c>
      <c r="C1559" t="inlineStr">
        <is>
          <t>A-01-11-1</t>
        </is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202619</t>
        </is>
      </c>
      <c r="B1560" t="inlineStr">
        <is>
          <t>Andere</t>
        </is>
      </c>
      <c r="C1560" t="inlineStr">
        <is>
          <t>A-01-14-2</t>
        </is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202619</t>
        </is>
      </c>
      <c r="B1561" t="inlineStr">
        <is>
          <t>Andere</t>
        </is>
      </c>
      <c r="C1561" t="inlineStr">
        <is>
          <t>A-01-20-1</t>
        </is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202619</t>
        </is>
      </c>
      <c r="B1562" t="inlineStr">
        <is>
          <t>Andere</t>
        </is>
      </c>
      <c r="C1562" t="inlineStr">
        <is>
          <t>A-01-21-1</t>
        </is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202619</t>
        </is>
      </c>
      <c r="B1563" t="inlineStr">
        <is>
          <t>Andere</t>
        </is>
      </c>
      <c r="C1563" t="inlineStr">
        <is>
          <t>A-01-22-1</t>
        </is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202619</t>
        </is>
      </c>
      <c r="B1564" t="inlineStr">
        <is>
          <t>Andere</t>
        </is>
      </c>
      <c r="C1564" t="inlineStr">
        <is>
          <t>A-01-23-1</t>
        </is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202619</t>
        </is>
      </c>
      <c r="B1565" t="inlineStr">
        <is>
          <t>Andere</t>
        </is>
      </c>
      <c r="C1565" t="inlineStr">
        <is>
          <t>A-01-24-1</t>
        </is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202619</t>
        </is>
      </c>
      <c r="B1566" t="inlineStr">
        <is>
          <t>Andere</t>
        </is>
      </c>
      <c r="C1566" t="inlineStr">
        <is>
          <t>A-01-25-1</t>
        </is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202619</t>
        </is>
      </c>
      <c r="B1567" t="inlineStr">
        <is>
          <t>Andere</t>
        </is>
      </c>
      <c r="C1567" t="inlineStr">
        <is>
          <t>A-01-26-1</t>
        </is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202619</t>
        </is>
      </c>
      <c r="B1568" t="inlineStr">
        <is>
          <t>Andere</t>
        </is>
      </c>
      <c r="C1568" t="inlineStr">
        <is>
          <t>A-01-27-1</t>
        </is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202619</t>
        </is>
      </c>
      <c r="B1569" t="inlineStr">
        <is>
          <t>Andere</t>
        </is>
      </c>
      <c r="C1569" t="inlineStr">
        <is>
          <t>A-01-28-1</t>
        </is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202619</t>
        </is>
      </c>
      <c r="B1570" t="inlineStr">
        <is>
          <t>Andere</t>
        </is>
      </c>
      <c r="C1570" t="inlineStr">
        <is>
          <t>A-01-29-1</t>
        </is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202619</t>
        </is>
      </c>
      <c r="B1571" t="inlineStr">
        <is>
          <t>Andere</t>
        </is>
      </c>
      <c r="C1571" t="inlineStr">
        <is>
          <t>A-01-34-1</t>
        </is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202619</t>
        </is>
      </c>
      <c r="B1572" t="inlineStr">
        <is>
          <t>Andere</t>
        </is>
      </c>
      <c r="C1572" t="inlineStr">
        <is>
          <t>A-01-35-1</t>
        </is>
      </c>
      <c r="D1572" t="n">
        <v>400</v>
      </c>
      <c r="E1572" t="n">
        <v>400</v>
      </c>
      <c r="F1572" t="n">
        <v>0</v>
      </c>
      <c r="G1572" t="n">
        <v>0</v>
      </c>
    </row>
    <row r="1573">
      <c r="A1573" t="inlineStr">
        <is>
          <t>202619</t>
        </is>
      </c>
      <c r="B1573" t="inlineStr">
        <is>
          <t>Andere</t>
        </is>
      </c>
      <c r="C1573" t="inlineStr">
        <is>
          <t>A-01-36-1</t>
        </is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202619</t>
        </is>
      </c>
      <c r="B1574" t="inlineStr">
        <is>
          <t>Andere</t>
        </is>
      </c>
      <c r="C1574" t="inlineStr">
        <is>
          <t>A-01-37-1</t>
        </is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202619</t>
        </is>
      </c>
      <c r="B1575" t="inlineStr">
        <is>
          <t>Andere</t>
        </is>
      </c>
      <c r="C1575" t="inlineStr">
        <is>
          <t>A-01-38-1</t>
        </is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202619</t>
        </is>
      </c>
      <c r="B1576" t="inlineStr">
        <is>
          <t>Andere</t>
        </is>
      </c>
      <c r="C1576" t="inlineStr">
        <is>
          <t>A-01-39-1</t>
        </is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202619</t>
        </is>
      </c>
      <c r="B1577" t="inlineStr">
        <is>
          <t>Andere</t>
        </is>
      </c>
      <c r="C1577" t="inlineStr">
        <is>
          <t>FH-01-04</t>
        </is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202619</t>
        </is>
      </c>
      <c r="B1578" t="inlineStr">
        <is>
          <t>Andere</t>
        </is>
      </c>
      <c r="C1578" t="inlineStr">
        <is>
          <t>GC-02-04-2</t>
        </is>
      </c>
      <c r="D1578" t="n">
        <v>9</v>
      </c>
      <c r="E1578" t="n">
        <v>9</v>
      </c>
      <c r="F1578" t="n">
        <v>0</v>
      </c>
      <c r="G1578" t="n">
        <v>0</v>
      </c>
    </row>
    <row r="1579">
      <c r="A1579" t="inlineStr">
        <is>
          <t>202619</t>
        </is>
      </c>
      <c r="B1579" t="inlineStr">
        <is>
          <t>Fulfillment</t>
        </is>
      </c>
      <c r="C1579" t="inlineStr">
        <is>
          <t>PLH-02-15</t>
        </is>
      </c>
      <c r="D1579" t="n">
        <v>236009</v>
      </c>
      <c r="E1579" t="n">
        <v>118000</v>
      </c>
      <c r="F1579" t="n">
        <v>118009</v>
      </c>
      <c r="G1579" t="n">
        <v>118009</v>
      </c>
    </row>
    <row r="1580">
      <c r="A1580" t="inlineStr">
        <is>
          <t>202619</t>
        </is>
      </c>
      <c r="B1580" t="inlineStr">
        <is>
          <t>Fulfillment</t>
        </is>
      </c>
      <c r="C1580" t="inlineStr">
        <is>
          <t>PLH-02-16</t>
        </is>
      </c>
      <c r="D1580" t="n">
        <v>120185</v>
      </c>
      <c r="E1580" t="n">
        <v>60097</v>
      </c>
      <c r="F1580" t="n">
        <v>60088</v>
      </c>
      <c r="G1580" t="n">
        <v>60088</v>
      </c>
    </row>
    <row r="1581">
      <c r="A1581" t="inlineStr">
        <is>
          <t>202619</t>
        </is>
      </c>
      <c r="B1581" t="inlineStr">
        <is>
          <t>Fulfillment</t>
        </is>
      </c>
      <c r="C1581" t="inlineStr">
        <is>
          <t>VF-LINE-02</t>
        </is>
      </c>
      <c r="D1581" t="n">
        <v>6146</v>
      </c>
      <c r="E1581" t="n">
        <v>0</v>
      </c>
      <c r="F1581" t="n">
        <v>6146</v>
      </c>
      <c r="G1581" t="n">
        <v>6146</v>
      </c>
    </row>
    <row r="1582">
      <c r="A1582" t="inlineStr">
        <is>
          <t>202619</t>
        </is>
      </c>
      <c r="B1582" t="inlineStr">
        <is>
          <t>Fulfillment</t>
        </is>
      </c>
      <c r="C1582" t="inlineStr">
        <is>
          <t>PLH-02-07</t>
        </is>
      </c>
      <c r="D1582" t="n">
        <v>31700</v>
      </c>
      <c r="E1582" t="n">
        <v>31132</v>
      </c>
      <c r="F1582" t="n">
        <v>568</v>
      </c>
      <c r="G1582" t="n">
        <v>568</v>
      </c>
    </row>
    <row r="1583">
      <c r="A1583" t="inlineStr">
        <is>
          <t>202619</t>
        </is>
      </c>
      <c r="B1583" t="inlineStr">
        <is>
          <t>Fulfillment</t>
        </is>
      </c>
      <c r="C1583" t="inlineStr">
        <is>
          <t>VF-LINE-01</t>
        </is>
      </c>
      <c r="D1583" t="n">
        <v>290</v>
      </c>
      <c r="E1583" t="n">
        <v>0</v>
      </c>
      <c r="F1583" t="n">
        <v>290</v>
      </c>
      <c r="G1583" t="n">
        <v>290</v>
      </c>
    </row>
    <row r="1584">
      <c r="A1584" t="inlineStr">
        <is>
          <t>202619</t>
        </is>
      </c>
      <c r="B1584" t="inlineStr">
        <is>
          <t>Fulfillment</t>
        </is>
      </c>
      <c r="C1584" t="inlineStr">
        <is>
          <t>PLH-04-03</t>
        </is>
      </c>
      <c r="D1584" t="n">
        <v>269</v>
      </c>
      <c r="E1584" t="n">
        <v>0</v>
      </c>
      <c r="F1584" t="n">
        <v>269</v>
      </c>
      <c r="G1584" t="n">
        <v>269</v>
      </c>
    </row>
    <row r="1585">
      <c r="A1585" t="inlineStr">
        <is>
          <t>202619</t>
        </is>
      </c>
      <c r="B1585" t="inlineStr">
        <is>
          <t>Fulfillment</t>
        </is>
      </c>
      <c r="C1585" t="inlineStr">
        <is>
          <t>PLH-02-02</t>
        </is>
      </c>
      <c r="D1585" t="n">
        <v>455</v>
      </c>
      <c r="E1585" t="n">
        <v>240</v>
      </c>
      <c r="F1585" t="n">
        <v>215</v>
      </c>
      <c r="G1585" t="n">
        <v>215</v>
      </c>
    </row>
    <row r="1586">
      <c r="A1586" t="inlineStr">
        <is>
          <t>202619</t>
        </is>
      </c>
      <c r="B1586" t="inlineStr">
        <is>
          <t>Fulfillment</t>
        </is>
      </c>
      <c r="C1586" t="inlineStr">
        <is>
          <t>PLH-04-02</t>
        </is>
      </c>
      <c r="D1586" t="n">
        <v>210</v>
      </c>
      <c r="E1586" t="n">
        <v>0</v>
      </c>
      <c r="F1586" t="n">
        <v>210</v>
      </c>
      <c r="G1586" t="n">
        <v>210</v>
      </c>
    </row>
    <row r="1587">
      <c r="A1587" t="inlineStr">
        <is>
          <t>202619</t>
        </is>
      </c>
      <c r="B1587" t="inlineStr">
        <is>
          <t>Fulfillment</t>
        </is>
      </c>
      <c r="C1587" t="inlineStr">
        <is>
          <t>PLH-02-01</t>
        </is>
      </c>
      <c r="D1587" t="n">
        <v>398</v>
      </c>
      <c r="E1587" t="n">
        <v>226</v>
      </c>
      <c r="F1587" t="n">
        <v>172</v>
      </c>
      <c r="G1587" t="n">
        <v>172</v>
      </c>
    </row>
    <row r="1588">
      <c r="A1588" t="inlineStr">
        <is>
          <t>202619</t>
        </is>
      </c>
      <c r="B1588" t="inlineStr">
        <is>
          <t>Fulfillment</t>
        </is>
      </c>
      <c r="C1588" t="inlineStr">
        <is>
          <t>PLH-04-09</t>
        </is>
      </c>
      <c r="D1588" t="n">
        <v>291</v>
      </c>
      <c r="E1588" t="n">
        <v>141</v>
      </c>
      <c r="F1588" t="n">
        <v>150</v>
      </c>
      <c r="G1588" t="n">
        <v>150</v>
      </c>
    </row>
    <row r="1589">
      <c r="A1589" t="inlineStr">
        <is>
          <t>202619</t>
        </is>
      </c>
      <c r="B1589" t="inlineStr">
        <is>
          <t>Fulfillment</t>
        </is>
      </c>
      <c r="C1589" t="inlineStr">
        <is>
          <t>PLH-01-09</t>
        </is>
      </c>
      <c r="D1589" t="n">
        <v>126</v>
      </c>
      <c r="E1589" t="n">
        <v>0</v>
      </c>
      <c r="F1589" t="n">
        <v>126</v>
      </c>
      <c r="G1589" t="n">
        <v>126</v>
      </c>
    </row>
    <row r="1590">
      <c r="A1590" t="inlineStr">
        <is>
          <t>202619</t>
        </is>
      </c>
      <c r="B1590" t="inlineStr">
        <is>
          <t>Fulfillment</t>
        </is>
      </c>
      <c r="C1590" t="inlineStr">
        <is>
          <t>PLH-03-01</t>
        </is>
      </c>
      <c r="D1590" t="n">
        <v>253</v>
      </c>
      <c r="E1590" t="n">
        <v>133</v>
      </c>
      <c r="F1590" t="n">
        <v>120</v>
      </c>
      <c r="G1590" t="n">
        <v>120</v>
      </c>
    </row>
    <row r="1591">
      <c r="A1591" t="inlineStr">
        <is>
          <t>202619</t>
        </is>
      </c>
      <c r="B1591" t="inlineStr">
        <is>
          <t>Fulfillment</t>
        </is>
      </c>
      <c r="C1591" t="inlineStr">
        <is>
          <t>PLH-02-13</t>
        </is>
      </c>
      <c r="D1591" t="n">
        <v>141</v>
      </c>
      <c r="E1591" t="n">
        <v>23</v>
      </c>
      <c r="F1591" t="n">
        <v>118</v>
      </c>
      <c r="G1591" t="n">
        <v>118</v>
      </c>
    </row>
    <row r="1592">
      <c r="A1592" t="inlineStr">
        <is>
          <t>202619</t>
        </is>
      </c>
      <c r="B1592" t="inlineStr">
        <is>
          <t>Fulfillment</t>
        </is>
      </c>
      <c r="C1592" t="inlineStr">
        <is>
          <t>PLH-01-11</t>
        </is>
      </c>
      <c r="D1592" t="n">
        <v>95</v>
      </c>
      <c r="E1592" t="n">
        <v>0</v>
      </c>
      <c r="F1592" t="n">
        <v>95</v>
      </c>
      <c r="G1592" t="n">
        <v>95</v>
      </c>
    </row>
    <row r="1593">
      <c r="A1593" t="inlineStr">
        <is>
          <t>202619</t>
        </is>
      </c>
      <c r="B1593" t="inlineStr">
        <is>
          <t>Fulfillment</t>
        </is>
      </c>
      <c r="C1593" t="inlineStr">
        <is>
          <t>PLH-01-13</t>
        </is>
      </c>
      <c r="D1593" t="n">
        <v>209</v>
      </c>
      <c r="E1593" t="n">
        <v>115</v>
      </c>
      <c r="F1593" t="n">
        <v>94</v>
      </c>
      <c r="G1593" t="n">
        <v>94</v>
      </c>
    </row>
    <row r="1594">
      <c r="A1594" t="inlineStr">
        <is>
          <t>202619</t>
        </is>
      </c>
      <c r="B1594" t="inlineStr">
        <is>
          <t>Fulfillment</t>
        </is>
      </c>
      <c r="C1594" t="inlineStr">
        <is>
          <t>PLH-01-14</t>
        </is>
      </c>
      <c r="D1594" t="n">
        <v>126</v>
      </c>
      <c r="E1594" t="n">
        <v>33</v>
      </c>
      <c r="F1594" t="n">
        <v>93</v>
      </c>
      <c r="G1594" t="n">
        <v>93</v>
      </c>
    </row>
    <row r="1595">
      <c r="A1595" t="inlineStr">
        <is>
          <t>202619</t>
        </is>
      </c>
      <c r="B1595" t="inlineStr">
        <is>
          <t>Fulfillment</t>
        </is>
      </c>
      <c r="C1595" t="inlineStr">
        <is>
          <t>PLH-02-10</t>
        </is>
      </c>
      <c r="D1595" t="n">
        <v>184</v>
      </c>
      <c r="E1595" t="n">
        <v>92</v>
      </c>
      <c r="F1595" t="n">
        <v>92</v>
      </c>
      <c r="G1595" t="n">
        <v>92</v>
      </c>
    </row>
    <row r="1596">
      <c r="A1596" t="inlineStr">
        <is>
          <t>202619</t>
        </is>
      </c>
      <c r="B1596" t="inlineStr">
        <is>
          <t>Fulfillment</t>
        </is>
      </c>
      <c r="C1596" t="inlineStr">
        <is>
          <t>PLH-02-14</t>
        </is>
      </c>
      <c r="D1596" t="n">
        <v>145</v>
      </c>
      <c r="E1596" t="n">
        <v>53</v>
      </c>
      <c r="F1596" t="n">
        <v>92</v>
      </c>
      <c r="G1596" t="n">
        <v>92</v>
      </c>
    </row>
    <row r="1597">
      <c r="A1597" t="inlineStr">
        <is>
          <t>202619</t>
        </is>
      </c>
      <c r="B1597" t="inlineStr">
        <is>
          <t>Fulfillment</t>
        </is>
      </c>
      <c r="C1597" t="inlineStr">
        <is>
          <t>PLH-01-12</t>
        </is>
      </c>
      <c r="D1597" t="n">
        <v>84</v>
      </c>
      <c r="E1597" t="n">
        <v>0</v>
      </c>
      <c r="F1597" t="n">
        <v>84</v>
      </c>
      <c r="G1597" t="n">
        <v>84</v>
      </c>
    </row>
    <row r="1598">
      <c r="A1598" t="inlineStr">
        <is>
          <t>202619</t>
        </is>
      </c>
      <c r="B1598" t="inlineStr">
        <is>
          <t>Fulfillment</t>
        </is>
      </c>
      <c r="C1598" t="inlineStr">
        <is>
          <t>PLH-02-09</t>
        </is>
      </c>
      <c r="D1598" t="n">
        <v>276</v>
      </c>
      <c r="E1598" t="n">
        <v>193</v>
      </c>
      <c r="F1598" t="n">
        <v>83</v>
      </c>
      <c r="G1598" t="n">
        <v>83</v>
      </c>
    </row>
    <row r="1599">
      <c r="A1599" t="inlineStr">
        <is>
          <t>202619</t>
        </is>
      </c>
      <c r="B1599" t="inlineStr">
        <is>
          <t>Fulfillment</t>
        </is>
      </c>
      <c r="C1599" t="inlineStr">
        <is>
          <t>PLH-03-05</t>
        </is>
      </c>
      <c r="D1599" t="n">
        <v>82</v>
      </c>
      <c r="E1599" t="n">
        <v>0</v>
      </c>
      <c r="F1599" t="n">
        <v>82</v>
      </c>
      <c r="G1599" t="n">
        <v>82</v>
      </c>
    </row>
    <row r="1600">
      <c r="A1600" t="inlineStr">
        <is>
          <t>202619</t>
        </is>
      </c>
      <c r="B1600" t="inlineStr">
        <is>
          <t>Fulfillment</t>
        </is>
      </c>
      <c r="C1600" t="inlineStr">
        <is>
          <t>FACHIRANI</t>
        </is>
      </c>
      <c r="D1600" t="n">
        <v>80</v>
      </c>
      <c r="E1600" t="n">
        <v>0</v>
      </c>
      <c r="F1600" t="n">
        <v>80</v>
      </c>
      <c r="G1600" t="n">
        <v>80</v>
      </c>
    </row>
    <row r="1601">
      <c r="A1601" t="inlineStr">
        <is>
          <t>202619</t>
        </is>
      </c>
      <c r="B1601" t="inlineStr">
        <is>
          <t>Fulfillment</t>
        </is>
      </c>
      <c r="C1601" t="inlineStr">
        <is>
          <t>PLH-04-10</t>
        </is>
      </c>
      <c r="D1601" t="n">
        <v>254</v>
      </c>
      <c r="E1601" t="n">
        <v>175</v>
      </c>
      <c r="F1601" t="n">
        <v>79</v>
      </c>
      <c r="G1601" t="n">
        <v>79</v>
      </c>
    </row>
    <row r="1602">
      <c r="A1602" t="inlineStr">
        <is>
          <t>202619</t>
        </is>
      </c>
      <c r="B1602" t="inlineStr">
        <is>
          <t>Fulfillment</t>
        </is>
      </c>
      <c r="C1602" t="inlineStr">
        <is>
          <t>PLH-02-05</t>
        </is>
      </c>
      <c r="D1602" t="n">
        <v>230</v>
      </c>
      <c r="E1602" t="n">
        <v>160</v>
      </c>
      <c r="F1602" t="n">
        <v>70</v>
      </c>
      <c r="G1602" t="n">
        <v>70</v>
      </c>
    </row>
    <row r="1603">
      <c r="A1603" t="inlineStr">
        <is>
          <t>202619</t>
        </is>
      </c>
      <c r="B1603" t="inlineStr">
        <is>
          <t>Fulfillment</t>
        </is>
      </c>
      <c r="C1603" t="inlineStr">
        <is>
          <t>PLH-01-03</t>
        </is>
      </c>
      <c r="D1603" t="n">
        <v>295</v>
      </c>
      <c r="E1603" t="n">
        <v>227</v>
      </c>
      <c r="F1603" t="n">
        <v>68</v>
      </c>
      <c r="G1603" t="n">
        <v>68</v>
      </c>
    </row>
    <row r="1604">
      <c r="A1604" t="inlineStr">
        <is>
          <t>202619</t>
        </is>
      </c>
      <c r="B1604" t="inlineStr">
        <is>
          <t>Fulfillment</t>
        </is>
      </c>
      <c r="C1604" t="inlineStr">
        <is>
          <t>PLH-01-06</t>
        </is>
      </c>
      <c r="D1604" t="n">
        <v>178</v>
      </c>
      <c r="E1604" t="n">
        <v>113</v>
      </c>
      <c r="F1604" t="n">
        <v>65</v>
      </c>
      <c r="G1604" t="n">
        <v>65</v>
      </c>
    </row>
    <row r="1605">
      <c r="A1605" t="inlineStr">
        <is>
          <t>202619</t>
        </is>
      </c>
      <c r="B1605" t="inlineStr">
        <is>
          <t>Fulfillment</t>
        </is>
      </c>
      <c r="C1605" t="inlineStr">
        <is>
          <t>PLH-04-04</t>
        </is>
      </c>
      <c r="D1605" t="n">
        <v>64</v>
      </c>
      <c r="E1605" t="n">
        <v>0</v>
      </c>
      <c r="F1605" t="n">
        <v>64</v>
      </c>
      <c r="G1605" t="n">
        <v>64</v>
      </c>
    </row>
    <row r="1606">
      <c r="A1606" t="inlineStr">
        <is>
          <t>202619</t>
        </is>
      </c>
      <c r="B1606" t="inlineStr">
        <is>
          <t>Fulfillment</t>
        </is>
      </c>
      <c r="C1606" t="inlineStr">
        <is>
          <t>PLH-01-08</t>
        </is>
      </c>
      <c r="D1606" t="n">
        <v>112</v>
      </c>
      <c r="E1606" t="n">
        <v>54</v>
      </c>
      <c r="F1606" t="n">
        <v>58</v>
      </c>
      <c r="G1606" t="n">
        <v>58</v>
      </c>
    </row>
    <row r="1607">
      <c r="A1607" t="inlineStr">
        <is>
          <t>202619</t>
        </is>
      </c>
      <c r="B1607" t="inlineStr">
        <is>
          <t>Fulfillment</t>
        </is>
      </c>
      <c r="C1607" t="inlineStr">
        <is>
          <t>PLH-01-16</t>
        </is>
      </c>
      <c r="D1607" t="n">
        <v>114</v>
      </c>
      <c r="E1607" t="n">
        <v>169</v>
      </c>
      <c r="F1607" t="n">
        <v>-55</v>
      </c>
      <c r="G1607" t="n">
        <v>-55</v>
      </c>
    </row>
    <row r="1608">
      <c r="A1608" t="inlineStr">
        <is>
          <t>202619</t>
        </is>
      </c>
      <c r="B1608" t="inlineStr">
        <is>
          <t>Fulfillment</t>
        </is>
      </c>
      <c r="C1608" t="inlineStr">
        <is>
          <t>FACAPK</t>
        </is>
      </c>
      <c r="D1608" t="n">
        <v>51.5</v>
      </c>
      <c r="E1608" t="n">
        <v>0</v>
      </c>
      <c r="F1608" t="n">
        <v>51.5</v>
      </c>
      <c r="G1608" t="n">
        <v>51.5</v>
      </c>
    </row>
    <row r="1609">
      <c r="A1609" t="inlineStr">
        <is>
          <t>202619</t>
        </is>
      </c>
      <c r="B1609" t="inlineStr">
        <is>
          <t>Fulfillment</t>
        </is>
      </c>
      <c r="C1609" t="inlineStr">
        <is>
          <t>PLH-01-07</t>
        </is>
      </c>
      <c r="D1609" t="n">
        <v>147</v>
      </c>
      <c r="E1609" t="n">
        <v>100</v>
      </c>
      <c r="F1609" t="n">
        <v>47</v>
      </c>
      <c r="G1609" t="n">
        <v>47</v>
      </c>
    </row>
    <row r="1610">
      <c r="A1610" t="inlineStr">
        <is>
          <t>202619</t>
        </is>
      </c>
      <c r="B1610" t="inlineStr">
        <is>
          <t>Fulfillment</t>
        </is>
      </c>
      <c r="C1610" t="inlineStr">
        <is>
          <t>PLH-01-04</t>
        </is>
      </c>
      <c r="D1610" t="n">
        <v>156</v>
      </c>
      <c r="E1610" t="n">
        <v>110</v>
      </c>
      <c r="F1610" t="n">
        <v>46</v>
      </c>
      <c r="G1610" t="n">
        <v>46</v>
      </c>
    </row>
    <row r="1611">
      <c r="A1611" t="inlineStr">
        <is>
          <t>202619</t>
        </is>
      </c>
      <c r="B1611" t="inlineStr">
        <is>
          <t>Fulfillment</t>
        </is>
      </c>
      <c r="C1611" t="inlineStr">
        <is>
          <t>PLH-01-05</t>
        </is>
      </c>
      <c r="D1611" t="n">
        <v>123</v>
      </c>
      <c r="E1611" t="n">
        <v>93</v>
      </c>
      <c r="F1611" t="n">
        <v>30</v>
      </c>
      <c r="G1611" t="n">
        <v>30</v>
      </c>
    </row>
    <row r="1612">
      <c r="A1612" t="inlineStr">
        <is>
          <t>202619</t>
        </is>
      </c>
      <c r="B1612" t="inlineStr">
        <is>
          <t>Fulfillment</t>
        </is>
      </c>
      <c r="C1612" t="inlineStr">
        <is>
          <t>PLH-01-10</t>
        </is>
      </c>
      <c r="D1612" t="n">
        <v>58</v>
      </c>
      <c r="E1612" t="n">
        <v>34</v>
      </c>
      <c r="F1612" t="n">
        <v>24</v>
      </c>
      <c r="G1612" t="n">
        <v>24</v>
      </c>
    </row>
    <row r="1613">
      <c r="A1613" t="inlineStr">
        <is>
          <t>202619</t>
        </is>
      </c>
      <c r="B1613" t="inlineStr">
        <is>
          <t>Fulfillment</t>
        </is>
      </c>
      <c r="C1613" t="inlineStr">
        <is>
          <t>PLH-04-01</t>
        </is>
      </c>
      <c r="D1613" t="n">
        <v>120</v>
      </c>
      <c r="E1613" t="n">
        <v>99</v>
      </c>
      <c r="F1613" t="n">
        <v>21</v>
      </c>
      <c r="G1613" t="n">
        <v>21</v>
      </c>
    </row>
    <row r="1614">
      <c r="A1614" t="inlineStr">
        <is>
          <t>202619</t>
        </is>
      </c>
      <c r="B1614" t="inlineStr">
        <is>
          <t>Fulfillment</t>
        </is>
      </c>
      <c r="C1614" t="inlineStr">
        <is>
          <t>PLH-02-03</t>
        </is>
      </c>
      <c r="D1614" t="n">
        <v>256</v>
      </c>
      <c r="E1614" t="n">
        <v>273</v>
      </c>
      <c r="F1614" t="n">
        <v>-17</v>
      </c>
      <c r="G1614" t="n">
        <v>-17</v>
      </c>
    </row>
    <row r="1615">
      <c r="A1615" t="inlineStr">
        <is>
          <t>202619</t>
        </is>
      </c>
      <c r="B1615" t="inlineStr">
        <is>
          <t>Fulfillment</t>
        </is>
      </c>
      <c r="C1615" t="inlineStr">
        <is>
          <t>VEGGIE</t>
        </is>
      </c>
      <c r="D1615" t="n">
        <v>2</v>
      </c>
      <c r="E1615" t="n">
        <v>0</v>
      </c>
      <c r="F1615" t="n">
        <v>2</v>
      </c>
      <c r="G1615" t="n">
        <v>2</v>
      </c>
    </row>
    <row r="1616">
      <c r="A1616" t="inlineStr">
        <is>
          <t>202619</t>
        </is>
      </c>
      <c r="B1616" t="inlineStr">
        <is>
          <t>Fulfillment</t>
        </is>
      </c>
      <c r="C1616" t="inlineStr">
        <is>
          <t>PLH-01-02</t>
        </is>
      </c>
      <c r="D1616" t="n">
        <v>28000</v>
      </c>
      <c r="E1616" t="n">
        <v>28000</v>
      </c>
      <c r="F1616" t="n">
        <v>0</v>
      </c>
      <c r="G1616" t="n">
        <v>0</v>
      </c>
    </row>
    <row r="1617">
      <c r="A1617" t="inlineStr">
        <is>
          <t>202619</t>
        </is>
      </c>
      <c r="B1617" t="inlineStr">
        <is>
          <t>Fulfillment</t>
        </is>
      </c>
      <c r="C1617" t="inlineStr">
        <is>
          <t>PLH-01-15</t>
        </is>
      </c>
      <c r="D1617" t="n">
        <v>196</v>
      </c>
      <c r="E1617" t="n">
        <v>196</v>
      </c>
      <c r="F1617" t="n">
        <v>0</v>
      </c>
      <c r="G1617" t="n">
        <v>0</v>
      </c>
    </row>
    <row r="1618">
      <c r="A1618" t="inlineStr">
        <is>
          <t>202619</t>
        </is>
      </c>
      <c r="B1618" t="inlineStr">
        <is>
          <t>Fulfillment</t>
        </is>
      </c>
      <c r="C1618" t="inlineStr">
        <is>
          <t>PLH-02-06</t>
        </is>
      </c>
      <c r="D1618" t="n">
        <v>269</v>
      </c>
      <c r="E1618" t="n">
        <v>269</v>
      </c>
      <c r="F1618" t="n">
        <v>0</v>
      </c>
      <c r="G1618" t="n">
        <v>0</v>
      </c>
    </row>
    <row r="1619">
      <c r="A1619" t="inlineStr">
        <is>
          <t>202619</t>
        </is>
      </c>
      <c r="B1619" t="inlineStr">
        <is>
          <t>Fulfillment</t>
        </is>
      </c>
      <c r="C1619" t="inlineStr">
        <is>
          <t>PLH-02-08</t>
        </is>
      </c>
      <c r="D1619" t="n">
        <v>198</v>
      </c>
      <c r="E1619" t="n">
        <v>198</v>
      </c>
      <c r="F1619" t="n">
        <v>0</v>
      </c>
      <c r="G1619" t="n">
        <v>0</v>
      </c>
    </row>
    <row r="1620">
      <c r="A1620" t="inlineStr">
        <is>
          <t>202619</t>
        </is>
      </c>
      <c r="B1620" t="inlineStr">
        <is>
          <t>Fulfillment</t>
        </is>
      </c>
      <c r="C1620" t="inlineStr">
        <is>
          <t>PLH-02-11</t>
        </is>
      </c>
      <c r="D1620" t="n">
        <v>350</v>
      </c>
      <c r="E1620" t="n">
        <v>350</v>
      </c>
      <c r="F1620" t="n">
        <v>0</v>
      </c>
      <c r="G1620" t="n">
        <v>0</v>
      </c>
    </row>
    <row r="1621">
      <c r="A1621" t="inlineStr">
        <is>
          <t>202619</t>
        </is>
      </c>
      <c r="B1621" t="inlineStr">
        <is>
          <t>Fulfillment</t>
        </is>
      </c>
      <c r="C1621" t="inlineStr">
        <is>
          <t>PLH-02-12</t>
        </is>
      </c>
      <c r="D1621" t="n">
        <v>389</v>
      </c>
      <c r="E1621" t="n">
        <v>389</v>
      </c>
      <c r="F1621" t="n">
        <v>0</v>
      </c>
      <c r="G1621" t="n">
        <v>0</v>
      </c>
    </row>
    <row r="1622">
      <c r="A1622" t="inlineStr">
        <is>
          <t>202619</t>
        </is>
      </c>
      <c r="B1622" t="inlineStr">
        <is>
          <t>Fulfillment</t>
        </is>
      </c>
      <c r="C1622" t="inlineStr">
        <is>
          <t>PLH-04-05</t>
        </is>
      </c>
      <c r="D1622" t="n">
        <v>64</v>
      </c>
      <c r="E1622" t="n">
        <v>64</v>
      </c>
      <c r="F1622" t="n">
        <v>0</v>
      </c>
      <c r="G1622" t="n">
        <v>0</v>
      </c>
    </row>
    <row r="1623">
      <c r="A1623" t="inlineStr">
        <is>
          <t>202619</t>
        </is>
      </c>
      <c r="B1623" t="inlineStr">
        <is>
          <t>Fulfillment</t>
        </is>
      </c>
      <c r="C1623" t="inlineStr">
        <is>
          <t>PLH-04-11</t>
        </is>
      </c>
      <c r="D1623" t="n">
        <v>56</v>
      </c>
      <c r="E1623" t="n">
        <v>56</v>
      </c>
      <c r="F1623" t="n">
        <v>0</v>
      </c>
      <c r="G1623" t="n">
        <v>0</v>
      </c>
    </row>
    <row r="1624">
      <c r="A1624" t="inlineStr">
        <is>
          <t>202619</t>
        </is>
      </c>
      <c r="B1624" t="inlineStr">
        <is>
          <t>Fulfillment</t>
        </is>
      </c>
      <c r="C1624" t="inlineStr">
        <is>
          <t>PLH-04-12</t>
        </is>
      </c>
      <c r="D1624" t="n">
        <v>39</v>
      </c>
      <c r="E1624" t="n">
        <v>39</v>
      </c>
      <c r="F1624" t="n">
        <v>0</v>
      </c>
      <c r="G1624" t="n">
        <v>0</v>
      </c>
    </row>
    <row r="1625">
      <c r="A1625" t="inlineStr">
        <is>
          <t>202619</t>
        </is>
      </c>
      <c r="B1625" t="inlineStr">
        <is>
          <t>Fulfillment</t>
        </is>
      </c>
      <c r="C1625" t="inlineStr">
        <is>
          <t>PLH-04-13</t>
        </is>
      </c>
      <c r="D1625" t="n">
        <v>35</v>
      </c>
      <c r="E1625" t="n">
        <v>35</v>
      </c>
      <c r="F1625" t="n">
        <v>0</v>
      </c>
      <c r="G1625" t="n">
        <v>0</v>
      </c>
    </row>
    <row r="1626">
      <c r="A1626" t="inlineStr">
        <is>
          <t>202619</t>
        </is>
      </c>
      <c r="B1626" t="inlineStr">
        <is>
          <t>Fulfillment</t>
        </is>
      </c>
      <c r="C1626" t="inlineStr">
        <is>
          <t>PLH-04-14</t>
        </is>
      </c>
      <c r="D1626" t="n">
        <v>71</v>
      </c>
      <c r="E1626" t="n">
        <v>71</v>
      </c>
      <c r="F1626" t="n">
        <v>0</v>
      </c>
      <c r="G1626" t="n">
        <v>0</v>
      </c>
    </row>
    <row r="1627">
      <c r="A1627" t="inlineStr">
        <is>
          <t>202619</t>
        </is>
      </c>
      <c r="B1627" t="inlineStr">
        <is>
          <t>Fulfillment</t>
        </is>
      </c>
      <c r="C1627" t="inlineStr">
        <is>
          <t>PLH-04-15</t>
        </is>
      </c>
      <c r="D1627" t="n">
        <v>85</v>
      </c>
      <c r="E1627" t="n">
        <v>85</v>
      </c>
      <c r="F1627" t="n">
        <v>0</v>
      </c>
      <c r="G1627" t="n">
        <v>0</v>
      </c>
    </row>
    <row r="1628">
      <c r="A1628" t="inlineStr">
        <is>
          <t>202619</t>
        </is>
      </c>
      <c r="B1628" t="inlineStr">
        <is>
          <t>Fulfillment</t>
        </is>
      </c>
      <c r="C1628" t="inlineStr">
        <is>
          <t>PLH-04-16</t>
        </is>
      </c>
      <c r="D1628" t="n">
        <v>58</v>
      </c>
      <c r="E1628" t="n">
        <v>58</v>
      </c>
      <c r="F1628" t="n">
        <v>0</v>
      </c>
      <c r="G1628" t="n">
        <v>0</v>
      </c>
    </row>
    <row r="1629">
      <c r="A1629" t="inlineStr">
        <is>
          <t>202619</t>
        </is>
      </c>
      <c r="B1629" t="inlineStr">
        <is>
          <t>Lager</t>
        </is>
      </c>
      <c r="C1629" t="inlineStr">
        <is>
          <t>STGDR-85</t>
        </is>
      </c>
      <c r="D1629" t="n">
        <v>133112</v>
      </c>
      <c r="E1629" t="n">
        <v>0</v>
      </c>
      <c r="F1629" t="n">
        <v>133112</v>
      </c>
      <c r="G1629" t="n">
        <v>133112</v>
      </c>
    </row>
    <row r="1630">
      <c r="A1630" t="inlineStr">
        <is>
          <t>202619</t>
        </is>
      </c>
      <c r="B1630" t="inlineStr">
        <is>
          <t>Lager</t>
        </is>
      </c>
      <c r="C1630" t="inlineStr">
        <is>
          <t>STGDR-30</t>
        </is>
      </c>
      <c r="D1630" t="n">
        <v>14320</v>
      </c>
      <c r="E1630" t="n">
        <v>0</v>
      </c>
      <c r="F1630" t="n">
        <v>14320</v>
      </c>
      <c r="G1630" t="n">
        <v>14320</v>
      </c>
    </row>
    <row r="1631">
      <c r="A1631" t="inlineStr">
        <is>
          <t>202619</t>
        </is>
      </c>
      <c r="B1631" t="inlineStr">
        <is>
          <t>Lager</t>
        </is>
      </c>
      <c r="C1631" t="inlineStr">
        <is>
          <t>STGDR-27</t>
        </is>
      </c>
      <c r="D1631" t="n">
        <v>14006</v>
      </c>
      <c r="E1631" t="n">
        <v>0</v>
      </c>
      <c r="F1631" t="n">
        <v>14006</v>
      </c>
      <c r="G1631" t="n">
        <v>14006</v>
      </c>
    </row>
    <row r="1632">
      <c r="A1632" t="inlineStr">
        <is>
          <t>202619</t>
        </is>
      </c>
      <c r="B1632" t="inlineStr">
        <is>
          <t>Lager</t>
        </is>
      </c>
      <c r="C1632" t="inlineStr">
        <is>
          <t>STGDR-29</t>
        </is>
      </c>
      <c r="D1632" t="n">
        <v>10523</v>
      </c>
      <c r="E1632" t="n">
        <v>0</v>
      </c>
      <c r="F1632" t="n">
        <v>10523</v>
      </c>
      <c r="G1632" t="n">
        <v>10523</v>
      </c>
    </row>
    <row r="1633">
      <c r="A1633" t="inlineStr">
        <is>
          <t>202619</t>
        </is>
      </c>
      <c r="B1633" t="inlineStr">
        <is>
          <t>Lager</t>
        </is>
      </c>
      <c r="C1633" t="inlineStr">
        <is>
          <t>STGDR-28</t>
        </is>
      </c>
      <c r="D1633" t="n">
        <v>2516</v>
      </c>
      <c r="E1633" t="n">
        <v>0</v>
      </c>
      <c r="F1633" t="n">
        <v>2516</v>
      </c>
      <c r="G1633" t="n">
        <v>2516</v>
      </c>
    </row>
    <row r="1634">
      <c r="A1634" t="inlineStr">
        <is>
          <t>202619</t>
        </is>
      </c>
      <c r="B1634" t="inlineStr">
        <is>
          <t>Prep/Plating</t>
        </is>
      </c>
      <c r="C1634" t="inlineStr">
        <is>
          <t>DEBOXWIP</t>
        </is>
      </c>
      <c r="D1634" t="n">
        <v>39</v>
      </c>
      <c r="E1634" t="n">
        <v>2842806.74</v>
      </c>
      <c r="F1634" t="n">
        <v>-2842767.74</v>
      </c>
      <c r="G1634" t="n">
        <v>-2842767.74</v>
      </c>
    </row>
    <row r="1635">
      <c r="A1635" t="inlineStr">
        <is>
          <t>202619</t>
        </is>
      </c>
      <c r="B1635" t="inlineStr">
        <is>
          <t>Prep/Plating</t>
        </is>
      </c>
      <c r="C1635" t="inlineStr">
        <is>
          <t>PLATING-LINE-01</t>
        </is>
      </c>
      <c r="D1635" t="n">
        <v>11040</v>
      </c>
      <c r="E1635" t="n">
        <v>0</v>
      </c>
      <c r="F1635" t="n">
        <v>11040</v>
      </c>
      <c r="G1635" t="n">
        <v>11040</v>
      </c>
    </row>
    <row r="1636">
      <c r="A1636" t="inlineStr">
        <is>
          <t>202619</t>
        </is>
      </c>
      <c r="B1636" t="inlineStr">
        <is>
          <t>Prep/Plating</t>
        </is>
      </c>
      <c r="C1636" t="inlineStr">
        <is>
          <t>PREB-01</t>
        </is>
      </c>
      <c r="D1636" t="n">
        <v>6353</v>
      </c>
      <c r="E1636" t="n">
        <v>130</v>
      </c>
      <c r="F1636" t="n">
        <v>6223</v>
      </c>
      <c r="G1636" t="n">
        <v>6223</v>
      </c>
    </row>
    <row r="1637">
      <c r="A1637" t="inlineStr">
        <is>
          <t>202619</t>
        </is>
      </c>
      <c r="B1637" t="inlineStr">
        <is>
          <t>Prep/Plating</t>
        </is>
      </c>
      <c r="C1637" t="inlineStr">
        <is>
          <t>PostB-01</t>
        </is>
      </c>
      <c r="D1637" t="n">
        <v>6070</v>
      </c>
      <c r="E1637" t="n">
        <v>0</v>
      </c>
      <c r="F1637" t="n">
        <v>6070</v>
      </c>
      <c r="G1637" t="n">
        <v>6070</v>
      </c>
    </row>
    <row r="1638">
      <c r="A1638" t="inlineStr">
        <is>
          <t>202619</t>
        </is>
      </c>
      <c r="B1638" t="inlineStr">
        <is>
          <t>Prep/Plating</t>
        </is>
      </c>
      <c r="C1638" t="inlineStr">
        <is>
          <t>PLATING-LINE-03</t>
        </is>
      </c>
      <c r="D1638" t="n">
        <v>4643</v>
      </c>
      <c r="E1638" t="n">
        <v>0</v>
      </c>
      <c r="F1638" t="n">
        <v>4643</v>
      </c>
      <c r="G1638" t="n">
        <v>4643</v>
      </c>
    </row>
    <row r="1639">
      <c r="A1639" t="inlineStr">
        <is>
          <t>202619</t>
        </is>
      </c>
      <c r="B1639" t="inlineStr">
        <is>
          <t>Prep/Plating</t>
        </is>
      </c>
      <c r="C1639" t="inlineStr">
        <is>
          <t>SLEEVING</t>
        </is>
      </c>
      <c r="D1639" t="n">
        <v>1444</v>
      </c>
      <c r="E1639" t="n">
        <v>0</v>
      </c>
      <c r="F1639" t="n">
        <v>1444</v>
      </c>
      <c r="G1639" t="n">
        <v>1444</v>
      </c>
    </row>
    <row r="1640">
      <c r="A1640" t="inlineStr">
        <is>
          <t>202619</t>
        </is>
      </c>
      <c r="B1640" t="inlineStr">
        <is>
          <t>Prep/Plating</t>
        </is>
      </c>
      <c r="C1640" t="inlineStr">
        <is>
          <t>PLATING-LINE-02</t>
        </is>
      </c>
      <c r="D1640" t="n">
        <v>512</v>
      </c>
      <c r="E1640" t="n">
        <v>0</v>
      </c>
      <c r="F1640" t="n">
        <v>512</v>
      </c>
      <c r="G1640" t="n">
        <v>512</v>
      </c>
    </row>
    <row r="1641">
      <c r="A1641" t="inlineStr">
        <is>
          <t>202619</t>
        </is>
      </c>
      <c r="B1641" t="inlineStr">
        <is>
          <t>Prep/Plating</t>
        </is>
      </c>
      <c r="C1641" t="inlineStr">
        <is>
          <t>PLATINGWIP</t>
        </is>
      </c>
      <c r="D1641" t="n">
        <v>3.01</v>
      </c>
      <c r="E1641" t="n">
        <v>0</v>
      </c>
      <c r="F1641" t="n">
        <v>3.01</v>
      </c>
      <c r="G1641" t="n">
        <v>3.01</v>
      </c>
    </row>
    <row r="1642">
      <c r="A1642" t="inlineStr">
        <is>
          <t>202620</t>
        </is>
      </c>
      <c r="B1642" t="inlineStr">
        <is>
          <t>Andere</t>
        </is>
      </c>
      <c r="C1642" t="inlineStr">
        <is>
          <t>FADEKICHF</t>
        </is>
      </c>
      <c r="D1642" t="n">
        <v>2825</v>
      </c>
      <c r="E1642" t="n">
        <v>0</v>
      </c>
      <c r="F1642" t="n">
        <v>2825</v>
      </c>
      <c r="G1642" t="n">
        <v>2825</v>
      </c>
    </row>
    <row r="1643">
      <c r="A1643" t="inlineStr">
        <is>
          <t>202620</t>
        </is>
      </c>
      <c r="B1643" t="inlineStr">
        <is>
          <t>Andere</t>
        </is>
      </c>
      <c r="C1643" t="inlineStr">
        <is>
          <t>UNBEKANNT</t>
        </is>
      </c>
      <c r="D1643" t="n">
        <v>2720</v>
      </c>
      <c r="E1643" t="n">
        <v>0</v>
      </c>
      <c r="F1643" t="n">
        <v>2720</v>
      </c>
      <c r="G1643" t="n">
        <v>2720</v>
      </c>
    </row>
    <row r="1644">
      <c r="A1644" t="inlineStr">
        <is>
          <t>202620</t>
        </is>
      </c>
      <c r="B1644" t="inlineStr">
        <is>
          <t>Andere</t>
        </is>
      </c>
      <c r="C1644" t="inlineStr">
        <is>
          <t>FAWIEGHOLDD</t>
        </is>
      </c>
      <c r="D1644" t="n">
        <v>2140</v>
      </c>
      <c r="E1644" t="n">
        <v>0</v>
      </c>
      <c r="F1644" t="n">
        <v>2140</v>
      </c>
      <c r="G1644" t="n">
        <v>2140</v>
      </c>
    </row>
    <row r="1645">
      <c r="A1645" t="inlineStr">
        <is>
          <t>202620</t>
        </is>
      </c>
      <c r="B1645" t="inlineStr">
        <is>
          <t>Andere</t>
        </is>
      </c>
      <c r="C1645" t="inlineStr">
        <is>
          <t>FAMOHAMMADA</t>
        </is>
      </c>
      <c r="D1645" t="n">
        <v>702</v>
      </c>
      <c r="E1645" t="n">
        <v>0</v>
      </c>
      <c r="F1645" t="n">
        <v>702</v>
      </c>
      <c r="G1645" t="n">
        <v>702</v>
      </c>
    </row>
    <row r="1646">
      <c r="A1646" t="inlineStr">
        <is>
          <t>202620</t>
        </is>
      </c>
      <c r="B1646" t="inlineStr">
        <is>
          <t>Andere</t>
        </is>
      </c>
      <c r="C1646" t="inlineStr">
        <is>
          <t>FATRAOREDA</t>
        </is>
      </c>
      <c r="D1646" t="n">
        <v>680</v>
      </c>
      <c r="E1646" t="n">
        <v>0</v>
      </c>
      <c r="F1646" t="n">
        <v>680</v>
      </c>
      <c r="G1646" t="n">
        <v>680</v>
      </c>
    </row>
    <row r="1647">
      <c r="A1647" t="inlineStr">
        <is>
          <t>202620</t>
        </is>
      </c>
      <c r="B1647" t="inlineStr">
        <is>
          <t>Andere</t>
        </is>
      </c>
      <c r="C1647" t="inlineStr">
        <is>
          <t>FAWAHIDM</t>
        </is>
      </c>
      <c r="D1647" t="n">
        <v>650</v>
      </c>
      <c r="E1647" t="n">
        <v>0</v>
      </c>
      <c r="F1647" t="n">
        <v>650</v>
      </c>
      <c r="G1647" t="n">
        <v>650</v>
      </c>
    </row>
    <row r="1648">
      <c r="A1648" t="inlineStr">
        <is>
          <t>202620</t>
        </is>
      </c>
      <c r="B1648" t="inlineStr">
        <is>
          <t>Andere</t>
        </is>
      </c>
      <c r="C1648" t="inlineStr">
        <is>
          <t>FAELMIE</t>
        </is>
      </c>
      <c r="D1648" t="n">
        <v>407</v>
      </c>
      <c r="E1648" t="n">
        <v>0</v>
      </c>
      <c r="F1648" t="n">
        <v>407</v>
      </c>
      <c r="G1648" t="n">
        <v>407</v>
      </c>
    </row>
    <row r="1649">
      <c r="A1649" t="inlineStr">
        <is>
          <t>202620</t>
        </is>
      </c>
      <c r="B1649" t="inlineStr">
        <is>
          <t>Andere</t>
        </is>
      </c>
      <c r="C1649" t="inlineStr">
        <is>
          <t>GC-02-10-1</t>
        </is>
      </c>
      <c r="D1649" t="n">
        <v>300</v>
      </c>
      <c r="E1649" t="n">
        <v>0</v>
      </c>
      <c r="F1649" t="n">
        <v>300</v>
      </c>
      <c r="G1649" t="n">
        <v>300</v>
      </c>
    </row>
    <row r="1650">
      <c r="A1650" t="inlineStr">
        <is>
          <t>202620</t>
        </is>
      </c>
      <c r="B1650" t="inlineStr">
        <is>
          <t>Andere</t>
        </is>
      </c>
      <c r="C1650" t="inlineStr">
        <is>
          <t>GC-02-24-3</t>
        </is>
      </c>
      <c r="D1650" t="n">
        <v>280</v>
      </c>
      <c r="E1650" t="n">
        <v>0</v>
      </c>
      <c r="F1650" t="n">
        <v>280</v>
      </c>
      <c r="G1650" t="n">
        <v>280</v>
      </c>
    </row>
    <row r="1651">
      <c r="A1651" t="inlineStr">
        <is>
          <t>202620</t>
        </is>
      </c>
      <c r="B1651" t="inlineStr">
        <is>
          <t>Andere</t>
        </is>
      </c>
      <c r="C1651" t="inlineStr">
        <is>
          <t>FAGROTHEERF</t>
        </is>
      </c>
      <c r="D1651" t="n">
        <v>250</v>
      </c>
      <c r="E1651" t="n">
        <v>0</v>
      </c>
      <c r="F1651" t="n">
        <v>250</v>
      </c>
      <c r="G1651" t="n">
        <v>250</v>
      </c>
    </row>
    <row r="1652">
      <c r="A1652" t="inlineStr">
        <is>
          <t>202620</t>
        </is>
      </c>
      <c r="B1652" t="inlineStr">
        <is>
          <t>Andere</t>
        </is>
      </c>
      <c r="C1652" t="inlineStr">
        <is>
          <t>D-06-10-1</t>
        </is>
      </c>
      <c r="D1652" t="n">
        <v>240</v>
      </c>
      <c r="E1652" t="n">
        <v>0</v>
      </c>
      <c r="F1652" t="n">
        <v>240</v>
      </c>
      <c r="G1652" t="n">
        <v>240</v>
      </c>
    </row>
    <row r="1653">
      <c r="A1653" t="inlineStr">
        <is>
          <t>202620</t>
        </is>
      </c>
      <c r="B1653" t="inlineStr">
        <is>
          <t>Andere</t>
        </is>
      </c>
      <c r="C1653" t="inlineStr">
        <is>
          <t>GC-02-14-1</t>
        </is>
      </c>
      <c r="D1653" t="n">
        <v>230</v>
      </c>
      <c r="E1653" t="n">
        <v>0</v>
      </c>
      <c r="F1653" t="n">
        <v>230</v>
      </c>
      <c r="G1653" t="n">
        <v>230</v>
      </c>
    </row>
    <row r="1654">
      <c r="A1654" t="inlineStr">
        <is>
          <t>202620</t>
        </is>
      </c>
      <c r="B1654" t="inlineStr">
        <is>
          <t>Andere</t>
        </is>
      </c>
      <c r="C1654" t="inlineStr">
        <is>
          <t>GC-02-16-1</t>
        </is>
      </c>
      <c r="D1654" t="n">
        <v>200</v>
      </c>
      <c r="E1654" t="n">
        <v>0</v>
      </c>
      <c r="F1654" t="n">
        <v>200</v>
      </c>
      <c r="G1654" t="n">
        <v>200</v>
      </c>
    </row>
    <row r="1655">
      <c r="A1655" t="inlineStr">
        <is>
          <t>202620</t>
        </is>
      </c>
      <c r="B1655" t="inlineStr">
        <is>
          <t>Andere</t>
        </is>
      </c>
      <c r="C1655" t="inlineStr">
        <is>
          <t>GC-02-18-2</t>
        </is>
      </c>
      <c r="D1655" t="n">
        <v>200</v>
      </c>
      <c r="E1655" t="n">
        <v>0</v>
      </c>
      <c r="F1655" t="n">
        <v>200</v>
      </c>
      <c r="G1655" t="n">
        <v>200</v>
      </c>
    </row>
    <row r="1656">
      <c r="A1656" t="inlineStr">
        <is>
          <t>202620</t>
        </is>
      </c>
      <c r="B1656" t="inlineStr">
        <is>
          <t>Andere</t>
        </is>
      </c>
      <c r="C1656" t="inlineStr">
        <is>
          <t>GC-02-20-2</t>
        </is>
      </c>
      <c r="D1656" t="n">
        <v>200</v>
      </c>
      <c r="E1656" t="n">
        <v>0</v>
      </c>
      <c r="F1656" t="n">
        <v>200</v>
      </c>
      <c r="G1656" t="n">
        <v>200</v>
      </c>
    </row>
    <row r="1657">
      <c r="A1657" t="inlineStr">
        <is>
          <t>202620</t>
        </is>
      </c>
      <c r="B1657" t="inlineStr">
        <is>
          <t>Andere</t>
        </is>
      </c>
      <c r="C1657" t="inlineStr">
        <is>
          <t>GC-02-21-2</t>
        </is>
      </c>
      <c r="D1657" t="n">
        <v>200</v>
      </c>
      <c r="E1657" t="n">
        <v>0</v>
      </c>
      <c r="F1657" t="n">
        <v>200</v>
      </c>
      <c r="G1657" t="n">
        <v>200</v>
      </c>
    </row>
    <row r="1658">
      <c r="A1658" t="inlineStr">
        <is>
          <t>202620</t>
        </is>
      </c>
      <c r="B1658" t="inlineStr">
        <is>
          <t>Andere</t>
        </is>
      </c>
      <c r="C1658" t="inlineStr">
        <is>
          <t>GC-02-22-2</t>
        </is>
      </c>
      <c r="D1658" t="n">
        <v>200</v>
      </c>
      <c r="E1658" t="n">
        <v>0</v>
      </c>
      <c r="F1658" t="n">
        <v>200</v>
      </c>
      <c r="G1658" t="n">
        <v>200</v>
      </c>
    </row>
    <row r="1659">
      <c r="A1659" t="inlineStr">
        <is>
          <t>202620</t>
        </is>
      </c>
      <c r="B1659" t="inlineStr">
        <is>
          <t>Andere</t>
        </is>
      </c>
      <c r="C1659" t="inlineStr">
        <is>
          <t>GC-02-17-2</t>
        </is>
      </c>
      <c r="D1659" t="n">
        <v>180</v>
      </c>
      <c r="E1659" t="n">
        <v>0</v>
      </c>
      <c r="F1659" t="n">
        <v>180</v>
      </c>
      <c r="G1659" t="n">
        <v>180</v>
      </c>
    </row>
    <row r="1660">
      <c r="A1660" t="inlineStr">
        <is>
          <t>202620</t>
        </is>
      </c>
      <c r="B1660" t="inlineStr">
        <is>
          <t>Andere</t>
        </is>
      </c>
      <c r="C1660" t="inlineStr">
        <is>
          <t>PLSTG-01</t>
        </is>
      </c>
      <c r="D1660" t="n">
        <v>162.02</v>
      </c>
      <c r="E1660" t="n">
        <v>0</v>
      </c>
      <c r="F1660" t="n">
        <v>162.02</v>
      </c>
      <c r="G1660" t="n">
        <v>162.02</v>
      </c>
    </row>
    <row r="1661">
      <c r="A1661" t="inlineStr">
        <is>
          <t>202620</t>
        </is>
      </c>
      <c r="B1661" t="inlineStr">
        <is>
          <t>Andere</t>
        </is>
      </c>
      <c r="C1661" t="inlineStr">
        <is>
          <t>GC-02-19-3</t>
        </is>
      </c>
      <c r="D1661" t="n">
        <v>110</v>
      </c>
      <c r="E1661" t="n">
        <v>0</v>
      </c>
      <c r="F1661" t="n">
        <v>110</v>
      </c>
      <c r="G1661" t="n">
        <v>110</v>
      </c>
    </row>
    <row r="1662">
      <c r="A1662" t="inlineStr">
        <is>
          <t>202620</t>
        </is>
      </c>
      <c r="B1662" t="inlineStr">
        <is>
          <t>Andere</t>
        </is>
      </c>
      <c r="C1662" t="inlineStr">
        <is>
          <t>GC-02-24-2</t>
        </is>
      </c>
      <c r="D1662" t="n">
        <v>80</v>
      </c>
      <c r="E1662" t="n">
        <v>0</v>
      </c>
      <c r="F1662" t="n">
        <v>80</v>
      </c>
      <c r="G1662" t="n">
        <v>80</v>
      </c>
    </row>
    <row r="1663">
      <c r="A1663" t="inlineStr">
        <is>
          <t>202620</t>
        </is>
      </c>
      <c r="B1663" t="inlineStr">
        <is>
          <t>Andere</t>
        </is>
      </c>
      <c r="C1663" t="inlineStr">
        <is>
          <t>SPI-WINDOW</t>
        </is>
      </c>
      <c r="D1663" t="n">
        <v>72</v>
      </c>
      <c r="E1663" t="n">
        <v>0</v>
      </c>
      <c r="F1663" t="n">
        <v>72</v>
      </c>
      <c r="G1663" t="n">
        <v>72</v>
      </c>
    </row>
    <row r="1664">
      <c r="A1664" t="inlineStr">
        <is>
          <t>202620</t>
        </is>
      </c>
      <c r="B1664" t="inlineStr">
        <is>
          <t>Andere</t>
        </is>
      </c>
      <c r="C1664" t="inlineStr">
        <is>
          <t>GC-02-18-3</t>
        </is>
      </c>
      <c r="D1664" t="n">
        <v>55</v>
      </c>
      <c r="E1664" t="n">
        <v>0</v>
      </c>
      <c r="F1664" t="n">
        <v>55</v>
      </c>
      <c r="G1664" t="n">
        <v>55</v>
      </c>
    </row>
    <row r="1665">
      <c r="A1665" t="inlineStr">
        <is>
          <t>202620</t>
        </is>
      </c>
      <c r="B1665" t="inlineStr">
        <is>
          <t>Andere</t>
        </is>
      </c>
      <c r="C1665" t="inlineStr">
        <is>
          <t>GC-02-20-3</t>
        </is>
      </c>
      <c r="D1665" t="n">
        <v>55</v>
      </c>
      <c r="E1665" t="n">
        <v>0</v>
      </c>
      <c r="F1665" t="n">
        <v>55</v>
      </c>
      <c r="G1665" t="n">
        <v>55</v>
      </c>
    </row>
    <row r="1666">
      <c r="A1666" t="inlineStr">
        <is>
          <t>202620</t>
        </is>
      </c>
      <c r="B1666" t="inlineStr">
        <is>
          <t>Andere</t>
        </is>
      </c>
      <c r="C1666" t="inlineStr">
        <is>
          <t>FAHANSENMA</t>
        </is>
      </c>
      <c r="D1666" t="n">
        <v>49.5</v>
      </c>
      <c r="E1666" t="n">
        <v>0</v>
      </c>
      <c r="F1666" t="n">
        <v>49.5</v>
      </c>
      <c r="G1666" t="n">
        <v>49.5</v>
      </c>
    </row>
    <row r="1667">
      <c r="A1667" t="inlineStr">
        <is>
          <t>202620</t>
        </is>
      </c>
      <c r="B1667" t="inlineStr">
        <is>
          <t>Andere</t>
        </is>
      </c>
      <c r="C1667" t="inlineStr">
        <is>
          <t>GC-02-22-3</t>
        </is>
      </c>
      <c r="D1667" t="n">
        <v>45</v>
      </c>
      <c r="E1667" t="n">
        <v>0</v>
      </c>
      <c r="F1667" t="n">
        <v>45</v>
      </c>
      <c r="G1667" t="n">
        <v>45</v>
      </c>
    </row>
    <row r="1668">
      <c r="A1668" t="inlineStr">
        <is>
          <t>202620</t>
        </is>
      </c>
      <c r="B1668" t="inlineStr">
        <is>
          <t>Andere</t>
        </is>
      </c>
      <c r="C1668" t="inlineStr">
        <is>
          <t>GC-02-16-3</t>
        </is>
      </c>
      <c r="D1668" t="n">
        <v>36</v>
      </c>
      <c r="E1668" t="n">
        <v>0</v>
      </c>
      <c r="F1668" t="n">
        <v>36</v>
      </c>
      <c r="G1668" t="n">
        <v>36</v>
      </c>
    </row>
    <row r="1669">
      <c r="A1669" t="inlineStr">
        <is>
          <t>202620</t>
        </is>
      </c>
      <c r="B1669" t="inlineStr">
        <is>
          <t>Andere</t>
        </is>
      </c>
      <c r="C1669" t="inlineStr">
        <is>
          <t>GC-02-23-3</t>
        </is>
      </c>
      <c r="D1669" t="n">
        <v>26</v>
      </c>
      <c r="E1669" t="n">
        <v>0</v>
      </c>
      <c r="F1669" t="n">
        <v>26</v>
      </c>
      <c r="G1669" t="n">
        <v>26</v>
      </c>
    </row>
    <row r="1670">
      <c r="A1670" t="inlineStr">
        <is>
          <t>202620</t>
        </is>
      </c>
      <c r="B1670" t="inlineStr">
        <is>
          <t>Andere</t>
        </is>
      </c>
      <c r="C1670" t="inlineStr">
        <is>
          <t>GC-02-24-1</t>
        </is>
      </c>
      <c r="D1670" t="n">
        <v>21</v>
      </c>
      <c r="E1670" t="n">
        <v>0</v>
      </c>
      <c r="F1670" t="n">
        <v>21</v>
      </c>
      <c r="G1670" t="n">
        <v>21</v>
      </c>
    </row>
    <row r="1671">
      <c r="A1671" t="inlineStr">
        <is>
          <t>202620</t>
        </is>
      </c>
      <c r="B1671" t="inlineStr">
        <is>
          <t>Andere</t>
        </is>
      </c>
      <c r="C1671" t="inlineStr">
        <is>
          <t>D-06-04-2</t>
        </is>
      </c>
      <c r="D1671" t="n">
        <v>20</v>
      </c>
      <c r="E1671" t="n">
        <v>0</v>
      </c>
      <c r="F1671" t="n">
        <v>20</v>
      </c>
      <c r="G1671" t="n">
        <v>20</v>
      </c>
    </row>
    <row r="1672">
      <c r="A1672" t="inlineStr">
        <is>
          <t>202620</t>
        </is>
      </c>
      <c r="B1672" t="inlineStr">
        <is>
          <t>Andere</t>
        </is>
      </c>
      <c r="C1672" t="inlineStr">
        <is>
          <t>D-06-05-2</t>
        </is>
      </c>
      <c r="D1672" t="n">
        <v>10</v>
      </c>
      <c r="E1672" t="n">
        <v>0</v>
      </c>
      <c r="F1672" t="n">
        <v>10</v>
      </c>
      <c r="G1672" t="n">
        <v>10</v>
      </c>
    </row>
    <row r="1673">
      <c r="A1673" t="inlineStr">
        <is>
          <t>202620</t>
        </is>
      </c>
      <c r="B1673" t="inlineStr">
        <is>
          <t>Andere</t>
        </is>
      </c>
      <c r="C1673" t="inlineStr">
        <is>
          <t>D-06-16-1</t>
        </is>
      </c>
      <c r="D1673" t="n">
        <v>10</v>
      </c>
      <c r="E1673" t="n">
        <v>0</v>
      </c>
      <c r="F1673" t="n">
        <v>10</v>
      </c>
      <c r="G1673" t="n">
        <v>10</v>
      </c>
    </row>
    <row r="1674">
      <c r="A1674" t="inlineStr">
        <is>
          <t>202620</t>
        </is>
      </c>
      <c r="B1674" t="inlineStr">
        <is>
          <t>Andere</t>
        </is>
      </c>
      <c r="C1674" t="inlineStr">
        <is>
          <t>D-06-37-3</t>
        </is>
      </c>
      <c r="D1674" t="n">
        <v>10</v>
      </c>
      <c r="E1674" t="n">
        <v>0</v>
      </c>
      <c r="F1674" t="n">
        <v>10</v>
      </c>
      <c r="G1674" t="n">
        <v>10</v>
      </c>
    </row>
    <row r="1675">
      <c r="A1675" t="inlineStr">
        <is>
          <t>202620</t>
        </is>
      </c>
      <c r="B1675" t="inlineStr">
        <is>
          <t>Andere</t>
        </is>
      </c>
      <c r="C1675" t="inlineStr">
        <is>
          <t>D-06-53-2</t>
        </is>
      </c>
      <c r="D1675" t="n">
        <v>10</v>
      </c>
      <c r="E1675" t="n">
        <v>0</v>
      </c>
      <c r="F1675" t="n">
        <v>10</v>
      </c>
      <c r="G1675" t="n">
        <v>10</v>
      </c>
    </row>
    <row r="1676">
      <c r="A1676" t="inlineStr">
        <is>
          <t>202620</t>
        </is>
      </c>
      <c r="B1676" t="inlineStr">
        <is>
          <t>Andere</t>
        </is>
      </c>
      <c r="C1676" t="inlineStr">
        <is>
          <t>FAWEISSENM</t>
        </is>
      </c>
      <c r="D1676" t="n">
        <v>10</v>
      </c>
      <c r="E1676" t="n">
        <v>0</v>
      </c>
      <c r="F1676" t="n">
        <v>10</v>
      </c>
      <c r="G1676" t="n">
        <v>10</v>
      </c>
    </row>
    <row r="1677">
      <c r="A1677" t="inlineStr">
        <is>
          <t>202620</t>
        </is>
      </c>
      <c r="B1677" t="inlineStr">
        <is>
          <t>Andere</t>
        </is>
      </c>
      <c r="C1677" t="inlineStr">
        <is>
          <t>D-06-40-3</t>
        </is>
      </c>
      <c r="D1677" t="n">
        <v>8</v>
      </c>
      <c r="E1677" t="n">
        <v>0</v>
      </c>
      <c r="F1677" t="n">
        <v>8</v>
      </c>
      <c r="G1677" t="n">
        <v>8</v>
      </c>
    </row>
    <row r="1678">
      <c r="A1678" t="inlineStr">
        <is>
          <t>202620</t>
        </is>
      </c>
      <c r="B1678" t="inlineStr">
        <is>
          <t>Andere</t>
        </is>
      </c>
      <c r="C1678" t="inlineStr">
        <is>
          <t>D-06-39-2</t>
        </is>
      </c>
      <c r="D1678" t="n">
        <v>2.5</v>
      </c>
      <c r="E1678" t="n">
        <v>0</v>
      </c>
      <c r="F1678" t="n">
        <v>2.5</v>
      </c>
      <c r="G1678" t="n">
        <v>2.5</v>
      </c>
    </row>
    <row r="1679">
      <c r="A1679" t="inlineStr">
        <is>
          <t>202620</t>
        </is>
      </c>
      <c r="B1679" t="inlineStr">
        <is>
          <t>Andere</t>
        </is>
      </c>
      <c r="C1679" t="inlineStr">
        <is>
          <t>FAFURMANNB</t>
        </is>
      </c>
      <c r="D1679" t="n">
        <v>2.5</v>
      </c>
      <c r="E1679" t="n">
        <v>0</v>
      </c>
      <c r="F1679" t="n">
        <v>2.5</v>
      </c>
      <c r="G1679" t="n">
        <v>2.5</v>
      </c>
    </row>
    <row r="1680">
      <c r="A1680" t="inlineStr">
        <is>
          <t>202620</t>
        </is>
      </c>
      <c r="B1680" t="inlineStr">
        <is>
          <t>Andere</t>
        </is>
      </c>
      <c r="C1680" t="inlineStr">
        <is>
          <t>D-06-29-2</t>
        </is>
      </c>
      <c r="D1680" t="n">
        <v>1.5</v>
      </c>
      <c r="E1680" t="n">
        <v>0</v>
      </c>
      <c r="F1680" t="n">
        <v>1.5</v>
      </c>
      <c r="G1680" t="n">
        <v>1.5</v>
      </c>
    </row>
    <row r="1681">
      <c r="A1681" t="inlineStr">
        <is>
          <t>202620</t>
        </is>
      </c>
      <c r="B1681" t="inlineStr">
        <is>
          <t>Andere</t>
        </is>
      </c>
      <c r="C1681" t="inlineStr">
        <is>
          <t>SP-01-01-2</t>
        </is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202620</t>
        </is>
      </c>
      <c r="B1682" t="inlineStr">
        <is>
          <t>Andere</t>
        </is>
      </c>
      <c r="C1682" t="inlineStr">
        <is>
          <t>SP-01-07-2</t>
        </is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202620</t>
        </is>
      </c>
      <c r="B1683" t="inlineStr">
        <is>
          <t>Andere</t>
        </is>
      </c>
      <c r="C1683" t="inlineStr">
        <is>
          <t>SP-02-03-3</t>
        </is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202620</t>
        </is>
      </c>
      <c r="B1684" t="inlineStr">
        <is>
          <t>Andere</t>
        </is>
      </c>
      <c r="C1684" t="inlineStr">
        <is>
          <t>PLSTG-02</t>
        </is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202620</t>
        </is>
      </c>
      <c r="B1685" t="inlineStr">
        <is>
          <t>Andere</t>
        </is>
      </c>
      <c r="C1685" t="inlineStr">
        <is>
          <t>SP-01-07-1</t>
        </is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202620</t>
        </is>
      </c>
      <c r="B1686" t="inlineStr">
        <is>
          <t>Andere</t>
        </is>
      </c>
      <c r="C1686" t="inlineStr">
        <is>
          <t>SP-02-01-3</t>
        </is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202620</t>
        </is>
      </c>
      <c r="B1687" t="inlineStr">
        <is>
          <t>Andere</t>
        </is>
      </c>
      <c r="C1687" t="inlineStr">
        <is>
          <t>SP-02-03-1</t>
        </is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202620</t>
        </is>
      </c>
      <c r="B1688" t="inlineStr">
        <is>
          <t>Andere</t>
        </is>
      </c>
      <c r="C1688" t="inlineStr">
        <is>
          <t>SP-02-07-2</t>
        </is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202620</t>
        </is>
      </c>
      <c r="B1689" t="inlineStr">
        <is>
          <t>Andere</t>
        </is>
      </c>
      <c r="C1689" t="inlineStr">
        <is>
          <t>SP-02-07-3</t>
        </is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202620</t>
        </is>
      </c>
      <c r="B1690" t="inlineStr">
        <is>
          <t>Andere</t>
        </is>
      </c>
      <c r="C1690" t="inlineStr">
        <is>
          <t>SP-02-08-1</t>
        </is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202620</t>
        </is>
      </c>
      <c r="B1691" t="inlineStr">
        <is>
          <t>Fulfillment</t>
        </is>
      </c>
      <c r="C1691" t="inlineStr">
        <is>
          <t>PLH-01-16</t>
        </is>
      </c>
      <c r="D1691" t="n">
        <v>174</v>
      </c>
      <c r="E1691" t="n">
        <v>0</v>
      </c>
      <c r="F1691" t="n">
        <v>174</v>
      </c>
      <c r="G1691" t="n">
        <v>174</v>
      </c>
    </row>
    <row r="1692">
      <c r="A1692" t="inlineStr">
        <is>
          <t>202620</t>
        </is>
      </c>
      <c r="B1692" t="inlineStr">
        <is>
          <t>Fulfillment</t>
        </is>
      </c>
      <c r="C1692" t="inlineStr">
        <is>
          <t>PLH-01-10</t>
        </is>
      </c>
      <c r="D1692" t="n">
        <v>159</v>
      </c>
      <c r="E1692" t="n">
        <v>0</v>
      </c>
      <c r="F1692" t="n">
        <v>159</v>
      </c>
      <c r="G1692" t="n">
        <v>159</v>
      </c>
    </row>
    <row r="1693">
      <c r="A1693" t="inlineStr">
        <is>
          <t>202620</t>
        </is>
      </c>
      <c r="B1693" t="inlineStr">
        <is>
          <t>Fulfillment</t>
        </is>
      </c>
      <c r="C1693" t="inlineStr">
        <is>
          <t>PLH-01-04</t>
        </is>
      </c>
      <c r="D1693" t="n">
        <v>149</v>
      </c>
      <c r="E1693" t="n">
        <v>0</v>
      </c>
      <c r="F1693" t="n">
        <v>149</v>
      </c>
      <c r="G1693" t="n">
        <v>149</v>
      </c>
    </row>
    <row r="1694">
      <c r="A1694" t="inlineStr">
        <is>
          <t>202620</t>
        </is>
      </c>
      <c r="B1694" t="inlineStr">
        <is>
          <t>Fulfillment</t>
        </is>
      </c>
      <c r="C1694" t="inlineStr">
        <is>
          <t>PLH-01-08</t>
        </is>
      </c>
      <c r="D1694" t="n">
        <v>144</v>
      </c>
      <c r="E1694" t="n">
        <v>0</v>
      </c>
      <c r="F1694" t="n">
        <v>144</v>
      </c>
      <c r="G1694" t="n">
        <v>144</v>
      </c>
    </row>
    <row r="1695">
      <c r="A1695" t="inlineStr">
        <is>
          <t>202620</t>
        </is>
      </c>
      <c r="B1695" t="inlineStr">
        <is>
          <t>Fulfillment</t>
        </is>
      </c>
      <c r="C1695" t="inlineStr">
        <is>
          <t>PLH-02-07</t>
        </is>
      </c>
      <c r="D1695" t="n">
        <v>102</v>
      </c>
      <c r="E1695" t="n">
        <v>0</v>
      </c>
      <c r="F1695" t="n">
        <v>102</v>
      </c>
      <c r="G1695" t="n">
        <v>102</v>
      </c>
    </row>
    <row r="1696">
      <c r="A1696" t="inlineStr">
        <is>
          <t>202620</t>
        </is>
      </c>
      <c r="B1696" t="inlineStr">
        <is>
          <t>Fulfillment</t>
        </is>
      </c>
      <c r="C1696" t="inlineStr">
        <is>
          <t>PLH-02-11</t>
        </is>
      </c>
      <c r="D1696" t="n">
        <v>102</v>
      </c>
      <c r="E1696" t="n">
        <v>0</v>
      </c>
      <c r="F1696" t="n">
        <v>102</v>
      </c>
      <c r="G1696" t="n">
        <v>102</v>
      </c>
    </row>
    <row r="1697">
      <c r="A1697" t="inlineStr">
        <is>
          <t>202620</t>
        </is>
      </c>
      <c r="B1697" t="inlineStr">
        <is>
          <t>Fulfillment</t>
        </is>
      </c>
      <c r="C1697" t="inlineStr">
        <is>
          <t>PLH-01-05</t>
        </is>
      </c>
      <c r="D1697" t="n">
        <v>73</v>
      </c>
      <c r="E1697" t="n">
        <v>0</v>
      </c>
      <c r="F1697" t="n">
        <v>73</v>
      </c>
      <c r="G1697" t="n">
        <v>73</v>
      </c>
    </row>
    <row r="1698">
      <c r="A1698" t="inlineStr">
        <is>
          <t>202620</t>
        </is>
      </c>
      <c r="B1698" t="inlineStr">
        <is>
          <t>Fulfillment</t>
        </is>
      </c>
      <c r="C1698" t="inlineStr">
        <is>
          <t>PLH-01-12</t>
        </is>
      </c>
      <c r="D1698" t="n">
        <v>61</v>
      </c>
      <c r="E1698" t="n">
        <v>0</v>
      </c>
      <c r="F1698" t="n">
        <v>61</v>
      </c>
      <c r="G1698" t="n">
        <v>61</v>
      </c>
    </row>
    <row r="1699">
      <c r="A1699" t="inlineStr">
        <is>
          <t>202620</t>
        </is>
      </c>
      <c r="B1699" t="inlineStr">
        <is>
          <t>Fulfillment</t>
        </is>
      </c>
      <c r="C1699" t="inlineStr">
        <is>
          <t>PLH-02-01</t>
        </is>
      </c>
      <c r="D1699" t="n">
        <v>61</v>
      </c>
      <c r="E1699" t="n">
        <v>0</v>
      </c>
      <c r="F1699" t="n">
        <v>61</v>
      </c>
      <c r="G1699" t="n">
        <v>61</v>
      </c>
    </row>
    <row r="1700">
      <c r="A1700" t="inlineStr">
        <is>
          <t>202620</t>
        </is>
      </c>
      <c r="B1700" t="inlineStr">
        <is>
          <t>Fulfillment</t>
        </is>
      </c>
      <c r="C1700" t="inlineStr">
        <is>
          <t>PLH-02-02</t>
        </is>
      </c>
      <c r="D1700" t="n">
        <v>58</v>
      </c>
      <c r="E1700" t="n">
        <v>0</v>
      </c>
      <c r="F1700" t="n">
        <v>58</v>
      </c>
      <c r="G1700" t="n">
        <v>58</v>
      </c>
    </row>
    <row r="1701">
      <c r="A1701" t="inlineStr">
        <is>
          <t>202620</t>
        </is>
      </c>
      <c r="B1701" t="inlineStr">
        <is>
          <t>Fulfillment</t>
        </is>
      </c>
      <c r="C1701" t="inlineStr">
        <is>
          <t>PLH-02-10</t>
        </is>
      </c>
      <c r="D1701" t="n">
        <v>58</v>
      </c>
      <c r="E1701" t="n">
        <v>0</v>
      </c>
      <c r="F1701" t="n">
        <v>58</v>
      </c>
      <c r="G1701" t="n">
        <v>58</v>
      </c>
    </row>
    <row r="1702">
      <c r="A1702" t="inlineStr">
        <is>
          <t>202620</t>
        </is>
      </c>
      <c r="B1702" t="inlineStr">
        <is>
          <t>Fulfillment</t>
        </is>
      </c>
      <c r="C1702" t="inlineStr">
        <is>
          <t>FACAPK</t>
        </is>
      </c>
      <c r="D1702" t="n">
        <v>49.5</v>
      </c>
      <c r="E1702" t="n">
        <v>0</v>
      </c>
      <c r="F1702" t="n">
        <v>49.5</v>
      </c>
      <c r="G1702" t="n">
        <v>49.5</v>
      </c>
    </row>
    <row r="1703">
      <c r="A1703" t="inlineStr">
        <is>
          <t>202620</t>
        </is>
      </c>
      <c r="B1703" t="inlineStr">
        <is>
          <t>Fulfillment</t>
        </is>
      </c>
      <c r="C1703" t="inlineStr">
        <is>
          <t>PLH-01-03</t>
        </is>
      </c>
      <c r="D1703" t="n">
        <v>49</v>
      </c>
      <c r="E1703" t="n">
        <v>0</v>
      </c>
      <c r="F1703" t="n">
        <v>49</v>
      </c>
      <c r="G1703" t="n">
        <v>49</v>
      </c>
    </row>
    <row r="1704">
      <c r="A1704" t="inlineStr">
        <is>
          <t>202620</t>
        </is>
      </c>
      <c r="B1704" t="inlineStr">
        <is>
          <t>Fulfillment</t>
        </is>
      </c>
      <c r="C1704" t="inlineStr">
        <is>
          <t>FACHIRANI</t>
        </is>
      </c>
      <c r="D1704" t="n">
        <v>22.5</v>
      </c>
      <c r="E1704" t="n">
        <v>0</v>
      </c>
      <c r="F1704" t="n">
        <v>22.5</v>
      </c>
      <c r="G1704" t="n">
        <v>22.5</v>
      </c>
    </row>
    <row r="1705">
      <c r="A1705" t="inlineStr">
        <is>
          <t>202620</t>
        </is>
      </c>
      <c r="B1705" t="inlineStr">
        <is>
          <t>Lager</t>
        </is>
      </c>
      <c r="C1705" t="inlineStr">
        <is>
          <t>STGDR-27</t>
        </is>
      </c>
      <c r="D1705" t="n">
        <v>2714</v>
      </c>
      <c r="E1705" t="n">
        <v>0</v>
      </c>
      <c r="F1705" t="n">
        <v>2714</v>
      </c>
      <c r="G1705" t="n">
        <v>2714</v>
      </c>
    </row>
    <row r="1706">
      <c r="A1706" t="inlineStr">
        <is>
          <t>202620</t>
        </is>
      </c>
      <c r="B1706" t="inlineStr">
        <is>
          <t>Prep/Plating</t>
        </is>
      </c>
      <c r="C1706" t="inlineStr">
        <is>
          <t>DEBOXWIP</t>
        </is>
      </c>
      <c r="D1706" t="n">
        <v>0</v>
      </c>
      <c r="E1706" t="n">
        <v>1046052.48</v>
      </c>
      <c r="F1706" t="n">
        <v>-1046052.48</v>
      </c>
      <c r="G1706" t="n">
        <v>-1046052.48</v>
      </c>
    </row>
    <row r="1707">
      <c r="A1707" t="inlineStr">
        <is>
          <t>202620</t>
        </is>
      </c>
      <c r="B1707" t="inlineStr">
        <is>
          <t>Prep/Plating</t>
        </is>
      </c>
      <c r="C1707" t="inlineStr">
        <is>
          <t>PREB-01</t>
        </is>
      </c>
      <c r="D1707" t="n">
        <v>3034</v>
      </c>
      <c r="E1707" t="n">
        <v>0</v>
      </c>
      <c r="F1707" t="n">
        <v>3034</v>
      </c>
      <c r="G1707" t="n">
        <v>3034</v>
      </c>
    </row>
    <row r="1708">
      <c r="A1708" t="inlineStr">
        <is>
          <t>202620</t>
        </is>
      </c>
      <c r="B1708" t="inlineStr">
        <is>
          <t>Prep/Plating</t>
        </is>
      </c>
      <c r="C1708" t="inlineStr">
        <is>
          <t>PostB-01</t>
        </is>
      </c>
      <c r="D1708" t="n">
        <v>2220</v>
      </c>
      <c r="E1708" t="n">
        <v>0</v>
      </c>
      <c r="F1708" t="n">
        <v>2220</v>
      </c>
      <c r="G1708" t="n">
        <v>2220</v>
      </c>
    </row>
    <row r="1709">
      <c r="A1709" t="inlineStr">
        <is>
          <t>202620</t>
        </is>
      </c>
      <c r="B1709" t="inlineStr">
        <is>
          <t>Prep/Plating</t>
        </is>
      </c>
      <c r="C1709" t="inlineStr">
        <is>
          <t>PreB-01</t>
        </is>
      </c>
      <c r="D1709" t="n">
        <v>605</v>
      </c>
      <c r="E1709" t="n">
        <v>0</v>
      </c>
      <c r="F1709" t="n">
        <v>605</v>
      </c>
      <c r="G1709" t="n">
        <v>605</v>
      </c>
    </row>
    <row r="1710">
      <c r="A1710" t="inlineStr">
        <is>
          <t>202626</t>
        </is>
      </c>
      <c r="B1710" t="inlineStr">
        <is>
          <t>Andere</t>
        </is>
      </c>
      <c r="C1710" t="inlineStr">
        <is>
          <t>ADJ LOC</t>
        </is>
      </c>
      <c r="D1710" t="n">
        <v>0.01</v>
      </c>
      <c r="E1710" t="n">
        <v>0</v>
      </c>
      <c r="F1710" t="n">
        <v>0.01</v>
      </c>
      <c r="G1710" t="n">
        <v>0.01</v>
      </c>
    </row>
    <row r="1711">
      <c r="A1711" t="inlineStr">
        <is>
          <t>202626</t>
        </is>
      </c>
      <c r="B1711" t="inlineStr">
        <is>
          <t>Andere</t>
        </is>
      </c>
      <c r="C1711" t="inlineStr">
        <is>
          <t>UNBEKANNT</t>
        </is>
      </c>
      <c r="D1711" t="n">
        <v>0.01</v>
      </c>
      <c r="E1711" t="n">
        <v>0</v>
      </c>
      <c r="F1711" t="n">
        <v>0.01</v>
      </c>
      <c r="G17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2026-05-05T06:59:03Z</dcterms:created>
  <dcterms:modified xmlns:dcterms="http://purl.org/dc/terms/" xmlns:xsi="http://www.w3.org/2001/XMLSchema-instance" xsi:type="dcterms:W3CDTF">2026-05-05T06:59:04Z</dcterms:modified>
</cp:coreProperties>
</file>